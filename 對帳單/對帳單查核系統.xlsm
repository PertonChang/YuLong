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/>
  </bookViews>
  <sheets>
    <sheet name="規格" sheetId="1" r:id="rId1"/>
    <sheet name="Datas" sheetId="3" r:id="rId2"/>
    <sheet name="SQL" sheetId="4" r:id="rId3"/>
  </sheets>
  <functionGroups builtInGroupCount="18"/>
  <calcPr calcId="152511"/>
</workbook>
</file>

<file path=xl/calcChain.xml><?xml version="1.0" encoding="utf-8"?>
<calcChain xmlns="http://schemas.openxmlformats.org/spreadsheetml/2006/main">
  <c r="AP2" i="3" l="1"/>
  <c r="C4" i="4" l="1"/>
  <c r="C161" i="4" l="1"/>
  <c r="C162" i="4"/>
  <c r="C163" i="4"/>
  <c r="C164" i="4"/>
  <c r="C165" i="4"/>
  <c r="C166" i="4"/>
  <c r="C167" i="4"/>
  <c r="C168" i="4"/>
  <c r="C169" i="4"/>
  <c r="C170" i="4"/>
  <c r="C171" i="4"/>
  <c r="C172" i="4"/>
  <c r="C173" i="4"/>
  <c r="C174" i="4"/>
  <c r="C175" i="4"/>
  <c r="C176" i="4"/>
  <c r="C177" i="4"/>
  <c r="C178" i="4"/>
  <c r="C179" i="4"/>
  <c r="C180" i="4"/>
  <c r="C181" i="4"/>
  <c r="C182" i="4"/>
  <c r="C183" i="4"/>
  <c r="C184" i="4"/>
  <c r="C185" i="4"/>
  <c r="C186" i="4"/>
  <c r="C187" i="4"/>
  <c r="C188" i="4"/>
  <c r="C189" i="4"/>
  <c r="C190" i="4"/>
  <c r="C191" i="4"/>
  <c r="C192" i="4"/>
  <c r="C193" i="4"/>
  <c r="C194" i="4"/>
  <c r="C195" i="4"/>
  <c r="C196" i="4"/>
  <c r="C197" i="4"/>
  <c r="C198" i="4"/>
  <c r="C199" i="4"/>
  <c r="C200" i="4"/>
  <c r="C201" i="4"/>
  <c r="C202" i="4"/>
  <c r="C203" i="4"/>
  <c r="C204" i="4"/>
  <c r="C205" i="4"/>
  <c r="C206" i="4"/>
  <c r="C207" i="4"/>
  <c r="C208" i="4"/>
  <c r="C209" i="4"/>
  <c r="C210" i="4"/>
  <c r="C211" i="4"/>
  <c r="C212" i="4"/>
  <c r="C213" i="4"/>
  <c r="C214" i="4"/>
  <c r="C215" i="4"/>
  <c r="C216" i="4"/>
  <c r="C217" i="4"/>
  <c r="C218" i="4"/>
  <c r="C219" i="4"/>
  <c r="C220" i="4"/>
  <c r="C221" i="4"/>
  <c r="C222" i="4"/>
  <c r="C223" i="4"/>
  <c r="C224" i="4"/>
  <c r="C225" i="4"/>
  <c r="C226" i="4"/>
  <c r="C227" i="4"/>
  <c r="C228" i="4"/>
  <c r="C229" i="4"/>
  <c r="C230" i="4"/>
  <c r="C231" i="4"/>
  <c r="C232" i="4"/>
  <c r="C233" i="4"/>
  <c r="C234" i="4"/>
  <c r="C235" i="4"/>
  <c r="C236" i="4"/>
  <c r="C237" i="4"/>
  <c r="C238" i="4"/>
  <c r="C239" i="4"/>
  <c r="C240" i="4"/>
  <c r="C241" i="4"/>
  <c r="C242" i="4"/>
  <c r="C243" i="4"/>
  <c r="C244" i="4"/>
  <c r="C245" i="4"/>
  <c r="C246" i="4"/>
  <c r="C247" i="4"/>
  <c r="C248" i="4"/>
  <c r="C249" i="4"/>
  <c r="C250" i="4"/>
  <c r="C251" i="4"/>
  <c r="C252" i="4"/>
  <c r="C253" i="4"/>
  <c r="C254" i="4"/>
  <c r="C255" i="4"/>
  <c r="C256" i="4"/>
  <c r="C257" i="4"/>
  <c r="C258" i="4"/>
  <c r="C259" i="4"/>
  <c r="C260" i="4"/>
  <c r="C261" i="4"/>
  <c r="C262" i="4"/>
  <c r="C263" i="4"/>
  <c r="C264" i="4"/>
  <c r="C265" i="4"/>
  <c r="C266" i="4"/>
  <c r="C267" i="4"/>
  <c r="C268" i="4"/>
  <c r="C269" i="4"/>
  <c r="C270" i="4"/>
  <c r="C271" i="4"/>
  <c r="C272" i="4"/>
  <c r="C273" i="4"/>
  <c r="C274" i="4"/>
  <c r="C275" i="4"/>
  <c r="C276" i="4"/>
  <c r="C277" i="4"/>
  <c r="C278" i="4"/>
  <c r="C279" i="4"/>
  <c r="C280" i="4"/>
  <c r="C281" i="4"/>
  <c r="C282" i="4"/>
  <c r="C283" i="4"/>
  <c r="C284" i="4"/>
  <c r="C285" i="4"/>
  <c r="C286" i="4"/>
  <c r="C287" i="4"/>
  <c r="C288" i="4"/>
  <c r="C289" i="4"/>
  <c r="C290" i="4"/>
  <c r="C291" i="4"/>
  <c r="C292" i="4"/>
  <c r="C293" i="4"/>
  <c r="C294" i="4"/>
  <c r="C295" i="4"/>
  <c r="C296" i="4"/>
  <c r="C297" i="4"/>
  <c r="C298" i="4"/>
  <c r="C299" i="4"/>
  <c r="C300" i="4"/>
  <c r="C301" i="4"/>
  <c r="C302" i="4"/>
  <c r="C303" i="4"/>
  <c r="C304" i="4"/>
  <c r="C305" i="4"/>
  <c r="C306" i="4"/>
  <c r="C307" i="4"/>
  <c r="C308" i="4"/>
  <c r="C309" i="4"/>
  <c r="C310" i="4"/>
  <c r="C311" i="4"/>
  <c r="C312" i="4"/>
  <c r="C313" i="4"/>
  <c r="C314" i="4"/>
  <c r="C315" i="4"/>
  <c r="C316" i="4"/>
  <c r="C150" i="4"/>
  <c r="C151" i="4"/>
  <c r="C152" i="4"/>
  <c r="C153" i="4"/>
  <c r="C154" i="4"/>
  <c r="C155" i="4"/>
  <c r="C156" i="4"/>
  <c r="C157" i="4"/>
  <c r="C158" i="4"/>
  <c r="C159" i="4"/>
  <c r="C160" i="4"/>
  <c r="C5" i="4" l="1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M3" i="1" l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2" i="1"/>
  <c r="J3" i="1" l="1"/>
  <c r="J4" i="1"/>
  <c r="J5" i="1"/>
  <c r="J6" i="1"/>
  <c r="J7" i="1"/>
  <c r="J8" i="1"/>
  <c r="J9" i="1"/>
  <c r="J10" i="1"/>
  <c r="J11" i="1"/>
  <c r="J12" i="1"/>
  <c r="J13" i="1"/>
  <c r="J32" i="1"/>
  <c r="J14" i="1"/>
  <c r="J15" i="1"/>
  <c r="J16" i="1"/>
  <c r="J17" i="1"/>
  <c r="J18" i="1"/>
  <c r="J19" i="1"/>
  <c r="J20" i="1"/>
  <c r="J21" i="1"/>
  <c r="J22" i="1"/>
  <c r="J23" i="1"/>
  <c r="J33" i="1"/>
  <c r="J24" i="1"/>
  <c r="J25" i="1"/>
  <c r="J26" i="1"/>
  <c r="J27" i="1"/>
  <c r="J28" i="1"/>
  <c r="J29" i="1"/>
  <c r="J30" i="1"/>
  <c r="J2" i="1"/>
  <c r="F33" i="1" l="1"/>
  <c r="F3" i="1"/>
  <c r="L3" i="1" s="1"/>
  <c r="F4" i="1"/>
  <c r="L4" i="1" s="1"/>
  <c r="F5" i="1"/>
  <c r="L5" i="1" s="1"/>
  <c r="F6" i="1"/>
  <c r="L6" i="1" s="1"/>
  <c r="F7" i="1"/>
  <c r="L7" i="1" s="1"/>
  <c r="F8" i="1"/>
  <c r="L8" i="1" s="1"/>
  <c r="F9" i="1"/>
  <c r="L9" i="1" s="1"/>
  <c r="F10" i="1"/>
  <c r="L10" i="1" s="1"/>
  <c r="F11" i="1"/>
  <c r="L11" i="1" s="1"/>
  <c r="F12" i="1"/>
  <c r="L12" i="1" s="1"/>
  <c r="F13" i="1"/>
  <c r="L13" i="1" s="1"/>
  <c r="F32" i="1"/>
  <c r="F15" i="1"/>
  <c r="L15" i="1" s="1"/>
  <c r="F16" i="1"/>
  <c r="L16" i="1" s="1"/>
  <c r="F17" i="1"/>
  <c r="L17" i="1" s="1"/>
  <c r="F18" i="1"/>
  <c r="L18" i="1" s="1"/>
  <c r="F14" i="1"/>
  <c r="L14" i="1" s="1"/>
  <c r="F19" i="1"/>
  <c r="L19" i="1" s="1"/>
  <c r="F20" i="1"/>
  <c r="L20" i="1" s="1"/>
  <c r="F21" i="1"/>
  <c r="L21" i="1" s="1"/>
  <c r="F22" i="1"/>
  <c r="L22" i="1" s="1"/>
  <c r="F23" i="1"/>
  <c r="L23" i="1" s="1"/>
  <c r="F24" i="1"/>
  <c r="L24" i="1" s="1"/>
  <c r="F25" i="1"/>
  <c r="L25" i="1" s="1"/>
  <c r="F26" i="1"/>
  <c r="L26" i="1" s="1"/>
  <c r="F27" i="1"/>
  <c r="L27" i="1" s="1"/>
  <c r="F28" i="1"/>
  <c r="L28" i="1" s="1"/>
  <c r="F29" i="1"/>
  <c r="L29" i="1" s="1"/>
  <c r="F30" i="1"/>
  <c r="L30" i="1" s="1"/>
  <c r="F2" i="1"/>
  <c r="L2" i="1" s="1"/>
  <c r="K30" i="1" l="1"/>
  <c r="K26" i="1"/>
  <c r="K22" i="1"/>
  <c r="K14" i="1"/>
  <c r="K15" i="1"/>
  <c r="K11" i="1"/>
  <c r="K7" i="1"/>
  <c r="K3" i="1"/>
  <c r="K29" i="1"/>
  <c r="K25" i="1"/>
  <c r="K21" i="1"/>
  <c r="K18" i="1"/>
  <c r="L32" i="1"/>
  <c r="K32" i="1"/>
  <c r="K10" i="1"/>
  <c r="K6" i="1"/>
  <c r="L33" i="1"/>
  <c r="K33" i="1"/>
  <c r="K28" i="1"/>
  <c r="K24" i="1"/>
  <c r="K20" i="1"/>
  <c r="K17" i="1"/>
  <c r="K13" i="1"/>
  <c r="K9" i="1"/>
  <c r="K5" i="1"/>
  <c r="K2" i="1"/>
  <c r="K27" i="1"/>
  <c r="K23" i="1"/>
  <c r="K19" i="1"/>
  <c r="K16" i="1"/>
  <c r="K12" i="1"/>
  <c r="K8" i="1"/>
  <c r="K4" i="1"/>
</calcChain>
</file>

<file path=xl/comments1.xml><?xml version="1.0" encoding="utf-8"?>
<comments xmlns="http://schemas.openxmlformats.org/spreadsheetml/2006/main">
  <authors>
    <author>作者</author>
  </authors>
  <commentList>
    <comment ref="C18" authorId="0" shapeId="0">
      <text>
        <r>
          <rPr>
            <b/>
            <sz val="9"/>
            <color indexed="81"/>
            <rFont val="細明體"/>
            <family val="3"/>
            <charset val="136"/>
          </rPr>
          <t>作者:</t>
        </r>
        <r>
          <rPr>
            <sz val="9"/>
            <color indexed="81"/>
            <rFont val="細明體"/>
            <family val="3"/>
            <charset val="136"/>
          </rPr>
          <t xml:space="preserve">
後三碼為小數點以下</t>
        </r>
      </text>
    </comment>
  </commentList>
</comments>
</file>

<file path=xl/sharedStrings.xml><?xml version="1.0" encoding="utf-8"?>
<sst xmlns="http://schemas.openxmlformats.org/spreadsheetml/2006/main" count="162" uniqueCount="122">
  <si>
    <t>C:       [42 to 43]</t>
  </si>
  <si>
    <r>
      <t>應付外包件金額</t>
    </r>
    <r>
      <rPr>
        <sz val="11"/>
        <color theme="1"/>
        <rFont val="Times New Roman"/>
        <family val="1"/>
      </rPr>
      <t xml:space="preserve">:[76 to 85] </t>
    </r>
  </si>
  <si>
    <r>
      <t>00</t>
    </r>
    <r>
      <rPr>
        <sz val="11"/>
        <color theme="1"/>
        <rFont val="新細明體"/>
        <family val="1"/>
        <charset val="136"/>
      </rPr>
      <t>扣款</t>
    </r>
    <r>
      <rPr>
        <sz val="11"/>
        <color theme="1"/>
        <rFont val="Times New Roman"/>
        <family val="1"/>
      </rPr>
      <t>:[93 to 102]</t>
    </r>
  </si>
  <si>
    <r>
      <t>其他扣款額</t>
    </r>
    <r>
      <rPr>
        <sz val="11"/>
        <color theme="1"/>
        <rFont val="Times New Roman"/>
        <family val="1"/>
      </rPr>
      <t>:[102 to 111]</t>
    </r>
  </si>
  <si>
    <r>
      <t>實付金額</t>
    </r>
    <r>
      <rPr>
        <sz val="11"/>
        <color theme="1"/>
        <rFont val="Times New Roman"/>
        <family val="1"/>
      </rPr>
      <t>:[111 to 120]</t>
    </r>
  </si>
  <si>
    <r>
      <t>首字為</t>
    </r>
    <r>
      <rPr>
        <sz val="11"/>
        <color theme="1"/>
        <rFont val="Times New Roman"/>
        <family val="1"/>
      </rPr>
      <t>1 (</t>
    </r>
    <r>
      <rPr>
        <sz val="11"/>
        <color theme="1"/>
        <rFont val="新細明體"/>
        <family val="1"/>
        <charset val="136"/>
      </rPr>
      <t>表頭</t>
    </r>
    <r>
      <rPr>
        <sz val="11"/>
        <color theme="1"/>
        <rFont val="Times New Roman"/>
        <family val="1"/>
      </rPr>
      <t>)</t>
    </r>
    <phoneticPr fontId="3" type="noConversion"/>
  </si>
  <si>
    <t>表頭</t>
  </si>
  <si>
    <r>
      <t>廠商代碼</t>
    </r>
    <r>
      <rPr>
        <sz val="11"/>
        <color theme="1"/>
        <rFont val="Times New Roman"/>
        <family val="1"/>
      </rPr>
      <t>: [11 t0 15]</t>
    </r>
    <phoneticPr fontId="3" type="noConversion"/>
  </si>
  <si>
    <t>廠商代碼</t>
  </si>
  <si>
    <r>
      <t>入帳日期</t>
    </r>
    <r>
      <rPr>
        <sz val="11"/>
        <color theme="1"/>
        <rFont val="Times New Roman"/>
        <family val="1"/>
      </rPr>
      <t xml:space="preserve">: </t>
    </r>
    <r>
      <rPr>
        <sz val="11"/>
        <color theme="1"/>
        <rFont val="新細明體"/>
        <family val="1"/>
        <charset val="136"/>
      </rPr>
      <t>入帳日起</t>
    </r>
    <r>
      <rPr>
        <sz val="11"/>
        <color theme="1"/>
        <rFont val="Times New Roman"/>
        <family val="1"/>
      </rPr>
      <t xml:space="preserve">[16 to 22] </t>
    </r>
    <r>
      <rPr>
        <sz val="11"/>
        <color theme="1"/>
        <rFont val="新細明體"/>
        <family val="1"/>
        <charset val="136"/>
      </rPr>
      <t>入帳日迄</t>
    </r>
    <r>
      <rPr>
        <sz val="11"/>
        <color theme="1"/>
        <rFont val="Times New Roman"/>
        <family val="1"/>
      </rPr>
      <t>[22 to 28]</t>
    </r>
    <phoneticPr fontId="3" type="noConversion"/>
  </si>
  <si>
    <t>入帳日起</t>
  </si>
  <si>
    <t>入帳日迄</t>
  </si>
  <si>
    <r>
      <t>首字為</t>
    </r>
    <r>
      <rPr>
        <sz val="11"/>
        <color theme="1"/>
        <rFont val="Times New Roman"/>
        <family val="1"/>
      </rPr>
      <t>2 (</t>
    </r>
    <r>
      <rPr>
        <sz val="11"/>
        <color theme="1"/>
        <rFont val="新細明體"/>
        <family val="1"/>
        <charset val="136"/>
      </rPr>
      <t>表身</t>
    </r>
    <r>
      <rPr>
        <sz val="11"/>
        <color theme="1"/>
        <rFont val="Times New Roman"/>
        <family val="1"/>
      </rPr>
      <t>)</t>
    </r>
    <phoneticPr fontId="3" type="noConversion"/>
  </si>
  <si>
    <t>表身</t>
  </si>
  <si>
    <r>
      <t>憑單編號</t>
    </r>
    <r>
      <rPr>
        <sz val="11"/>
        <color theme="1"/>
        <rFont val="Times New Roman"/>
        <family val="1"/>
      </rPr>
      <t>:[2 to 9]</t>
    </r>
    <phoneticPr fontId="3" type="noConversion"/>
  </si>
  <si>
    <t>憑單編號</t>
  </si>
  <si>
    <r>
      <t>序號</t>
    </r>
    <r>
      <rPr>
        <sz val="11"/>
        <color theme="1"/>
        <rFont val="Times New Roman"/>
        <family val="1"/>
      </rPr>
      <t>:    [9 to 11]</t>
    </r>
    <phoneticPr fontId="3" type="noConversion"/>
  </si>
  <si>
    <t>序號</t>
  </si>
  <si>
    <r>
      <t>單別</t>
    </r>
    <r>
      <rPr>
        <sz val="11"/>
        <color theme="1"/>
        <rFont val="Times New Roman"/>
        <family val="1"/>
      </rPr>
      <t>:    [11 to 13]</t>
    </r>
    <phoneticPr fontId="3" type="noConversion"/>
  </si>
  <si>
    <t>單別</t>
  </si>
  <si>
    <t>I1</t>
    <phoneticPr fontId="3" type="noConversion"/>
  </si>
  <si>
    <r>
      <t>合約號</t>
    </r>
    <r>
      <rPr>
        <sz val="11"/>
        <color theme="1"/>
        <rFont val="Times New Roman"/>
        <family val="1"/>
      </rPr>
      <t>:  [13 to 20]</t>
    </r>
    <phoneticPr fontId="3" type="noConversion"/>
  </si>
  <si>
    <t>合約號</t>
  </si>
  <si>
    <r>
      <t>交貨指示</t>
    </r>
    <r>
      <rPr>
        <sz val="11"/>
        <color theme="1"/>
        <rFont val="Times New Roman"/>
        <family val="1"/>
      </rPr>
      <t>:[20 to 30]</t>
    </r>
    <phoneticPr fontId="3" type="noConversion"/>
  </si>
  <si>
    <r>
      <t>類別</t>
    </r>
    <r>
      <rPr>
        <sz val="11"/>
        <color theme="1"/>
        <rFont val="Times New Roman"/>
        <family val="1"/>
      </rPr>
      <t>:    [30 t0 32]</t>
    </r>
    <phoneticPr fontId="3" type="noConversion"/>
  </si>
  <si>
    <t>類別</t>
  </si>
  <si>
    <r>
      <t>料號</t>
    </r>
    <r>
      <rPr>
        <sz val="11"/>
        <color theme="1"/>
        <rFont val="Times New Roman"/>
        <family val="1"/>
      </rPr>
      <t>:    [32 to 42]</t>
    </r>
    <phoneticPr fontId="3" type="noConversion"/>
  </si>
  <si>
    <r>
      <t>交貨量</t>
    </r>
    <r>
      <rPr>
        <sz val="11"/>
        <color theme="1"/>
        <rFont val="Times New Roman"/>
        <family val="1"/>
      </rPr>
      <t>:  [43 to 52]</t>
    </r>
    <phoneticPr fontId="3" type="noConversion"/>
  </si>
  <si>
    <t>交貨量</t>
  </si>
  <si>
    <r>
      <t>單位</t>
    </r>
    <r>
      <rPr>
        <sz val="11"/>
        <color theme="1"/>
        <rFont val="Times New Roman"/>
        <family val="1"/>
      </rPr>
      <t>:    [61 to 63]</t>
    </r>
    <phoneticPr fontId="3" type="noConversion"/>
  </si>
  <si>
    <t>單位</t>
  </si>
  <si>
    <r>
      <t>首字為</t>
    </r>
    <r>
      <rPr>
        <sz val="11"/>
        <color theme="1"/>
        <rFont val="Times New Roman"/>
        <family val="1"/>
      </rPr>
      <t>3 (</t>
    </r>
    <r>
      <rPr>
        <sz val="11"/>
        <color theme="1"/>
        <rFont val="新細明體"/>
        <family val="1"/>
        <charset val="136"/>
      </rPr>
      <t>表尾，總計</t>
    </r>
    <r>
      <rPr>
        <sz val="11"/>
        <color theme="1"/>
        <rFont val="Times New Roman"/>
        <family val="1"/>
      </rPr>
      <t>)</t>
    </r>
    <phoneticPr fontId="3" type="noConversion"/>
  </si>
  <si>
    <t>表尾</t>
  </si>
  <si>
    <r>
      <t>應付外包件金額</t>
    </r>
    <r>
      <rPr>
        <sz val="11"/>
        <color theme="1"/>
        <rFont val="Times New Roman"/>
        <family val="1"/>
      </rPr>
      <t>:[2 to 10]</t>
    </r>
    <phoneticPr fontId="3" type="noConversion"/>
  </si>
  <si>
    <t>應付外包件金額</t>
  </si>
  <si>
    <r>
      <t>00</t>
    </r>
    <r>
      <rPr>
        <sz val="11"/>
        <color theme="1"/>
        <rFont val="新細明體"/>
        <family val="1"/>
        <charset val="136"/>
      </rPr>
      <t>扣款</t>
    </r>
    <r>
      <rPr>
        <sz val="11"/>
        <color theme="1"/>
        <rFont val="Times New Roman"/>
        <family val="1"/>
      </rPr>
      <t>:[10 to 20]</t>
    </r>
    <phoneticPr fontId="3" type="noConversion"/>
  </si>
  <si>
    <t>00扣款</t>
  </si>
  <si>
    <r>
      <t>其他扣款額</t>
    </r>
    <r>
      <rPr>
        <sz val="11"/>
        <color theme="1"/>
        <rFont val="Times New Roman"/>
        <family val="1"/>
      </rPr>
      <t>:[20 to 29]</t>
    </r>
    <phoneticPr fontId="3" type="noConversion"/>
  </si>
  <si>
    <t>其他扣款額</t>
  </si>
  <si>
    <r>
      <t>實付金額</t>
    </r>
    <r>
      <rPr>
        <sz val="11"/>
        <color theme="1"/>
        <rFont val="Times New Roman"/>
        <family val="1"/>
      </rPr>
      <t>:[29 to 38]</t>
    </r>
    <phoneticPr fontId="3" type="noConversion"/>
  </si>
  <si>
    <t>實付金額</t>
  </si>
  <si>
    <r>
      <t>開票期間</t>
    </r>
    <r>
      <rPr>
        <sz val="11"/>
        <color theme="1"/>
        <rFont val="Times New Roman"/>
        <family val="1"/>
      </rPr>
      <t>:[121 to 122]</t>
    </r>
    <phoneticPr fontId="3" type="noConversion"/>
  </si>
  <si>
    <t>開票期間</t>
  </si>
  <si>
    <r>
      <t>紀錄代號</t>
    </r>
    <r>
      <rPr>
        <sz val="11"/>
        <color theme="1"/>
        <rFont val="Times New Roman"/>
        <family val="1"/>
      </rPr>
      <t>:[122 to 123]</t>
    </r>
    <phoneticPr fontId="3" type="noConversion"/>
  </si>
  <si>
    <t>紀錄代號</t>
  </si>
  <si>
    <t>交貨指示編號</t>
    <phoneticPr fontId="3" type="noConversion"/>
  </si>
  <si>
    <t>3</t>
    <phoneticPr fontId="3" type="noConversion"/>
  </si>
  <si>
    <r>
      <t>付款單價</t>
    </r>
    <r>
      <rPr>
        <sz val="11"/>
        <color theme="1"/>
        <rFont val="Times New Roman"/>
        <family val="1"/>
      </rPr>
      <t>:[64 to 76](</t>
    </r>
    <r>
      <rPr>
        <sz val="11"/>
        <color theme="1"/>
        <rFont val="新細明體"/>
        <family val="1"/>
        <charset val="136"/>
      </rPr>
      <t>後三碼為小數點以下</t>
    </r>
    <r>
      <rPr>
        <sz val="11"/>
        <color theme="1"/>
        <rFont val="Times New Roman"/>
        <family val="1"/>
      </rPr>
      <t>)</t>
    </r>
    <phoneticPr fontId="3" type="noConversion"/>
  </si>
  <si>
    <t>H3</t>
    <phoneticPr fontId="3" type="noConversion"/>
  </si>
  <si>
    <t>9</t>
    <phoneticPr fontId="3" type="noConversion"/>
  </si>
  <si>
    <t>實收及格數量</t>
    <phoneticPr fontId="3" type="noConversion"/>
  </si>
  <si>
    <r>
      <t>檢驗品質</t>
    </r>
    <r>
      <rPr>
        <sz val="11"/>
        <color theme="1"/>
        <rFont val="Times New Roman"/>
        <family val="1"/>
      </rPr>
      <t>:[42 to 43]</t>
    </r>
    <phoneticPr fontId="3" type="noConversion"/>
  </si>
  <si>
    <t>檢驗品質</t>
  </si>
  <si>
    <t>付款單價</t>
  </si>
  <si>
    <r>
      <t>交貨日期</t>
    </r>
    <r>
      <rPr>
        <sz val="11"/>
        <color theme="1"/>
        <rFont val="Times New Roman"/>
        <family val="1"/>
      </rPr>
      <t>:[85 to 93]</t>
    </r>
    <phoneticPr fontId="3" type="noConversion"/>
  </si>
  <si>
    <t>交貨日期</t>
  </si>
  <si>
    <t>Y</t>
    <phoneticPr fontId="3" type="noConversion"/>
  </si>
  <si>
    <t>A</t>
    <phoneticPr fontId="3" type="noConversion"/>
  </si>
  <si>
    <t>C</t>
    <phoneticPr fontId="3" type="noConversion"/>
  </si>
  <si>
    <t>欄位</t>
    <phoneticPr fontId="3" type="noConversion"/>
  </si>
  <si>
    <t>起位</t>
    <phoneticPr fontId="3" type="noConversion"/>
  </si>
  <si>
    <t>迄位</t>
    <phoneticPr fontId="3" type="noConversion"/>
  </si>
  <si>
    <t>字數</t>
    <phoneticPr fontId="3" type="noConversion"/>
  </si>
  <si>
    <t>預設值</t>
    <phoneticPr fontId="3" type="noConversion"/>
  </si>
  <si>
    <t>日產原料號</t>
    <phoneticPr fontId="3" type="noConversion"/>
  </si>
  <si>
    <t>檔案路徑：</t>
    <phoneticPr fontId="3" type="noConversion"/>
  </si>
  <si>
    <t>檔案名稱：</t>
    <phoneticPr fontId="3" type="noConversion"/>
  </si>
  <si>
    <t>tag</t>
    <phoneticPr fontId="3" type="noConversion"/>
  </si>
  <si>
    <t>CuNo</t>
    <phoneticPr fontId="3" type="noConversion"/>
  </si>
  <si>
    <t>AccBd</t>
    <phoneticPr fontId="3" type="noConversion"/>
  </si>
  <si>
    <t>AccEd</t>
    <phoneticPr fontId="3" type="noConversion"/>
  </si>
  <si>
    <t>ListNo</t>
    <phoneticPr fontId="3" type="noConversion"/>
  </si>
  <si>
    <t>ListSeq</t>
    <phoneticPr fontId="3" type="noConversion"/>
  </si>
  <si>
    <t>ListType</t>
    <phoneticPr fontId="3" type="noConversion"/>
  </si>
  <si>
    <t>Contract</t>
    <phoneticPr fontId="3" type="noConversion"/>
  </si>
  <si>
    <t>ShipNote</t>
    <phoneticPr fontId="3" type="noConversion"/>
  </si>
  <si>
    <t>Class</t>
    <phoneticPr fontId="3" type="noConversion"/>
  </si>
  <si>
    <t>c</t>
    <phoneticPr fontId="3" type="noConversion"/>
  </si>
  <si>
    <t>Quality</t>
    <phoneticPr fontId="3" type="noConversion"/>
  </si>
  <si>
    <t>Qty</t>
    <phoneticPr fontId="3" type="noConversion"/>
  </si>
  <si>
    <t>QtyOK</t>
    <phoneticPr fontId="3" type="noConversion"/>
  </si>
  <si>
    <t>Unit</t>
    <phoneticPr fontId="3" type="noConversion"/>
  </si>
  <si>
    <t>Price</t>
    <phoneticPr fontId="3" type="noConversion"/>
  </si>
  <si>
    <t>DevD</t>
    <phoneticPr fontId="3" type="noConversion"/>
  </si>
  <si>
    <t>Amt00</t>
    <phoneticPr fontId="3" type="noConversion"/>
  </si>
  <si>
    <t>Amt01</t>
    <phoneticPr fontId="3" type="noConversion"/>
  </si>
  <si>
    <t>cc</t>
    <phoneticPr fontId="3" type="noConversion"/>
  </si>
  <si>
    <t>Check</t>
    <phoneticPr fontId="3" type="noConversion"/>
  </si>
  <si>
    <t>Rec</t>
    <phoneticPr fontId="3" type="noConversion"/>
  </si>
  <si>
    <t>Amt11</t>
    <phoneticPr fontId="3" type="noConversion"/>
  </si>
  <si>
    <t>Amt12</t>
    <phoneticPr fontId="3" type="noConversion"/>
  </si>
  <si>
    <t>KouKan01</t>
    <phoneticPr fontId="3" type="noConversion"/>
  </si>
  <si>
    <t>KouKan02</t>
    <phoneticPr fontId="3" type="noConversion"/>
  </si>
  <si>
    <t>KouKan11</t>
    <phoneticPr fontId="3" type="noConversion"/>
  </si>
  <si>
    <t>KouKan12</t>
    <phoneticPr fontId="3" type="noConversion"/>
  </si>
  <si>
    <t>OrgElNo</t>
    <phoneticPr fontId="3" type="noConversion"/>
  </si>
  <si>
    <t>Cols</t>
    <phoneticPr fontId="3" type="noConversion"/>
  </si>
  <si>
    <t>Ary</t>
    <phoneticPr fontId="3" type="noConversion"/>
  </si>
  <si>
    <t>D:\GitHub\YuLong_SCM</t>
    <phoneticPr fontId="3" type="noConversion"/>
  </si>
  <si>
    <t xml:space="preserve">          </t>
  </si>
  <si>
    <t>序號</t>
    <phoneticPr fontId="3" type="noConversion"/>
  </si>
  <si>
    <t>客戶代號</t>
    <phoneticPr fontId="3" type="noConversion"/>
  </si>
  <si>
    <t>S訂單</t>
    <phoneticPr fontId="3" type="noConversion"/>
  </si>
  <si>
    <t>批號</t>
    <phoneticPr fontId="3" type="noConversion"/>
  </si>
  <si>
    <t>數量</t>
    <phoneticPr fontId="3" type="noConversion"/>
  </si>
  <si>
    <t>單價</t>
    <phoneticPr fontId="3" type="noConversion"/>
  </si>
  <si>
    <t>料號</t>
    <phoneticPr fontId="3" type="noConversion"/>
  </si>
  <si>
    <t>版本</t>
    <phoneticPr fontId="3" type="noConversion"/>
  </si>
  <si>
    <t>處理代號</t>
    <phoneticPr fontId="3" type="noConversion"/>
  </si>
  <si>
    <t>客戶料號</t>
    <phoneticPr fontId="3" type="noConversion"/>
  </si>
  <si>
    <t>原客戶PO</t>
    <phoneticPr fontId="3" type="noConversion"/>
  </si>
  <si>
    <t>select a.*, c.cu_no, b.od_serno, b.od_no, b.od_qty, b.od_price, b.el_no, b.el_ver, b.cr_code, b.cu_elnoold, b.cu_po_no1 from (</t>
  </si>
  <si>
    <t>) a left join (select cu_no, od_serno, od_no, od_qty, od_price, el_no, el_ver, cr_code, cu_elnoold, cu_po_no1 from ieod01d1 (nolock)) b on a.shipno=b.cu_po_no1 left join ieod01h c (nolock) on b.od_serno=c.od_serno order by a.item</t>
  </si>
  <si>
    <t>對帳單文字檔_區間20141101-20141130_201412.txt</t>
    <phoneticPr fontId="3" type="noConversion"/>
  </si>
  <si>
    <t>對帳單文字檔_區間20150101-20150131_201502.txt</t>
    <phoneticPr fontId="3" type="noConversion"/>
  </si>
  <si>
    <t>BD03802201</t>
  </si>
  <si>
    <t>BD03749901</t>
  </si>
  <si>
    <t>BD03750001</t>
  </si>
  <si>
    <t>BE00097901</t>
  </si>
  <si>
    <t>BE00098001</t>
  </si>
  <si>
    <t>BE00098101</t>
  </si>
  <si>
    <t>細項金額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</si>
</sst>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_ "/>
  </numFmts>
  <fonts count="10" x14ac:knownFonts="1">
    <font>
      <sz val="12"/>
      <color theme="1"/>
      <name val="新細明體"/>
      <family val="2"/>
      <scheme val="minor"/>
    </font>
    <font>
      <sz val="11"/>
      <color theme="1"/>
      <name val="新細明體"/>
      <family val="1"/>
      <charset val="136"/>
    </font>
    <font>
      <sz val="11"/>
      <color theme="1"/>
      <name val="Times New Roman"/>
      <family val="1"/>
    </font>
    <font>
      <sz val="9"/>
      <name val="新細明體"/>
      <family val="3"/>
      <charset val="136"/>
      <scheme val="minor"/>
    </font>
    <font>
      <sz val="10"/>
      <color theme="1"/>
      <name val="新細明體"/>
      <family val="2"/>
      <scheme val="minor"/>
    </font>
    <font>
      <sz val="11"/>
      <color theme="1"/>
      <name val="新細明體"/>
      <family val="1"/>
      <charset val="136"/>
      <scheme val="minor"/>
    </font>
    <font>
      <b/>
      <sz val="9"/>
      <color indexed="81"/>
      <name val="細明體"/>
      <family val="3"/>
      <charset val="136"/>
    </font>
    <font>
      <sz val="9"/>
      <color indexed="81"/>
      <name val="細明體"/>
      <family val="3"/>
      <charset val="136"/>
    </font>
    <font>
      <sz val="11"/>
      <color rgb="FF000000"/>
      <name val="新細明體"/>
      <family val="1"/>
      <charset val="136"/>
    </font>
    <font>
      <b/>
      <sz val="12"/>
      <color theme="1"/>
      <name val="新細明體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44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49" fontId="0" fillId="0" borderId="0" xfId="0" applyNumberFormat="1" applyAlignment="1">
      <alignment horizontal="center"/>
    </xf>
    <xf numFmtId="0" fontId="2" fillId="2" borderId="0" xfId="0" applyFont="1" applyFill="1" applyAlignment="1">
      <alignment vertical="center"/>
    </xf>
    <xf numFmtId="0" fontId="0" fillId="2" borderId="0" xfId="0" applyFill="1"/>
    <xf numFmtId="49" fontId="0" fillId="2" borderId="0" xfId="0" applyNumberFormat="1" applyFill="1" applyAlignment="1">
      <alignment horizontal="center"/>
    </xf>
    <xf numFmtId="49" fontId="0" fillId="3" borderId="0" xfId="0" applyNumberFormat="1" applyFill="1" applyAlignment="1">
      <alignment horizontal="center"/>
    </xf>
    <xf numFmtId="0" fontId="4" fillId="0" borderId="0" xfId="0" applyFont="1"/>
    <xf numFmtId="0" fontId="0" fillId="0" borderId="0" xfId="0" applyFont="1"/>
    <xf numFmtId="0" fontId="1" fillId="0" borderId="0" xfId="0" applyFont="1" applyFill="1" applyAlignment="1">
      <alignment vertical="center"/>
    </xf>
    <xf numFmtId="0" fontId="5" fillId="0" borderId="0" xfId="0" applyFont="1" applyAlignment="1">
      <alignment vertical="center"/>
    </xf>
    <xf numFmtId="0" fontId="0" fillId="0" borderId="0" xfId="0" applyAlignment="1">
      <alignment horizontal="center"/>
    </xf>
    <xf numFmtId="0" fontId="1" fillId="2" borderId="0" xfId="0" applyFont="1" applyFill="1" applyAlignment="1">
      <alignment vertical="center"/>
    </xf>
    <xf numFmtId="0" fontId="4" fillId="4" borderId="0" xfId="0" applyFont="1" applyFill="1"/>
    <xf numFmtId="0" fontId="0" fillId="0" borderId="0" xfId="0" applyFill="1"/>
    <xf numFmtId="0" fontId="0" fillId="0" borderId="0" xfId="0" applyFill="1" applyAlignment="1">
      <alignment horizontal="center"/>
    </xf>
    <xf numFmtId="0" fontId="0" fillId="4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Font="1" applyAlignment="1">
      <alignment horizontal="left"/>
    </xf>
    <xf numFmtId="0" fontId="4" fillId="0" borderId="0" xfId="0" applyFont="1" applyAlignment="1">
      <alignment horizontal="left"/>
    </xf>
    <xf numFmtId="0" fontId="0" fillId="0" borderId="0" xfId="0" applyAlignment="1">
      <alignment horizontal="left"/>
    </xf>
    <xf numFmtId="49" fontId="0" fillId="0" borderId="0" xfId="0" applyNumberFormat="1" applyFont="1"/>
    <xf numFmtId="49" fontId="0" fillId="0" borderId="0" xfId="0" applyNumberFormat="1"/>
    <xf numFmtId="0" fontId="4" fillId="6" borderId="0" xfId="0" applyFont="1" applyFill="1"/>
    <xf numFmtId="49" fontId="4" fillId="6" borderId="0" xfId="0" applyNumberFormat="1" applyFont="1" applyFill="1"/>
    <xf numFmtId="176" fontId="0" fillId="0" borderId="0" xfId="0" applyNumberFormat="1" applyFont="1"/>
    <xf numFmtId="176" fontId="4" fillId="0" borderId="0" xfId="0" applyNumberFormat="1" applyFont="1"/>
    <xf numFmtId="176" fontId="0" fillId="0" borderId="0" xfId="0" applyNumberFormat="1"/>
    <xf numFmtId="0" fontId="0" fillId="0" borderId="1" xfId="0" applyNumberFormat="1" applyBorder="1" applyAlignment="1">
      <alignment horizontal="center"/>
    </xf>
    <xf numFmtId="176" fontId="0" fillId="0" borderId="0" xfId="0" applyNumberFormat="1" applyAlignment="1">
      <alignment horizontal="center"/>
    </xf>
    <xf numFmtId="176" fontId="4" fillId="6" borderId="0" xfId="0" applyNumberFormat="1" applyFont="1" applyFill="1"/>
    <xf numFmtId="49" fontId="0" fillId="4" borderId="1" xfId="0" applyNumberFormat="1" applyFill="1" applyBorder="1" applyAlignment="1">
      <alignment horizontal="center"/>
    </xf>
    <xf numFmtId="49" fontId="0" fillId="0" borderId="1" xfId="0" applyNumberFormat="1" applyBorder="1" applyAlignment="1">
      <alignment horizontal="center"/>
    </xf>
    <xf numFmtId="49" fontId="4" fillId="4" borderId="0" xfId="0" applyNumberFormat="1" applyFont="1" applyFill="1"/>
    <xf numFmtId="49" fontId="4" fillId="0" borderId="0" xfId="0" applyNumberFormat="1" applyFont="1"/>
    <xf numFmtId="49" fontId="0" fillId="0" borderId="0" xfId="0" applyNumberFormat="1" applyFill="1"/>
    <xf numFmtId="176" fontId="0" fillId="0" borderId="0" xfId="0" applyNumberFormat="1" applyFill="1"/>
    <xf numFmtId="0" fontId="0" fillId="5" borderId="0" xfId="0" applyFill="1"/>
    <xf numFmtId="49" fontId="9" fillId="0" borderId="0" xfId="0" applyNumberFormat="1" applyFont="1"/>
    <xf numFmtId="0" fontId="4" fillId="0" borderId="0" xfId="0" applyFont="1" applyAlignment="1">
      <alignment horizontal="center"/>
    </xf>
    <xf numFmtId="49" fontId="0" fillId="5" borderId="2" xfId="0" applyNumberFormat="1" applyFont="1" applyFill="1" applyBorder="1" applyAlignment="1"/>
    <xf numFmtId="0" fontId="0" fillId="5" borderId="2" xfId="0" applyFont="1" applyFill="1" applyBorder="1" applyAlignment="1"/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238125</xdr:colOff>
          <xdr:row>0</xdr:row>
          <xdr:rowOff>9525</xdr:rowOff>
        </xdr:from>
        <xdr:to>
          <xdr:col>17</xdr:col>
          <xdr:colOff>180975</xdr:colOff>
          <xdr:row>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讀取對帳單資料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190500</xdr:colOff>
          <xdr:row>0</xdr:row>
          <xdr:rowOff>9525</xdr:rowOff>
        </xdr:from>
        <xdr:to>
          <xdr:col>18</xdr:col>
          <xdr:colOff>314325</xdr:colOff>
          <xdr:row>1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清除資料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0</xdr:row>
          <xdr:rowOff>0</xdr:rowOff>
        </xdr:from>
        <xdr:to>
          <xdr:col>20</xdr:col>
          <xdr:colOff>247650</xdr:colOff>
          <xdr:row>0</xdr:row>
          <xdr:rowOff>266700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小計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257175</xdr:colOff>
          <xdr:row>0</xdr:row>
          <xdr:rowOff>0</xdr:rowOff>
        </xdr:from>
        <xdr:to>
          <xdr:col>21</xdr:col>
          <xdr:colOff>285750</xdr:colOff>
          <xdr:row>0</xdr:row>
          <xdr:rowOff>266700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清除小計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2">
    <pageSetUpPr fitToPage="1"/>
  </sheetPr>
  <dimension ref="A1:M33"/>
  <sheetViews>
    <sheetView tabSelected="1" topLeftCell="A4" workbookViewId="0">
      <selection activeCell="H18" sqref="H18"/>
    </sheetView>
  </sheetViews>
  <sheetFormatPr defaultRowHeight="16.5" x14ac:dyDescent="0.25"/>
  <cols>
    <col min="1" max="1" width="23.75" customWidth="1"/>
    <col min="2" max="2" width="5.875" hidden="1" customWidth="1"/>
    <col min="3" max="3" width="16.125" bestFit="1" customWidth="1"/>
    <col min="7" max="7" width="9" style="3"/>
    <col min="8" max="8" width="7.125" style="3" customWidth="1"/>
    <col min="9" max="9" width="7.5" style="12" customWidth="1"/>
    <col min="10" max="10" width="7" hidden="1" customWidth="1"/>
    <col min="11" max="11" width="7.125" hidden="1" customWidth="1"/>
    <col min="12" max="12" width="27.625" customWidth="1"/>
    <col min="13" max="13" width="29.125" customWidth="1"/>
  </cols>
  <sheetData>
    <row r="1" spans="1:13" x14ac:dyDescent="0.25">
      <c r="C1" t="s">
        <v>59</v>
      </c>
      <c r="D1" t="s">
        <v>60</v>
      </c>
      <c r="E1" t="s">
        <v>61</v>
      </c>
      <c r="F1" t="s">
        <v>62</v>
      </c>
      <c r="G1" s="3" t="s">
        <v>63</v>
      </c>
      <c r="H1" s="3" t="s">
        <v>96</v>
      </c>
      <c r="I1" s="12" t="s">
        <v>97</v>
      </c>
    </row>
    <row r="2" spans="1:13" x14ac:dyDescent="0.25">
      <c r="A2" s="1" t="s">
        <v>5</v>
      </c>
      <c r="B2" s="1" t="s">
        <v>67</v>
      </c>
      <c r="C2" t="s">
        <v>6</v>
      </c>
      <c r="D2">
        <v>1</v>
      </c>
      <c r="E2">
        <v>1</v>
      </c>
      <c r="F2">
        <f>E2-D2+1</f>
        <v>1</v>
      </c>
      <c r="G2" s="7">
        <v>1</v>
      </c>
      <c r="H2" s="12">
        <v>1</v>
      </c>
      <c r="I2" s="19">
        <v>1</v>
      </c>
      <c r="J2" t="str">
        <f>"Dim " &amp; B2 &amp; " as string"</f>
        <v>Dim tag as string</v>
      </c>
      <c r="K2" t="str">
        <f>B2 &amp; " = " &amp; "Mid(InputStr, " &amp; D2 &amp; ", " &amp; F2 &amp; ")"</f>
        <v>tag = Mid(InputStr, 1, 1)</v>
      </c>
      <c r="L2" t="str">
        <f>"strAry(" &amp; I2 &amp; ") = " &amp; "Mid(pStr, " &amp; D2 &amp; ", " &amp; F2 &amp; ")"</f>
        <v>strAry(1) = Mid(pStr, 1, 1)</v>
      </c>
      <c r="M2" t="str">
        <f>"Cells(pPos, " &amp; H2 &amp; ")=strAry(" &amp; I2 &amp; ")"</f>
        <v>Cells(pPos, 1)=strAry(1)</v>
      </c>
    </row>
    <row r="3" spans="1:13" x14ac:dyDescent="0.25">
      <c r="A3" s="1" t="s">
        <v>7</v>
      </c>
      <c r="B3" s="1" t="s">
        <v>68</v>
      </c>
      <c r="C3" t="s">
        <v>8</v>
      </c>
      <c r="D3">
        <v>11</v>
      </c>
      <c r="E3">
        <v>15</v>
      </c>
      <c r="F3">
        <f t="shared" ref="F3:F30" si="0">E3-D3+1</f>
        <v>5</v>
      </c>
      <c r="H3" s="12">
        <v>2</v>
      </c>
      <c r="I3" s="19">
        <v>2</v>
      </c>
      <c r="J3" t="str">
        <f t="shared" ref="J3:J30" si="1">"Dim " &amp; B3 &amp; " as string"</f>
        <v>Dim CuNo as string</v>
      </c>
      <c r="K3" t="str">
        <f t="shared" ref="K3:K30" si="2">B3 &amp; " = " &amp; "Mid(InputStr, " &amp; D3 &amp; ", " &amp; F3 &amp; ")"</f>
        <v>CuNo = Mid(InputStr, 11, 5)</v>
      </c>
      <c r="L3" t="str">
        <f t="shared" ref="L3:L30" si="3">"strAry(" &amp; I3 &amp; ") = " &amp; "Mid(pStr, " &amp; D3 &amp; ", " &amp; F3 &amp; ")"</f>
        <v>strAry(2) = Mid(pStr, 11, 5)</v>
      </c>
      <c r="M3" t="str">
        <f t="shared" ref="M3:M30" si="4">"Cells(pPos, " &amp; H3 &amp; ")=strAry(" &amp; I3 &amp; ")"</f>
        <v>Cells(pPos, 2)=strAry(2)</v>
      </c>
    </row>
    <row r="4" spans="1:13" x14ac:dyDescent="0.25">
      <c r="A4" s="1" t="s">
        <v>9</v>
      </c>
      <c r="B4" s="1" t="s">
        <v>69</v>
      </c>
      <c r="C4" t="s">
        <v>10</v>
      </c>
      <c r="D4">
        <v>16</v>
      </c>
      <c r="E4">
        <v>21</v>
      </c>
      <c r="F4">
        <f t="shared" si="0"/>
        <v>6</v>
      </c>
      <c r="H4" s="12">
        <v>3</v>
      </c>
      <c r="I4" s="19">
        <v>3</v>
      </c>
      <c r="J4" t="str">
        <f t="shared" si="1"/>
        <v>Dim AccBd as string</v>
      </c>
      <c r="K4" t="str">
        <f t="shared" si="2"/>
        <v>AccBd = Mid(InputStr, 16, 6)</v>
      </c>
      <c r="L4" t="str">
        <f t="shared" si="3"/>
        <v>strAry(3) = Mid(pStr, 16, 6)</v>
      </c>
      <c r="M4" t="str">
        <f t="shared" si="4"/>
        <v>Cells(pPos, 3)=strAry(3)</v>
      </c>
    </row>
    <row r="5" spans="1:13" x14ac:dyDescent="0.25">
      <c r="B5" s="1" t="s">
        <v>70</v>
      </c>
      <c r="C5" t="s">
        <v>11</v>
      </c>
      <c r="D5">
        <v>22</v>
      </c>
      <c r="E5">
        <v>27</v>
      </c>
      <c r="F5">
        <f t="shared" si="0"/>
        <v>6</v>
      </c>
      <c r="H5" s="12">
        <v>4</v>
      </c>
      <c r="I5" s="19">
        <v>4</v>
      </c>
      <c r="J5" t="str">
        <f t="shared" si="1"/>
        <v>Dim AccEd as string</v>
      </c>
      <c r="K5" t="str">
        <f t="shared" si="2"/>
        <v>AccEd = Mid(InputStr, 22, 6)</v>
      </c>
      <c r="L5" t="str">
        <f t="shared" si="3"/>
        <v>strAry(4) = Mid(pStr, 22, 6)</v>
      </c>
      <c r="M5" t="str">
        <f t="shared" si="4"/>
        <v>Cells(pPos, 4)=strAry(4)</v>
      </c>
    </row>
    <row r="6" spans="1:13" x14ac:dyDescent="0.25">
      <c r="A6" s="1" t="s">
        <v>12</v>
      </c>
      <c r="B6" s="1" t="s">
        <v>67</v>
      </c>
      <c r="C6" t="s">
        <v>13</v>
      </c>
      <c r="D6">
        <v>1</v>
      </c>
      <c r="E6">
        <v>1</v>
      </c>
      <c r="F6">
        <f t="shared" si="0"/>
        <v>1</v>
      </c>
      <c r="G6" s="7">
        <v>2</v>
      </c>
      <c r="H6" s="12">
        <v>5</v>
      </c>
      <c r="I6" s="12">
        <v>1</v>
      </c>
      <c r="J6" t="str">
        <f t="shared" si="1"/>
        <v>Dim tag as string</v>
      </c>
      <c r="K6" t="str">
        <f t="shared" si="2"/>
        <v>tag = Mid(InputStr, 1, 1)</v>
      </c>
      <c r="L6" t="str">
        <f t="shared" si="3"/>
        <v>strAry(1) = Mid(pStr, 1, 1)</v>
      </c>
      <c r="M6" t="str">
        <f t="shared" si="4"/>
        <v>Cells(pPos, 5)=strAry(1)</v>
      </c>
    </row>
    <row r="7" spans="1:13" x14ac:dyDescent="0.25">
      <c r="A7" s="1" t="s">
        <v>14</v>
      </c>
      <c r="B7" s="1" t="s">
        <v>71</v>
      </c>
      <c r="C7" t="s">
        <v>15</v>
      </c>
      <c r="D7">
        <v>2</v>
      </c>
      <c r="E7">
        <v>8</v>
      </c>
      <c r="F7">
        <f t="shared" si="0"/>
        <v>7</v>
      </c>
      <c r="H7" s="12">
        <v>6</v>
      </c>
      <c r="I7" s="12">
        <v>2</v>
      </c>
      <c r="J7" t="str">
        <f t="shared" si="1"/>
        <v>Dim ListNo as string</v>
      </c>
      <c r="K7" t="str">
        <f t="shared" si="2"/>
        <v>ListNo = Mid(InputStr, 2, 7)</v>
      </c>
      <c r="L7" t="str">
        <f t="shared" si="3"/>
        <v>strAry(2) = Mid(pStr, 2, 7)</v>
      </c>
      <c r="M7" t="str">
        <f t="shared" si="4"/>
        <v>Cells(pPos, 6)=strAry(2)</v>
      </c>
    </row>
    <row r="8" spans="1:13" x14ac:dyDescent="0.25">
      <c r="A8" s="1" t="s">
        <v>16</v>
      </c>
      <c r="B8" s="1" t="s">
        <v>72</v>
      </c>
      <c r="C8" t="s">
        <v>17</v>
      </c>
      <c r="D8">
        <v>9</v>
      </c>
      <c r="E8">
        <v>10</v>
      </c>
      <c r="F8">
        <f t="shared" si="0"/>
        <v>2</v>
      </c>
      <c r="H8" s="12">
        <v>7</v>
      </c>
      <c r="I8" s="12">
        <v>3</v>
      </c>
      <c r="J8" t="str">
        <f t="shared" si="1"/>
        <v>Dim ListSeq as string</v>
      </c>
      <c r="K8" t="str">
        <f t="shared" si="2"/>
        <v>ListSeq = Mid(InputStr, 9, 2)</v>
      </c>
      <c r="L8" t="str">
        <f t="shared" si="3"/>
        <v>strAry(3) = Mid(pStr, 9, 2)</v>
      </c>
      <c r="M8" t="str">
        <f t="shared" si="4"/>
        <v>Cells(pPos, 7)=strAry(3)</v>
      </c>
    </row>
    <row r="9" spans="1:13" x14ac:dyDescent="0.25">
      <c r="A9" s="1" t="s">
        <v>18</v>
      </c>
      <c r="B9" s="1" t="s">
        <v>73</v>
      </c>
      <c r="C9" t="s">
        <v>19</v>
      </c>
      <c r="D9">
        <v>11</v>
      </c>
      <c r="E9">
        <v>12</v>
      </c>
      <c r="F9">
        <f t="shared" si="0"/>
        <v>2</v>
      </c>
      <c r="G9" s="3" t="s">
        <v>20</v>
      </c>
      <c r="H9" s="12">
        <v>8</v>
      </c>
      <c r="I9" s="12">
        <v>4</v>
      </c>
      <c r="J9" t="str">
        <f t="shared" si="1"/>
        <v>Dim ListType as string</v>
      </c>
      <c r="K9" t="str">
        <f t="shared" si="2"/>
        <v>ListType = Mid(InputStr, 11, 2)</v>
      </c>
      <c r="L9" t="str">
        <f t="shared" si="3"/>
        <v>strAry(4) = Mid(pStr, 11, 2)</v>
      </c>
      <c r="M9" t="str">
        <f t="shared" si="4"/>
        <v>Cells(pPos, 8)=strAry(4)</v>
      </c>
    </row>
    <row r="10" spans="1:13" x14ac:dyDescent="0.25">
      <c r="A10" s="1" t="s">
        <v>21</v>
      </c>
      <c r="B10" s="1" t="s">
        <v>74</v>
      </c>
      <c r="C10" t="s">
        <v>22</v>
      </c>
      <c r="D10">
        <v>13</v>
      </c>
      <c r="E10">
        <v>19</v>
      </c>
      <c r="F10">
        <f t="shared" si="0"/>
        <v>7</v>
      </c>
      <c r="H10" s="12">
        <v>9</v>
      </c>
      <c r="I10" s="12">
        <v>5</v>
      </c>
      <c r="J10" t="str">
        <f t="shared" si="1"/>
        <v>Dim Contract as string</v>
      </c>
      <c r="K10" t="str">
        <f t="shared" si="2"/>
        <v>Contract = Mid(InputStr, 13, 7)</v>
      </c>
      <c r="L10" t="str">
        <f t="shared" si="3"/>
        <v>strAry(5) = Mid(pStr, 13, 7)</v>
      </c>
      <c r="M10" t="str">
        <f t="shared" si="4"/>
        <v>Cells(pPos, 9)=strAry(5)</v>
      </c>
    </row>
    <row r="11" spans="1:13" x14ac:dyDescent="0.25">
      <c r="A11" s="1" t="s">
        <v>23</v>
      </c>
      <c r="B11" s="1" t="s">
        <v>75</v>
      </c>
      <c r="C11" t="s">
        <v>45</v>
      </c>
      <c r="D11">
        <v>20</v>
      </c>
      <c r="E11">
        <v>29</v>
      </c>
      <c r="F11">
        <f t="shared" si="0"/>
        <v>10</v>
      </c>
      <c r="H11" s="12">
        <v>10</v>
      </c>
      <c r="I11" s="12">
        <v>6</v>
      </c>
      <c r="J11" t="str">
        <f t="shared" si="1"/>
        <v>Dim ShipNote as string</v>
      </c>
      <c r="K11" t="str">
        <f t="shared" si="2"/>
        <v>ShipNote = Mid(InputStr, 20, 10)</v>
      </c>
      <c r="L11" t="str">
        <f t="shared" si="3"/>
        <v>strAry(6) = Mid(pStr, 20, 10)</v>
      </c>
      <c r="M11" t="str">
        <f t="shared" si="4"/>
        <v>Cells(pPos, 10)=strAry(6)</v>
      </c>
    </row>
    <row r="12" spans="1:13" x14ac:dyDescent="0.25">
      <c r="A12" s="1" t="s">
        <v>24</v>
      </c>
      <c r="B12" s="1" t="s">
        <v>76</v>
      </c>
      <c r="C12" t="s">
        <v>25</v>
      </c>
      <c r="D12">
        <v>30</v>
      </c>
      <c r="E12">
        <v>31</v>
      </c>
      <c r="F12">
        <f t="shared" si="0"/>
        <v>2</v>
      </c>
      <c r="G12" s="3" t="s">
        <v>48</v>
      </c>
      <c r="H12" s="12">
        <v>11</v>
      </c>
      <c r="I12" s="12">
        <v>7</v>
      </c>
      <c r="J12" t="str">
        <f t="shared" si="1"/>
        <v>Dim Class as string</v>
      </c>
      <c r="K12" t="str">
        <f t="shared" si="2"/>
        <v>Class = Mid(InputStr, 30, 2)</v>
      </c>
      <c r="L12" t="str">
        <f t="shared" si="3"/>
        <v>strAry(7) = Mid(pStr, 30, 2)</v>
      </c>
      <c r="M12" t="str">
        <f t="shared" si="4"/>
        <v>Cells(pPos, 11)=strAry(7)</v>
      </c>
    </row>
    <row r="13" spans="1:13" x14ac:dyDescent="0.25">
      <c r="A13" s="1" t="s">
        <v>26</v>
      </c>
      <c r="B13" s="1" t="s">
        <v>95</v>
      </c>
      <c r="C13" t="s">
        <v>64</v>
      </c>
      <c r="D13">
        <v>32</v>
      </c>
      <c r="E13">
        <v>41</v>
      </c>
      <c r="F13">
        <f t="shared" si="0"/>
        <v>10</v>
      </c>
      <c r="H13" s="12">
        <v>12</v>
      </c>
      <c r="I13" s="12">
        <v>8</v>
      </c>
      <c r="J13" t="str">
        <f t="shared" si="1"/>
        <v>Dim OrgElNo as string</v>
      </c>
      <c r="K13" t="str">
        <f t="shared" si="2"/>
        <v>OrgElNo = Mid(InputStr, 32, 10)</v>
      </c>
      <c r="L13" t="str">
        <f t="shared" si="3"/>
        <v>strAry(8) = Mid(pStr, 32, 10)</v>
      </c>
      <c r="M13" t="str">
        <f t="shared" si="4"/>
        <v>Cells(pPos, 12)=strAry(8)</v>
      </c>
    </row>
    <row r="14" spans="1:13" x14ac:dyDescent="0.25">
      <c r="A14" s="1" t="s">
        <v>51</v>
      </c>
      <c r="B14" s="1" t="s">
        <v>78</v>
      </c>
      <c r="C14" t="s">
        <v>52</v>
      </c>
      <c r="D14">
        <v>42</v>
      </c>
      <c r="E14">
        <v>42</v>
      </c>
      <c r="F14">
        <f>E14-D14+1</f>
        <v>1</v>
      </c>
      <c r="G14" s="3" t="s">
        <v>49</v>
      </c>
      <c r="H14" s="12">
        <v>13</v>
      </c>
      <c r="I14" s="12">
        <v>10</v>
      </c>
      <c r="J14" t="str">
        <f t="shared" si="1"/>
        <v>Dim Quality as string</v>
      </c>
      <c r="K14" t="str">
        <f t="shared" si="2"/>
        <v>Quality = Mid(InputStr, 42, 1)</v>
      </c>
      <c r="L14" t="str">
        <f t="shared" si="3"/>
        <v>strAry(10) = Mid(pStr, 42, 1)</v>
      </c>
      <c r="M14" t="str">
        <f t="shared" si="4"/>
        <v>Cells(pPos, 13)=strAry(10)</v>
      </c>
    </row>
    <row r="15" spans="1:13" x14ac:dyDescent="0.25">
      <c r="A15" s="1" t="s">
        <v>27</v>
      </c>
      <c r="B15" s="1" t="s">
        <v>79</v>
      </c>
      <c r="C15" t="s">
        <v>28</v>
      </c>
      <c r="D15">
        <v>43</v>
      </c>
      <c r="E15">
        <v>51</v>
      </c>
      <c r="F15">
        <f t="shared" si="0"/>
        <v>9</v>
      </c>
      <c r="H15" s="12">
        <v>14</v>
      </c>
      <c r="I15" s="12">
        <v>11</v>
      </c>
      <c r="J15" t="str">
        <f t="shared" si="1"/>
        <v>Dim Qty as string</v>
      </c>
      <c r="K15" t="str">
        <f t="shared" si="2"/>
        <v>Qty = Mid(InputStr, 43, 9)</v>
      </c>
      <c r="L15" t="str">
        <f t="shared" si="3"/>
        <v>strAry(11) = Mid(pStr, 43, 9)</v>
      </c>
      <c r="M15" t="str">
        <f t="shared" si="4"/>
        <v>Cells(pPos, 14)=strAry(11)</v>
      </c>
    </row>
    <row r="16" spans="1:13" x14ac:dyDescent="0.25">
      <c r="A16" s="10"/>
      <c r="B16" s="10" t="s">
        <v>80</v>
      </c>
      <c r="C16" t="s">
        <v>50</v>
      </c>
      <c r="D16">
        <v>52</v>
      </c>
      <c r="E16">
        <v>60</v>
      </c>
      <c r="F16">
        <f t="shared" si="0"/>
        <v>9</v>
      </c>
      <c r="H16" s="12">
        <v>15</v>
      </c>
      <c r="I16" s="12">
        <v>12</v>
      </c>
      <c r="J16" t="str">
        <f t="shared" si="1"/>
        <v>Dim QtyOK as string</v>
      </c>
      <c r="K16" t="str">
        <f t="shared" si="2"/>
        <v>QtyOK = Mid(InputStr, 52, 9)</v>
      </c>
      <c r="L16" t="str">
        <f t="shared" si="3"/>
        <v>strAry(12) = Mid(pStr, 52, 9)</v>
      </c>
      <c r="M16" t="str">
        <f t="shared" si="4"/>
        <v>Cells(pPos, 15)=strAry(12)</v>
      </c>
    </row>
    <row r="17" spans="1:13" x14ac:dyDescent="0.25">
      <c r="A17" s="1" t="s">
        <v>29</v>
      </c>
      <c r="B17" s="1" t="s">
        <v>81</v>
      </c>
      <c r="C17" t="s">
        <v>30</v>
      </c>
      <c r="D17">
        <v>61</v>
      </c>
      <c r="E17">
        <v>63</v>
      </c>
      <c r="F17">
        <f t="shared" si="0"/>
        <v>3</v>
      </c>
      <c r="H17" s="12">
        <v>16</v>
      </c>
      <c r="I17" s="12">
        <v>13</v>
      </c>
      <c r="J17" t="str">
        <f t="shared" si="1"/>
        <v>Dim Unit as string</v>
      </c>
      <c r="K17" t="str">
        <f t="shared" si="2"/>
        <v>Unit = Mid(InputStr, 61, 3)</v>
      </c>
      <c r="L17" t="str">
        <f t="shared" si="3"/>
        <v>strAry(13) = Mid(pStr, 61, 3)</v>
      </c>
      <c r="M17" t="str">
        <f t="shared" si="4"/>
        <v>Cells(pPos, 16)=strAry(13)</v>
      </c>
    </row>
    <row r="18" spans="1:13" x14ac:dyDescent="0.25">
      <c r="A18" s="1" t="s">
        <v>47</v>
      </c>
      <c r="B18" s="1" t="s">
        <v>82</v>
      </c>
      <c r="C18" t="s">
        <v>53</v>
      </c>
      <c r="D18">
        <v>64</v>
      </c>
      <c r="E18">
        <v>75</v>
      </c>
      <c r="F18">
        <f t="shared" si="0"/>
        <v>12</v>
      </c>
      <c r="H18" s="12">
        <v>17</v>
      </c>
      <c r="I18" s="12">
        <v>14</v>
      </c>
      <c r="J18" t="str">
        <f t="shared" si="1"/>
        <v>Dim Price as string</v>
      </c>
      <c r="K18" t="str">
        <f t="shared" si="2"/>
        <v>Price = Mid(InputStr, 64, 12)</v>
      </c>
      <c r="L18" t="str">
        <f t="shared" si="3"/>
        <v>strAry(14) = Mid(pStr, 64, 12)</v>
      </c>
      <c r="M18" t="str">
        <f t="shared" si="4"/>
        <v>Cells(pPos, 17)=strAry(14)</v>
      </c>
    </row>
    <row r="19" spans="1:13" x14ac:dyDescent="0.25">
      <c r="A19" s="1" t="s">
        <v>1</v>
      </c>
      <c r="B19" s="1" t="s">
        <v>84</v>
      </c>
      <c r="C19" t="s">
        <v>34</v>
      </c>
      <c r="D19">
        <v>76</v>
      </c>
      <c r="E19">
        <v>84</v>
      </c>
      <c r="F19">
        <f t="shared" si="0"/>
        <v>9</v>
      </c>
      <c r="H19" s="12">
        <v>18</v>
      </c>
      <c r="I19" s="12">
        <v>15</v>
      </c>
      <c r="J19" t="str">
        <f t="shared" si="1"/>
        <v>Dim Amt00 as string</v>
      </c>
      <c r="K19" t="str">
        <f t="shared" si="2"/>
        <v>Amt00 = Mid(InputStr, 76, 9)</v>
      </c>
      <c r="L19" t="str">
        <f t="shared" si="3"/>
        <v>strAry(15) = Mid(pStr, 76, 9)</v>
      </c>
      <c r="M19" t="str">
        <f t="shared" si="4"/>
        <v>Cells(pPos, 18)=strAry(15)</v>
      </c>
    </row>
    <row r="20" spans="1:13" x14ac:dyDescent="0.25">
      <c r="A20" s="1" t="s">
        <v>54</v>
      </c>
      <c r="B20" s="1" t="s">
        <v>83</v>
      </c>
      <c r="C20" t="s">
        <v>55</v>
      </c>
      <c r="D20">
        <v>85</v>
      </c>
      <c r="E20">
        <v>92</v>
      </c>
      <c r="F20">
        <f t="shared" si="0"/>
        <v>8</v>
      </c>
      <c r="H20" s="12">
        <v>19</v>
      </c>
      <c r="I20" s="12">
        <v>16</v>
      </c>
      <c r="J20" t="str">
        <f t="shared" si="1"/>
        <v>Dim DevD as string</v>
      </c>
      <c r="K20" t="str">
        <f t="shared" si="2"/>
        <v>DevD = Mid(InputStr, 85, 8)</v>
      </c>
      <c r="L20" t="str">
        <f t="shared" si="3"/>
        <v>strAry(16) = Mid(pStr, 85, 8)</v>
      </c>
      <c r="M20" t="str">
        <f t="shared" si="4"/>
        <v>Cells(pPos, 19)=strAry(16)</v>
      </c>
    </row>
    <row r="21" spans="1:13" x14ac:dyDescent="0.25">
      <c r="A21" s="2" t="s">
        <v>2</v>
      </c>
      <c r="B21" s="11" t="s">
        <v>91</v>
      </c>
      <c r="C21" t="s">
        <v>36</v>
      </c>
      <c r="D21">
        <v>93</v>
      </c>
      <c r="E21">
        <v>101</v>
      </c>
      <c r="F21">
        <f t="shared" si="0"/>
        <v>9</v>
      </c>
      <c r="H21" s="12">
        <v>20</v>
      </c>
      <c r="I21" s="12">
        <v>17</v>
      </c>
      <c r="J21" t="str">
        <f t="shared" si="1"/>
        <v>Dim KouKan01 as string</v>
      </c>
      <c r="K21" t="str">
        <f t="shared" si="2"/>
        <v>KouKan01 = Mid(InputStr, 93, 9)</v>
      </c>
      <c r="L21" t="str">
        <f t="shared" si="3"/>
        <v>strAry(17) = Mid(pStr, 93, 9)</v>
      </c>
      <c r="M21" t="str">
        <f t="shared" si="4"/>
        <v>Cells(pPos, 20)=strAry(17)</v>
      </c>
    </row>
    <row r="22" spans="1:13" x14ac:dyDescent="0.25">
      <c r="A22" s="1" t="s">
        <v>3</v>
      </c>
      <c r="B22" s="1" t="s">
        <v>92</v>
      </c>
      <c r="C22" t="s">
        <v>38</v>
      </c>
      <c r="D22">
        <v>102</v>
      </c>
      <c r="E22">
        <v>110</v>
      </c>
      <c r="F22">
        <f t="shared" si="0"/>
        <v>9</v>
      </c>
      <c r="H22" s="12">
        <v>21</v>
      </c>
      <c r="I22" s="12">
        <v>18</v>
      </c>
      <c r="J22" t="str">
        <f t="shared" si="1"/>
        <v>Dim KouKan02 as string</v>
      </c>
      <c r="K22" t="str">
        <f t="shared" si="2"/>
        <v>KouKan02 = Mid(InputStr, 102, 9)</v>
      </c>
      <c r="L22" t="str">
        <f t="shared" si="3"/>
        <v>strAry(18) = Mid(pStr, 102, 9)</v>
      </c>
      <c r="M22" t="str">
        <f t="shared" si="4"/>
        <v>Cells(pPos, 21)=strAry(18)</v>
      </c>
    </row>
    <row r="23" spans="1:13" x14ac:dyDescent="0.25">
      <c r="A23" s="1" t="s">
        <v>4</v>
      </c>
      <c r="B23" s="1" t="s">
        <v>85</v>
      </c>
      <c r="C23" t="s">
        <v>40</v>
      </c>
      <c r="D23">
        <v>111</v>
      </c>
      <c r="E23">
        <v>119</v>
      </c>
      <c r="F23">
        <f t="shared" si="0"/>
        <v>9</v>
      </c>
      <c r="H23" s="12">
        <v>22</v>
      </c>
      <c r="I23" s="12">
        <v>19</v>
      </c>
      <c r="J23" t="str">
        <f t="shared" si="1"/>
        <v>Dim Amt01 as string</v>
      </c>
      <c r="K23" t="str">
        <f t="shared" si="2"/>
        <v>Amt01 = Mid(InputStr, 111, 9)</v>
      </c>
      <c r="L23" t="str">
        <f t="shared" si="3"/>
        <v>strAry(19) = Mid(pStr, 111, 9)</v>
      </c>
      <c r="M23" t="str">
        <f t="shared" si="4"/>
        <v>Cells(pPos, 22)=strAry(19)</v>
      </c>
    </row>
    <row r="24" spans="1:13" x14ac:dyDescent="0.25">
      <c r="A24" s="1" t="s">
        <v>41</v>
      </c>
      <c r="B24" s="1" t="s">
        <v>87</v>
      </c>
      <c r="C24" t="s">
        <v>42</v>
      </c>
      <c r="D24">
        <v>121</v>
      </c>
      <c r="E24">
        <v>121</v>
      </c>
      <c r="F24">
        <f t="shared" si="0"/>
        <v>1</v>
      </c>
      <c r="G24" s="3" t="s">
        <v>56</v>
      </c>
      <c r="H24" s="12">
        <v>23</v>
      </c>
      <c r="I24" s="12">
        <v>21</v>
      </c>
      <c r="J24" t="str">
        <f t="shared" si="1"/>
        <v>Dim Check as string</v>
      </c>
      <c r="K24" t="str">
        <f t="shared" si="2"/>
        <v>Check = Mid(InputStr, 121, 1)</v>
      </c>
      <c r="L24" t="str">
        <f t="shared" si="3"/>
        <v>strAry(21) = Mid(pStr, 121, 1)</v>
      </c>
      <c r="M24" t="str">
        <f t="shared" si="4"/>
        <v>Cells(pPos, 23)=strAry(21)</v>
      </c>
    </row>
    <row r="25" spans="1:13" x14ac:dyDescent="0.25">
      <c r="A25" s="1" t="s">
        <v>43</v>
      </c>
      <c r="B25" s="1" t="s">
        <v>88</v>
      </c>
      <c r="C25" t="s">
        <v>44</v>
      </c>
      <c r="D25">
        <v>122</v>
      </c>
      <c r="E25">
        <v>122</v>
      </c>
      <c r="F25">
        <f t="shared" si="0"/>
        <v>1</v>
      </c>
      <c r="G25" s="3" t="s">
        <v>57</v>
      </c>
      <c r="H25" s="12">
        <v>24</v>
      </c>
      <c r="I25" s="12">
        <v>22</v>
      </c>
      <c r="J25" t="str">
        <f t="shared" si="1"/>
        <v>Dim Rec as string</v>
      </c>
      <c r="K25" t="str">
        <f t="shared" si="2"/>
        <v>Rec = Mid(InputStr, 122, 1)</v>
      </c>
      <c r="L25" t="str">
        <f t="shared" si="3"/>
        <v>strAry(22) = Mid(pStr, 122, 1)</v>
      </c>
      <c r="M25" t="str">
        <f t="shared" si="4"/>
        <v>Cells(pPos, 24)=strAry(22)</v>
      </c>
    </row>
    <row r="26" spans="1:13" x14ac:dyDescent="0.25">
      <c r="A26" s="1" t="s">
        <v>31</v>
      </c>
      <c r="B26" s="1" t="s">
        <v>67</v>
      </c>
      <c r="C26" t="s">
        <v>32</v>
      </c>
      <c r="D26">
        <v>1</v>
      </c>
      <c r="E26">
        <v>1</v>
      </c>
      <c r="F26">
        <f t="shared" si="0"/>
        <v>1</v>
      </c>
      <c r="G26" s="7" t="s">
        <v>46</v>
      </c>
      <c r="H26" s="12">
        <v>25</v>
      </c>
      <c r="I26" s="19">
        <v>1</v>
      </c>
      <c r="J26" t="str">
        <f t="shared" si="1"/>
        <v>Dim tag as string</v>
      </c>
      <c r="K26" t="str">
        <f t="shared" si="2"/>
        <v>tag = Mid(InputStr, 1, 1)</v>
      </c>
      <c r="L26" t="str">
        <f t="shared" si="3"/>
        <v>strAry(1) = Mid(pStr, 1, 1)</v>
      </c>
      <c r="M26" t="str">
        <f t="shared" si="4"/>
        <v>Cells(pPos, 25)=strAry(1)</v>
      </c>
    </row>
    <row r="27" spans="1:13" x14ac:dyDescent="0.25">
      <c r="A27" s="1" t="s">
        <v>33</v>
      </c>
      <c r="B27" s="1" t="s">
        <v>89</v>
      </c>
      <c r="C27" t="s">
        <v>34</v>
      </c>
      <c r="D27">
        <v>2</v>
      </c>
      <c r="E27">
        <v>10</v>
      </c>
      <c r="F27">
        <f t="shared" si="0"/>
        <v>9</v>
      </c>
      <c r="H27" s="12">
        <v>26</v>
      </c>
      <c r="I27" s="19">
        <v>2</v>
      </c>
      <c r="J27" t="str">
        <f t="shared" si="1"/>
        <v>Dim Amt11 as string</v>
      </c>
      <c r="K27" t="str">
        <f t="shared" si="2"/>
        <v>Amt11 = Mid(InputStr, 2, 9)</v>
      </c>
      <c r="L27" t="str">
        <f t="shared" si="3"/>
        <v>strAry(2) = Mid(pStr, 2, 9)</v>
      </c>
      <c r="M27" t="str">
        <f t="shared" si="4"/>
        <v>Cells(pPos, 26)=strAry(2)</v>
      </c>
    </row>
    <row r="28" spans="1:13" x14ac:dyDescent="0.25">
      <c r="A28" s="2" t="s">
        <v>35</v>
      </c>
      <c r="B28" s="11" t="s">
        <v>93</v>
      </c>
      <c r="C28" t="s">
        <v>36</v>
      </c>
      <c r="D28">
        <v>11</v>
      </c>
      <c r="E28">
        <v>19</v>
      </c>
      <c r="F28">
        <f t="shared" si="0"/>
        <v>9</v>
      </c>
      <c r="H28" s="12">
        <v>27</v>
      </c>
      <c r="I28" s="19">
        <v>3</v>
      </c>
      <c r="J28" t="str">
        <f t="shared" si="1"/>
        <v>Dim KouKan11 as string</v>
      </c>
      <c r="K28" t="str">
        <f t="shared" si="2"/>
        <v>KouKan11 = Mid(InputStr, 11, 9)</v>
      </c>
      <c r="L28" t="str">
        <f t="shared" si="3"/>
        <v>strAry(3) = Mid(pStr, 11, 9)</v>
      </c>
      <c r="M28" t="str">
        <f t="shared" si="4"/>
        <v>Cells(pPos, 27)=strAry(3)</v>
      </c>
    </row>
    <row r="29" spans="1:13" x14ac:dyDescent="0.25">
      <c r="A29" s="1" t="s">
        <v>37</v>
      </c>
      <c r="B29" s="1" t="s">
        <v>94</v>
      </c>
      <c r="C29" t="s">
        <v>38</v>
      </c>
      <c r="D29">
        <v>20</v>
      </c>
      <c r="E29">
        <v>28</v>
      </c>
      <c r="F29">
        <f t="shared" si="0"/>
        <v>9</v>
      </c>
      <c r="H29" s="12">
        <v>28</v>
      </c>
      <c r="I29" s="19">
        <v>4</v>
      </c>
      <c r="J29" t="str">
        <f t="shared" si="1"/>
        <v>Dim KouKan12 as string</v>
      </c>
      <c r="K29" t="str">
        <f t="shared" si="2"/>
        <v>KouKan12 = Mid(InputStr, 20, 9)</v>
      </c>
      <c r="L29" t="str">
        <f t="shared" si="3"/>
        <v>strAry(4) = Mid(pStr, 20, 9)</v>
      </c>
      <c r="M29" t="str">
        <f t="shared" si="4"/>
        <v>Cells(pPos, 28)=strAry(4)</v>
      </c>
    </row>
    <row r="30" spans="1:13" x14ac:dyDescent="0.25">
      <c r="A30" s="1" t="s">
        <v>39</v>
      </c>
      <c r="B30" s="1" t="s">
        <v>90</v>
      </c>
      <c r="C30" t="s">
        <v>40</v>
      </c>
      <c r="D30">
        <v>29</v>
      </c>
      <c r="E30">
        <v>37</v>
      </c>
      <c r="F30">
        <f t="shared" si="0"/>
        <v>9</v>
      </c>
      <c r="H30" s="12">
        <v>29</v>
      </c>
      <c r="I30" s="19">
        <v>5</v>
      </c>
      <c r="J30" t="str">
        <f t="shared" si="1"/>
        <v>Dim Amt12 as string</v>
      </c>
      <c r="K30" t="str">
        <f t="shared" si="2"/>
        <v>Amt12 = Mid(InputStr, 29, 9)</v>
      </c>
      <c r="L30" t="str">
        <f t="shared" si="3"/>
        <v>strAry(5) = Mid(pStr, 29, 9)</v>
      </c>
      <c r="M30" t="str">
        <f t="shared" si="4"/>
        <v>Cells(pPos, 29)=strAry(5)</v>
      </c>
    </row>
    <row r="32" spans="1:13" s="15" customFormat="1" x14ac:dyDescent="0.25">
      <c r="A32" s="4" t="s">
        <v>0</v>
      </c>
      <c r="B32" s="4" t="s">
        <v>77</v>
      </c>
      <c r="C32" s="5"/>
      <c r="D32" s="5">
        <v>42</v>
      </c>
      <c r="E32" s="5">
        <v>42</v>
      </c>
      <c r="F32" s="5">
        <f>E32-D32+1</f>
        <v>1</v>
      </c>
      <c r="G32" s="6" t="s">
        <v>49</v>
      </c>
      <c r="H32" s="12">
        <v>13</v>
      </c>
      <c r="I32" s="16">
        <v>9</v>
      </c>
      <c r="J32" s="15" t="str">
        <f>"Dim " &amp; B32 &amp; " as string"</f>
        <v>Dim c as string</v>
      </c>
      <c r="K32" s="15" t="str">
        <f>B32 &amp; " = " &amp; "Mid(InputStr, " &amp; D32 &amp; ", " &amp; F32 &amp; ")"</f>
        <v>c = Mid(InputStr, 42, 1)</v>
      </c>
      <c r="L32" s="15" t="str">
        <f>"strAry(" &amp; I32 &amp; ") = " &amp; "Mid(InputStr, " &amp; D32 &amp; ", " &amp; F32 &amp; ")"</f>
        <v>strAry(9) = Mid(InputStr, 42, 1)</v>
      </c>
    </row>
    <row r="33" spans="1:12" x14ac:dyDescent="0.25">
      <c r="A33" s="13"/>
      <c r="B33" s="13" t="s">
        <v>86</v>
      </c>
      <c r="C33" s="5"/>
      <c r="D33" s="5">
        <v>120</v>
      </c>
      <c r="E33" s="5">
        <v>120</v>
      </c>
      <c r="F33" s="5">
        <f>E33-D33+1</f>
        <v>1</v>
      </c>
      <c r="G33" s="6" t="s">
        <v>58</v>
      </c>
      <c r="H33" s="12">
        <v>24</v>
      </c>
      <c r="I33" s="12">
        <v>20</v>
      </c>
      <c r="J33" t="str">
        <f>"Dim " &amp; B33 &amp; " as string"</f>
        <v>Dim cc as string</v>
      </c>
      <c r="K33" t="str">
        <f>B33 &amp; " = " &amp; "Mid(InputStr, " &amp; D33 &amp; ", " &amp; F33 &amp; ")"</f>
        <v>cc = Mid(InputStr, 120, 1)</v>
      </c>
      <c r="L33" t="str">
        <f>"strAry(" &amp; I33 &amp; ") = " &amp; "Mid(InputStr, " &amp; D33 &amp; ", " &amp; F33 &amp; ")"</f>
        <v>strAry(20) = Mid(InputStr, 120, 1)</v>
      </c>
    </row>
  </sheetData>
  <phoneticPr fontId="3" type="noConversion"/>
  <printOptions gridLines="1"/>
  <pageMargins left="0.70866141732283472" right="0.70866141732283472" top="0.74803149606299213" bottom="0.74803149606299213" header="0.31496062992125984" footer="0.31496062992125984"/>
  <pageSetup paperSize="9" scale="91" orientation="landscape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/>
  <dimension ref="A1:AP511"/>
  <sheetViews>
    <sheetView workbookViewId="0">
      <pane ySplit="3" topLeftCell="A4" activePane="bottomLeft" state="frozen"/>
      <selection pane="bottomLeft" activeCell="A4" sqref="A4"/>
    </sheetView>
  </sheetViews>
  <sheetFormatPr defaultRowHeight="16.5" x14ac:dyDescent="0.25"/>
  <cols>
    <col min="1" max="1" width="4.625" style="24" customWidth="1"/>
    <col min="2" max="2" width="8.375" style="24" customWidth="1"/>
    <col min="3" max="3" width="7.625" style="24" customWidth="1"/>
    <col min="4" max="4" width="7.125" style="24" customWidth="1"/>
    <col min="5" max="5" width="4.125" style="24" customWidth="1"/>
    <col min="6" max="6" width="8.625" style="24" customWidth="1"/>
    <col min="7" max="7" width="4" customWidth="1"/>
    <col min="8" max="8" width="3.625" customWidth="1"/>
    <col min="9" max="9" width="8.75" style="22" customWidth="1"/>
    <col min="10" max="10" width="12.625" style="22" customWidth="1"/>
    <col min="11" max="11" width="3.5" customWidth="1"/>
    <col min="12" max="12" width="12.75" customWidth="1"/>
    <col min="13" max="13" width="6.75" customWidth="1"/>
    <col min="14" max="14" width="6.375" bestFit="1" customWidth="1"/>
    <col min="15" max="15" width="7.75" customWidth="1"/>
    <col min="16" max="16" width="4.125" customWidth="1"/>
    <col min="17" max="17" width="11.25" style="29" customWidth="1"/>
    <col min="20" max="20" width="6.25" bestFit="1" customWidth="1"/>
    <col min="23" max="23" width="7.25" customWidth="1"/>
    <col min="24" max="24" width="7" customWidth="1"/>
    <col min="25" max="25" width="4.75" bestFit="1" customWidth="1"/>
    <col min="26" max="26" width="10.75" customWidth="1"/>
    <col min="30" max="30" width="5.625" customWidth="1"/>
    <col min="31" max="31" width="10.875" style="24" customWidth="1"/>
    <col min="32" max="32" width="10.25" style="24" customWidth="1"/>
    <col min="33" max="34" width="9" style="24"/>
    <col min="36" max="36" width="10.5" style="29" bestFit="1" customWidth="1"/>
    <col min="37" max="37" width="9" style="24"/>
    <col min="38" max="38" width="6.5" style="24" customWidth="1"/>
    <col min="39" max="39" width="7.375" style="24" customWidth="1"/>
    <col min="40" max="40" width="13.5" style="24" customWidth="1"/>
    <col min="41" max="41" width="11.375" style="24" customWidth="1"/>
    <col min="42" max="42" width="5.25" customWidth="1"/>
    <col min="43" max="43" width="9" customWidth="1"/>
  </cols>
  <sheetData>
    <row r="1" spans="1:42" s="9" customFormat="1" ht="21.75" customHeight="1" x14ac:dyDescent="0.25">
      <c r="A1" s="23" t="s">
        <v>65</v>
      </c>
      <c r="B1" s="23"/>
      <c r="C1" s="42" t="s">
        <v>98</v>
      </c>
      <c r="D1" s="42"/>
      <c r="E1" s="42"/>
      <c r="F1" s="42"/>
      <c r="H1" s="9" t="s">
        <v>66</v>
      </c>
      <c r="I1" s="20"/>
      <c r="J1" s="43" t="s">
        <v>114</v>
      </c>
      <c r="K1" s="43"/>
      <c r="L1" s="43"/>
      <c r="M1" s="43"/>
      <c r="N1" s="43"/>
      <c r="O1" s="43"/>
      <c r="Q1" s="27"/>
      <c r="AE1" s="23"/>
      <c r="AF1" s="23"/>
      <c r="AG1" s="23"/>
      <c r="AH1" s="23"/>
      <c r="AJ1" s="27"/>
      <c r="AK1" s="23"/>
      <c r="AL1" s="23"/>
      <c r="AM1" s="23"/>
      <c r="AN1" s="23"/>
      <c r="AO1" s="23"/>
      <c r="AP1" s="8"/>
    </row>
    <row r="2" spans="1:42" s="12" customFormat="1" x14ac:dyDescent="0.25">
      <c r="A2" s="33">
        <v>1</v>
      </c>
      <c r="B2" s="33">
        <v>2</v>
      </c>
      <c r="C2" s="33">
        <v>3</v>
      </c>
      <c r="D2" s="33">
        <v>4</v>
      </c>
      <c r="E2" s="34">
        <v>1</v>
      </c>
      <c r="F2" s="34">
        <v>2</v>
      </c>
      <c r="G2" s="18">
        <v>3</v>
      </c>
      <c r="H2" s="18">
        <v>4</v>
      </c>
      <c r="I2" s="18">
        <v>5</v>
      </c>
      <c r="J2" s="18">
        <v>6</v>
      </c>
      <c r="K2" s="18">
        <v>7</v>
      </c>
      <c r="L2" s="18">
        <v>8</v>
      </c>
      <c r="M2" s="18">
        <v>10</v>
      </c>
      <c r="N2" s="18">
        <v>11</v>
      </c>
      <c r="O2" s="18">
        <v>12</v>
      </c>
      <c r="P2" s="18">
        <v>13</v>
      </c>
      <c r="Q2" s="30">
        <v>14</v>
      </c>
      <c r="R2" s="18">
        <v>15</v>
      </c>
      <c r="S2" s="18">
        <v>16</v>
      </c>
      <c r="T2" s="18">
        <v>17</v>
      </c>
      <c r="U2" s="18">
        <v>18</v>
      </c>
      <c r="V2" s="18">
        <v>19</v>
      </c>
      <c r="W2" s="18">
        <v>21</v>
      </c>
      <c r="X2" s="18">
        <v>22</v>
      </c>
      <c r="Y2" s="17">
        <v>1</v>
      </c>
      <c r="Z2" s="17">
        <v>2</v>
      </c>
      <c r="AA2" s="17">
        <v>3</v>
      </c>
      <c r="AB2" s="17">
        <v>4</v>
      </c>
      <c r="AC2" s="17">
        <v>5</v>
      </c>
      <c r="AE2" s="3"/>
      <c r="AF2" s="3"/>
      <c r="AG2" s="3"/>
      <c r="AH2" s="3"/>
      <c r="AJ2" s="31"/>
      <c r="AK2" s="3"/>
      <c r="AL2" s="3"/>
      <c r="AM2" s="3"/>
      <c r="AN2" s="3"/>
      <c r="AO2" s="3"/>
      <c r="AP2">
        <f>V2-ROUND(O2*Q2,0)</f>
        <v>-149</v>
      </c>
    </row>
    <row r="3" spans="1:42" s="8" customFormat="1" ht="14.25" x14ac:dyDescent="0.25">
      <c r="A3" s="35" t="s">
        <v>6</v>
      </c>
      <c r="B3" s="36" t="s">
        <v>8</v>
      </c>
      <c r="C3" s="36" t="s">
        <v>10</v>
      </c>
      <c r="D3" s="36" t="s">
        <v>11</v>
      </c>
      <c r="E3" s="35" t="s">
        <v>13</v>
      </c>
      <c r="F3" s="36" t="s">
        <v>15</v>
      </c>
      <c r="G3" s="8" t="s">
        <v>17</v>
      </c>
      <c r="H3" s="8" t="s">
        <v>19</v>
      </c>
      <c r="I3" s="21" t="s">
        <v>22</v>
      </c>
      <c r="J3" s="21" t="s">
        <v>45</v>
      </c>
      <c r="K3" s="8" t="s">
        <v>25</v>
      </c>
      <c r="L3" s="8" t="s">
        <v>64</v>
      </c>
      <c r="M3" s="8" t="s">
        <v>52</v>
      </c>
      <c r="N3" s="8" t="s">
        <v>28</v>
      </c>
      <c r="O3" s="8" t="s">
        <v>50</v>
      </c>
      <c r="P3" s="8" t="s">
        <v>30</v>
      </c>
      <c r="Q3" s="28" t="s">
        <v>53</v>
      </c>
      <c r="R3" s="8" t="s">
        <v>34</v>
      </c>
      <c r="S3" s="8" t="s">
        <v>55</v>
      </c>
      <c r="T3" s="8" t="s">
        <v>36</v>
      </c>
      <c r="U3" s="8" t="s">
        <v>38</v>
      </c>
      <c r="V3" s="8" t="s">
        <v>40</v>
      </c>
      <c r="W3" s="8" t="s">
        <v>42</v>
      </c>
      <c r="X3" s="8" t="s">
        <v>44</v>
      </c>
      <c r="Y3" s="14" t="s">
        <v>32</v>
      </c>
      <c r="Z3" s="8" t="s">
        <v>34</v>
      </c>
      <c r="AA3" s="8" t="s">
        <v>36</v>
      </c>
      <c r="AB3" s="8" t="s">
        <v>38</v>
      </c>
      <c r="AC3" s="8" t="s">
        <v>40</v>
      </c>
      <c r="AD3" s="25" t="s">
        <v>100</v>
      </c>
      <c r="AE3" s="25" t="s">
        <v>45</v>
      </c>
      <c r="AF3" s="26" t="s">
        <v>101</v>
      </c>
      <c r="AG3" s="26" t="s">
        <v>102</v>
      </c>
      <c r="AH3" s="26" t="s">
        <v>103</v>
      </c>
      <c r="AI3" s="25" t="s">
        <v>104</v>
      </c>
      <c r="AJ3" s="32" t="s">
        <v>105</v>
      </c>
      <c r="AK3" s="26" t="s">
        <v>106</v>
      </c>
      <c r="AL3" s="25" t="s">
        <v>107</v>
      </c>
      <c r="AM3" s="25" t="s">
        <v>108</v>
      </c>
      <c r="AN3" s="26" t="s">
        <v>109</v>
      </c>
      <c r="AO3" s="26" t="s">
        <v>110</v>
      </c>
      <c r="AP3" s="8" t="s">
        <v>121</v>
      </c>
    </row>
    <row r="4" spans="1:42" x14ac:dyDescent="0.25">
      <c r="AP4" s="41"/>
    </row>
    <row r="5" spans="1:42" x14ac:dyDescent="0.25">
      <c r="AP5" s="41"/>
    </row>
    <row r="6" spans="1:42" x14ac:dyDescent="0.25">
      <c r="AP6" s="41"/>
    </row>
    <row r="7" spans="1:42" x14ac:dyDescent="0.25">
      <c r="AP7" s="41"/>
    </row>
    <row r="8" spans="1:42" x14ac:dyDescent="0.25">
      <c r="AP8" s="41"/>
    </row>
    <row r="9" spans="1:42" x14ac:dyDescent="0.25">
      <c r="AP9" s="41"/>
    </row>
    <row r="10" spans="1:42" x14ac:dyDescent="0.25">
      <c r="AP10" s="41"/>
    </row>
    <row r="11" spans="1:42" x14ac:dyDescent="0.25">
      <c r="Y11" s="15"/>
      <c r="Z11" s="15"/>
      <c r="AA11" s="15"/>
      <c r="AB11" s="15"/>
      <c r="AC11" s="15"/>
      <c r="AP11" s="41"/>
    </row>
    <row r="12" spans="1:42" x14ac:dyDescent="0.25">
      <c r="AP12" s="41"/>
    </row>
    <row r="13" spans="1:42" x14ac:dyDescent="0.25">
      <c r="A13" s="37"/>
      <c r="B13" s="37"/>
      <c r="C13" s="37"/>
      <c r="D13" s="37"/>
      <c r="AP13" s="41"/>
    </row>
    <row r="14" spans="1:42" x14ac:dyDescent="0.25">
      <c r="AP14" s="41"/>
    </row>
    <row r="15" spans="1:42" x14ac:dyDescent="0.25">
      <c r="AP15" s="41"/>
    </row>
    <row r="16" spans="1:42" x14ac:dyDescent="0.25">
      <c r="AP16" s="41"/>
    </row>
    <row r="17" spans="42:42" x14ac:dyDescent="0.25">
      <c r="AP17" s="41"/>
    </row>
    <row r="18" spans="42:42" x14ac:dyDescent="0.25">
      <c r="AP18" s="41"/>
    </row>
    <row r="19" spans="42:42" x14ac:dyDescent="0.25">
      <c r="AP19" s="41"/>
    </row>
    <row r="20" spans="42:42" x14ac:dyDescent="0.25">
      <c r="AP20" s="41"/>
    </row>
    <row r="21" spans="42:42" x14ac:dyDescent="0.25">
      <c r="AP21" s="41"/>
    </row>
    <row r="22" spans="42:42" x14ac:dyDescent="0.25">
      <c r="AP22" s="41"/>
    </row>
    <row r="23" spans="42:42" x14ac:dyDescent="0.25">
      <c r="AP23" s="41"/>
    </row>
    <row r="24" spans="42:42" x14ac:dyDescent="0.25">
      <c r="AP24" s="41"/>
    </row>
    <row r="25" spans="42:42" x14ac:dyDescent="0.25">
      <c r="AP25" s="41"/>
    </row>
    <row r="26" spans="42:42" x14ac:dyDescent="0.25">
      <c r="AP26" s="41"/>
    </row>
    <row r="27" spans="42:42" x14ac:dyDescent="0.25">
      <c r="AP27" s="41"/>
    </row>
    <row r="28" spans="42:42" x14ac:dyDescent="0.25">
      <c r="AP28" s="41"/>
    </row>
    <row r="29" spans="42:42" x14ac:dyDescent="0.25">
      <c r="AP29" s="41"/>
    </row>
    <row r="30" spans="42:42" x14ac:dyDescent="0.25">
      <c r="AP30" s="41"/>
    </row>
    <row r="31" spans="42:42" x14ac:dyDescent="0.25">
      <c r="AP31" s="41"/>
    </row>
    <row r="32" spans="42:42" x14ac:dyDescent="0.25">
      <c r="AP32" s="41"/>
    </row>
    <row r="33" spans="42:42" x14ac:dyDescent="0.25">
      <c r="AP33" s="41"/>
    </row>
    <row r="34" spans="42:42" x14ac:dyDescent="0.25">
      <c r="AP34" s="41"/>
    </row>
    <row r="35" spans="42:42" x14ac:dyDescent="0.25">
      <c r="AP35" s="41"/>
    </row>
    <row r="36" spans="42:42" x14ac:dyDescent="0.25">
      <c r="AP36" s="41"/>
    </row>
    <row r="37" spans="42:42" x14ac:dyDescent="0.25">
      <c r="AP37" s="41"/>
    </row>
    <row r="38" spans="42:42" x14ac:dyDescent="0.25">
      <c r="AP38" s="41"/>
    </row>
    <row r="39" spans="42:42" x14ac:dyDescent="0.25">
      <c r="AP39" s="41"/>
    </row>
    <row r="40" spans="42:42" x14ac:dyDescent="0.25">
      <c r="AP40" s="41"/>
    </row>
    <row r="41" spans="42:42" x14ac:dyDescent="0.25">
      <c r="AP41" s="41"/>
    </row>
    <row r="42" spans="42:42" x14ac:dyDescent="0.25">
      <c r="AP42" s="41"/>
    </row>
    <row r="43" spans="42:42" x14ac:dyDescent="0.25">
      <c r="AP43" s="41"/>
    </row>
    <row r="44" spans="42:42" x14ac:dyDescent="0.25">
      <c r="AP44" s="41"/>
    </row>
    <row r="45" spans="42:42" x14ac:dyDescent="0.25">
      <c r="AP45" s="41"/>
    </row>
    <row r="46" spans="42:42" x14ac:dyDescent="0.25">
      <c r="AP46" s="41"/>
    </row>
    <row r="47" spans="42:42" x14ac:dyDescent="0.25">
      <c r="AP47" s="41"/>
    </row>
    <row r="48" spans="42:42" x14ac:dyDescent="0.25">
      <c r="AP48" s="41"/>
    </row>
    <row r="49" spans="42:42" x14ac:dyDescent="0.25">
      <c r="AP49" s="41"/>
    </row>
    <row r="50" spans="42:42" x14ac:dyDescent="0.25">
      <c r="AP50" s="41"/>
    </row>
    <row r="51" spans="42:42" x14ac:dyDescent="0.25">
      <c r="AP51" s="41"/>
    </row>
    <row r="52" spans="42:42" x14ac:dyDescent="0.25">
      <c r="AP52" s="41"/>
    </row>
    <row r="53" spans="42:42" x14ac:dyDescent="0.25">
      <c r="AP53" s="41"/>
    </row>
    <row r="54" spans="42:42" x14ac:dyDescent="0.25">
      <c r="AP54" s="41"/>
    </row>
    <row r="55" spans="42:42" x14ac:dyDescent="0.25">
      <c r="AP55" s="41"/>
    </row>
    <row r="56" spans="42:42" x14ac:dyDescent="0.25">
      <c r="AP56" s="41"/>
    </row>
    <row r="57" spans="42:42" x14ac:dyDescent="0.25">
      <c r="AP57" s="41"/>
    </row>
    <row r="58" spans="42:42" x14ac:dyDescent="0.25">
      <c r="AP58" s="41"/>
    </row>
    <row r="59" spans="42:42" x14ac:dyDescent="0.25">
      <c r="AP59" s="41"/>
    </row>
    <row r="60" spans="42:42" x14ac:dyDescent="0.25">
      <c r="AP60" s="41"/>
    </row>
    <row r="61" spans="42:42" x14ac:dyDescent="0.25">
      <c r="AP61" s="41"/>
    </row>
    <row r="62" spans="42:42" x14ac:dyDescent="0.25">
      <c r="AP62" s="41"/>
    </row>
    <row r="63" spans="42:42" x14ac:dyDescent="0.25">
      <c r="AP63" s="41"/>
    </row>
    <row r="64" spans="42:42" x14ac:dyDescent="0.25">
      <c r="AP64" s="41"/>
    </row>
    <row r="65" spans="42:42" x14ac:dyDescent="0.25">
      <c r="AP65" s="41"/>
    </row>
    <row r="66" spans="42:42" x14ac:dyDescent="0.25">
      <c r="AP66" s="41"/>
    </row>
    <row r="67" spans="42:42" x14ac:dyDescent="0.25">
      <c r="AP67" s="41"/>
    </row>
    <row r="68" spans="42:42" x14ac:dyDescent="0.25">
      <c r="AP68" s="41"/>
    </row>
    <row r="69" spans="42:42" x14ac:dyDescent="0.25">
      <c r="AP69" s="41"/>
    </row>
    <row r="70" spans="42:42" x14ac:dyDescent="0.25">
      <c r="AP70" s="41"/>
    </row>
    <row r="71" spans="42:42" x14ac:dyDescent="0.25">
      <c r="AP71" s="41"/>
    </row>
    <row r="72" spans="42:42" x14ac:dyDescent="0.25">
      <c r="AP72" s="41"/>
    </row>
    <row r="73" spans="42:42" x14ac:dyDescent="0.25">
      <c r="AP73" s="41"/>
    </row>
    <row r="74" spans="42:42" x14ac:dyDescent="0.25">
      <c r="AP74" s="41"/>
    </row>
    <row r="75" spans="42:42" x14ac:dyDescent="0.25">
      <c r="AP75" s="41"/>
    </row>
    <row r="76" spans="42:42" x14ac:dyDescent="0.25">
      <c r="AP76" s="41"/>
    </row>
    <row r="77" spans="42:42" x14ac:dyDescent="0.25">
      <c r="AP77" s="41"/>
    </row>
    <row r="78" spans="42:42" x14ac:dyDescent="0.25">
      <c r="AP78" s="41"/>
    </row>
    <row r="79" spans="42:42" x14ac:dyDescent="0.25">
      <c r="AP79" s="41"/>
    </row>
    <row r="80" spans="42:42" x14ac:dyDescent="0.25">
      <c r="AP80" s="41"/>
    </row>
    <row r="81" spans="42:42" x14ac:dyDescent="0.25">
      <c r="AP81" s="41"/>
    </row>
    <row r="82" spans="42:42" x14ac:dyDescent="0.25">
      <c r="AP82" s="41"/>
    </row>
    <row r="83" spans="42:42" x14ac:dyDescent="0.25">
      <c r="AP83" s="41"/>
    </row>
    <row r="84" spans="42:42" x14ac:dyDescent="0.25">
      <c r="AP84" s="41"/>
    </row>
    <row r="85" spans="42:42" x14ac:dyDescent="0.25">
      <c r="AP85" s="41"/>
    </row>
    <row r="86" spans="42:42" x14ac:dyDescent="0.25">
      <c r="AP86" s="41"/>
    </row>
    <row r="87" spans="42:42" x14ac:dyDescent="0.25">
      <c r="AP87" s="41"/>
    </row>
    <row r="88" spans="42:42" x14ac:dyDescent="0.25">
      <c r="AP88" s="41"/>
    </row>
    <row r="89" spans="42:42" x14ac:dyDescent="0.25">
      <c r="AP89" s="41"/>
    </row>
    <row r="90" spans="42:42" x14ac:dyDescent="0.25">
      <c r="AP90" s="41"/>
    </row>
    <row r="91" spans="42:42" x14ac:dyDescent="0.25">
      <c r="AP91" s="41"/>
    </row>
    <row r="92" spans="42:42" x14ac:dyDescent="0.25">
      <c r="AP92" s="41"/>
    </row>
    <row r="93" spans="42:42" x14ac:dyDescent="0.25">
      <c r="AP93" s="41"/>
    </row>
    <row r="94" spans="42:42" x14ac:dyDescent="0.25">
      <c r="AP94" s="41"/>
    </row>
    <row r="95" spans="42:42" x14ac:dyDescent="0.25">
      <c r="AP95" s="41"/>
    </row>
    <row r="96" spans="42:42" x14ac:dyDescent="0.25">
      <c r="AP96" s="41"/>
    </row>
    <row r="97" spans="30:42" x14ac:dyDescent="0.25">
      <c r="AD97" s="15"/>
      <c r="AE97" s="37"/>
      <c r="AF97" s="37"/>
      <c r="AG97" s="37"/>
      <c r="AH97" s="37"/>
      <c r="AI97" s="15"/>
      <c r="AJ97" s="38"/>
      <c r="AK97" s="37"/>
      <c r="AL97" s="37"/>
      <c r="AM97" s="37"/>
      <c r="AN97" s="37"/>
      <c r="AO97" s="37"/>
      <c r="AP97" s="41"/>
    </row>
    <row r="98" spans="30:42" x14ac:dyDescent="0.25">
      <c r="AD98" s="15"/>
      <c r="AE98" s="37"/>
      <c r="AF98" s="37"/>
      <c r="AG98" s="37"/>
      <c r="AH98" s="37"/>
      <c r="AI98" s="15"/>
      <c r="AJ98" s="38"/>
      <c r="AK98" s="37"/>
      <c r="AL98" s="37"/>
      <c r="AM98" s="37"/>
      <c r="AN98" s="37"/>
      <c r="AO98" s="37"/>
      <c r="AP98" s="41"/>
    </row>
    <row r="99" spans="30:42" x14ac:dyDescent="0.25">
      <c r="AP99" s="41"/>
    </row>
    <row r="100" spans="30:42" x14ac:dyDescent="0.25">
      <c r="AP100" s="41"/>
    </row>
    <row r="101" spans="30:42" x14ac:dyDescent="0.25">
      <c r="AP101" s="41"/>
    </row>
    <row r="102" spans="30:42" x14ac:dyDescent="0.25">
      <c r="AP102" s="41"/>
    </row>
    <row r="103" spans="30:42" x14ac:dyDescent="0.25">
      <c r="AP103" s="41"/>
    </row>
    <row r="104" spans="30:42" x14ac:dyDescent="0.25">
      <c r="AP104" s="41"/>
    </row>
    <row r="105" spans="30:42" x14ac:dyDescent="0.25">
      <c r="AP105" s="41"/>
    </row>
    <row r="106" spans="30:42" x14ac:dyDescent="0.25">
      <c r="AP106" s="41"/>
    </row>
    <row r="107" spans="30:42" x14ac:dyDescent="0.25">
      <c r="AP107" s="41"/>
    </row>
    <row r="108" spans="30:42" x14ac:dyDescent="0.25">
      <c r="AP108" s="41"/>
    </row>
    <row r="109" spans="30:42" x14ac:dyDescent="0.25">
      <c r="AP109" s="41"/>
    </row>
    <row r="110" spans="30:42" x14ac:dyDescent="0.25">
      <c r="AP110" s="41"/>
    </row>
    <row r="111" spans="30:42" x14ac:dyDescent="0.25">
      <c r="AP111" s="41"/>
    </row>
    <row r="112" spans="30:42" x14ac:dyDescent="0.25">
      <c r="AP112" s="41"/>
    </row>
    <row r="113" spans="30:42" x14ac:dyDescent="0.25">
      <c r="AP113" s="41"/>
    </row>
    <row r="114" spans="30:42" x14ac:dyDescent="0.25">
      <c r="AP114" s="41"/>
    </row>
    <row r="115" spans="30:42" x14ac:dyDescent="0.25">
      <c r="AP115" s="41"/>
    </row>
    <row r="116" spans="30:42" x14ac:dyDescent="0.25">
      <c r="AP116" s="41"/>
    </row>
    <row r="117" spans="30:42" x14ac:dyDescent="0.25">
      <c r="AP117" s="41"/>
    </row>
    <row r="118" spans="30:42" x14ac:dyDescent="0.25">
      <c r="AP118" s="41"/>
    </row>
    <row r="119" spans="30:42" x14ac:dyDescent="0.25">
      <c r="AP119" s="41"/>
    </row>
    <row r="120" spans="30:42" x14ac:dyDescent="0.25">
      <c r="AP120" s="41"/>
    </row>
    <row r="121" spans="30:42" x14ac:dyDescent="0.25">
      <c r="AP121" s="41"/>
    </row>
    <row r="122" spans="30:42" x14ac:dyDescent="0.25">
      <c r="AP122" s="41"/>
    </row>
    <row r="123" spans="30:42" x14ac:dyDescent="0.25">
      <c r="AP123" s="41"/>
    </row>
    <row r="124" spans="30:42" x14ac:dyDescent="0.25">
      <c r="AP124" s="41"/>
    </row>
    <row r="125" spans="30:42" x14ac:dyDescent="0.25">
      <c r="AP125" s="41"/>
    </row>
    <row r="126" spans="30:42" x14ac:dyDescent="0.25">
      <c r="AD126" s="39"/>
      <c r="AP126" s="41"/>
    </row>
    <row r="127" spans="30:42" x14ac:dyDescent="0.25">
      <c r="AD127" s="39"/>
      <c r="AP127" s="41"/>
    </row>
    <row r="128" spans="30:42" x14ac:dyDescent="0.25">
      <c r="AD128" s="15"/>
      <c r="AP128" s="41"/>
    </row>
    <row r="129" spans="30:42" x14ac:dyDescent="0.25">
      <c r="AP129" s="41"/>
    </row>
    <row r="130" spans="30:42" x14ac:dyDescent="0.25">
      <c r="AP130" s="41"/>
    </row>
    <row r="131" spans="30:42" x14ac:dyDescent="0.25">
      <c r="AP131" s="41"/>
    </row>
    <row r="132" spans="30:42" x14ac:dyDescent="0.25">
      <c r="AD132" s="39"/>
      <c r="AP132" s="41"/>
    </row>
    <row r="133" spans="30:42" x14ac:dyDescent="0.25">
      <c r="AD133" s="39"/>
      <c r="AP133" s="41"/>
    </row>
    <row r="134" spans="30:42" x14ac:dyDescent="0.25">
      <c r="AD134" s="39"/>
      <c r="AP134" s="41"/>
    </row>
    <row r="135" spans="30:42" x14ac:dyDescent="0.25">
      <c r="AP135" s="41"/>
    </row>
    <row r="136" spans="30:42" x14ac:dyDescent="0.25">
      <c r="AP136" s="41"/>
    </row>
    <row r="137" spans="30:42" x14ac:dyDescent="0.25">
      <c r="AP137" s="41"/>
    </row>
    <row r="138" spans="30:42" x14ac:dyDescent="0.25">
      <c r="AP138" s="41"/>
    </row>
    <row r="139" spans="30:42" x14ac:dyDescent="0.25">
      <c r="AP139" s="41"/>
    </row>
    <row r="140" spans="30:42" x14ac:dyDescent="0.25">
      <c r="AD140" s="39"/>
      <c r="AP140" s="41"/>
    </row>
    <row r="141" spans="30:42" x14ac:dyDescent="0.25">
      <c r="AD141" s="39"/>
      <c r="AP141" s="41"/>
    </row>
    <row r="142" spans="30:42" x14ac:dyDescent="0.25">
      <c r="AP142" s="41"/>
    </row>
    <row r="143" spans="30:42" x14ac:dyDescent="0.25">
      <c r="AP143" s="41"/>
    </row>
    <row r="144" spans="30:42" x14ac:dyDescent="0.25">
      <c r="AP144" s="41"/>
    </row>
    <row r="145" spans="42:42" x14ac:dyDescent="0.25">
      <c r="AP145" s="41"/>
    </row>
    <row r="146" spans="42:42" x14ac:dyDescent="0.25">
      <c r="AP146" s="41"/>
    </row>
    <row r="147" spans="42:42" x14ac:dyDescent="0.25">
      <c r="AP147" s="41"/>
    </row>
    <row r="148" spans="42:42" x14ac:dyDescent="0.25">
      <c r="AP148" s="41"/>
    </row>
    <row r="149" spans="42:42" x14ac:dyDescent="0.25">
      <c r="AP149" s="41"/>
    </row>
    <row r="150" spans="42:42" x14ac:dyDescent="0.25">
      <c r="AP150" s="41"/>
    </row>
    <row r="151" spans="42:42" x14ac:dyDescent="0.25">
      <c r="AP151" s="41"/>
    </row>
    <row r="152" spans="42:42" x14ac:dyDescent="0.25">
      <c r="AP152" s="41"/>
    </row>
    <row r="153" spans="42:42" x14ac:dyDescent="0.25">
      <c r="AP153" s="41"/>
    </row>
    <row r="154" spans="42:42" x14ac:dyDescent="0.25">
      <c r="AP154" s="41"/>
    </row>
    <row r="155" spans="42:42" x14ac:dyDescent="0.25">
      <c r="AP155" s="41"/>
    </row>
    <row r="156" spans="42:42" x14ac:dyDescent="0.25">
      <c r="AP156" s="41"/>
    </row>
    <row r="157" spans="42:42" x14ac:dyDescent="0.25">
      <c r="AP157" s="41"/>
    </row>
    <row r="158" spans="42:42" x14ac:dyDescent="0.25">
      <c r="AP158" s="41"/>
    </row>
    <row r="159" spans="42:42" x14ac:dyDescent="0.25">
      <c r="AP159" s="41"/>
    </row>
    <row r="160" spans="42:42" x14ac:dyDescent="0.25">
      <c r="AP160" s="41"/>
    </row>
    <row r="161" spans="42:42" x14ac:dyDescent="0.25">
      <c r="AP161" s="41"/>
    </row>
    <row r="162" spans="42:42" x14ac:dyDescent="0.25">
      <c r="AP162" s="41"/>
    </row>
    <row r="163" spans="42:42" x14ac:dyDescent="0.25">
      <c r="AP163" s="41"/>
    </row>
    <row r="164" spans="42:42" x14ac:dyDescent="0.25">
      <c r="AP164" s="41"/>
    </row>
    <row r="165" spans="42:42" x14ac:dyDescent="0.25">
      <c r="AP165" s="41"/>
    </row>
    <row r="166" spans="42:42" x14ac:dyDescent="0.25">
      <c r="AP166" s="41"/>
    </row>
    <row r="510" spans="6:6" x14ac:dyDescent="0.25">
      <c r="F510" s="40"/>
    </row>
    <row r="511" spans="6:6" x14ac:dyDescent="0.25">
      <c r="F511" s="40"/>
    </row>
  </sheetData>
  <mergeCells count="2">
    <mergeCell ref="C1:F1"/>
    <mergeCell ref="J1:O1"/>
  </mergeCells>
  <phoneticPr fontId="3" type="noConversion"/>
  <printOptions horizontalCentered="1" gridLines="1"/>
  <pageMargins left="0.39370078740157483" right="0.39370078740157483" top="0.39370078740157483" bottom="0.3937007874015748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讀取對帳單資料_utf8_Click">
                <anchor moveWithCells="1" sizeWithCells="1">
                  <from>
                    <xdr:col>15</xdr:col>
                    <xdr:colOff>238125</xdr:colOff>
                    <xdr:row>0</xdr:row>
                    <xdr:rowOff>9525</xdr:rowOff>
                  </from>
                  <to>
                    <xdr:col>17</xdr:col>
                    <xdr:colOff>180975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Module1.清除資料_Click">
                <anchor moveWithCells="1" sizeWithCells="1">
                  <from>
                    <xdr:col>17</xdr:col>
                    <xdr:colOff>190500</xdr:colOff>
                    <xdr:row>0</xdr:row>
                    <xdr:rowOff>9525</xdr:rowOff>
                  </from>
                  <to>
                    <xdr:col>18</xdr:col>
                    <xdr:colOff>314325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小計設定_憑單編號">
                <anchor moveWithCells="1" sizeWithCells="1">
                  <from>
                    <xdr:col>19</xdr:col>
                    <xdr:colOff>9525</xdr:colOff>
                    <xdr:row>0</xdr:row>
                    <xdr:rowOff>0</xdr:rowOff>
                  </from>
                  <to>
                    <xdr:col>20</xdr:col>
                    <xdr:colOff>247650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小計移除">
                <anchor moveWithCells="1" sizeWithCells="1">
                  <from>
                    <xdr:col>20</xdr:col>
                    <xdr:colOff>257175</xdr:colOff>
                    <xdr:row>0</xdr:row>
                    <xdr:rowOff>0</xdr:rowOff>
                  </from>
                  <to>
                    <xdr:col>21</xdr:col>
                    <xdr:colOff>285750</xdr:colOff>
                    <xdr:row>0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D343"/>
  <sheetViews>
    <sheetView topLeftCell="A250" workbookViewId="0">
      <selection activeCell="C3" sqref="C3:C261"/>
    </sheetView>
  </sheetViews>
  <sheetFormatPr defaultRowHeight="16.5" x14ac:dyDescent="0.25"/>
  <cols>
    <col min="1" max="1" width="9" style="12"/>
    <col min="2" max="2" width="12.625" style="22" customWidth="1"/>
    <col min="3" max="3" width="39.5" customWidth="1"/>
    <col min="4" max="4" width="25" customWidth="1"/>
  </cols>
  <sheetData>
    <row r="1" spans="1:4" x14ac:dyDescent="0.25">
      <c r="B1" s="20" t="s">
        <v>113</v>
      </c>
    </row>
    <row r="2" spans="1:4" x14ac:dyDescent="0.25">
      <c r="B2" s="18">
        <v>6</v>
      </c>
    </row>
    <row r="3" spans="1:4" x14ac:dyDescent="0.25">
      <c r="B3" s="21" t="s">
        <v>45</v>
      </c>
      <c r="C3" t="s">
        <v>111</v>
      </c>
      <c r="D3" t="s">
        <v>112</v>
      </c>
    </row>
    <row r="4" spans="1:4" x14ac:dyDescent="0.25">
      <c r="A4" s="12">
        <v>1</v>
      </c>
      <c r="B4" s="22" t="s">
        <v>115</v>
      </c>
      <c r="C4" t="str">
        <f>"select item=" &amp; A4 &amp; ", shipno='" &amp; B4 &amp; "'"</f>
        <v>select item=1, shipno='BD03802201'</v>
      </c>
    </row>
    <row r="5" spans="1:4" x14ac:dyDescent="0.25">
      <c r="A5" s="12">
        <v>2</v>
      </c>
      <c r="B5" s="22" t="s">
        <v>116</v>
      </c>
      <c r="C5" t="str">
        <f t="shared" ref="C5:C60" si="0">"union all  select item=" &amp; A5 &amp; ", shipno='" &amp; B5 &amp; "'"</f>
        <v>union all  select item=2, shipno='BD03749901'</v>
      </c>
    </row>
    <row r="6" spans="1:4" x14ac:dyDescent="0.25">
      <c r="A6" s="12">
        <v>3</v>
      </c>
      <c r="B6" s="22" t="s">
        <v>117</v>
      </c>
      <c r="C6" t="str">
        <f t="shared" si="0"/>
        <v>union all  select item=3, shipno='BD03750001'</v>
      </c>
    </row>
    <row r="7" spans="1:4" x14ac:dyDescent="0.25">
      <c r="A7" s="12">
        <v>4</v>
      </c>
      <c r="B7" s="22" t="s">
        <v>118</v>
      </c>
      <c r="C7" t="str">
        <f t="shared" si="0"/>
        <v>union all  select item=4, shipno='BE00097901'</v>
      </c>
    </row>
    <row r="8" spans="1:4" x14ac:dyDescent="0.25">
      <c r="A8" s="12">
        <v>5</v>
      </c>
      <c r="B8" s="22" t="s">
        <v>119</v>
      </c>
      <c r="C8" t="str">
        <f t="shared" si="0"/>
        <v>union all  select item=5, shipno='BE00098001'</v>
      </c>
    </row>
    <row r="9" spans="1:4" x14ac:dyDescent="0.25">
      <c r="A9" s="12">
        <v>6</v>
      </c>
      <c r="B9" s="22" t="s">
        <v>120</v>
      </c>
      <c r="C9" t="str">
        <f t="shared" si="0"/>
        <v>union all  select item=6, shipno='BE00098101'</v>
      </c>
    </row>
    <row r="10" spans="1:4" x14ac:dyDescent="0.25">
      <c r="A10" s="12">
        <v>7</v>
      </c>
      <c r="B10" s="22">
        <v>1075347501</v>
      </c>
      <c r="C10" t="str">
        <f t="shared" si="0"/>
        <v>union all  select item=7, shipno='1075347501'</v>
      </c>
    </row>
    <row r="11" spans="1:4" x14ac:dyDescent="0.25">
      <c r="A11" s="12">
        <v>8</v>
      </c>
      <c r="B11" s="22">
        <v>1074230001</v>
      </c>
      <c r="C11" t="str">
        <f t="shared" si="0"/>
        <v>union all  select item=8, shipno='1074230001'</v>
      </c>
    </row>
    <row r="12" spans="1:4" x14ac:dyDescent="0.25">
      <c r="A12" s="12">
        <v>9</v>
      </c>
      <c r="B12" s="22">
        <v>1073013601</v>
      </c>
      <c r="C12" t="str">
        <f t="shared" si="0"/>
        <v>union all  select item=9, shipno='1073013601'</v>
      </c>
    </row>
    <row r="13" spans="1:4" x14ac:dyDescent="0.25">
      <c r="A13" s="12">
        <v>10</v>
      </c>
      <c r="B13" s="22">
        <v>1072877401</v>
      </c>
      <c r="C13" t="str">
        <f t="shared" si="0"/>
        <v>union all  select item=10, shipno='1072877401'</v>
      </c>
    </row>
    <row r="14" spans="1:4" x14ac:dyDescent="0.25">
      <c r="A14" s="12">
        <v>11</v>
      </c>
      <c r="B14" s="22">
        <v>1063942701</v>
      </c>
      <c r="C14" t="str">
        <f t="shared" si="0"/>
        <v>union all  select item=11, shipno='1063942701'</v>
      </c>
    </row>
    <row r="15" spans="1:4" x14ac:dyDescent="0.25">
      <c r="A15" s="12">
        <v>12</v>
      </c>
      <c r="B15" s="22">
        <v>1064526201</v>
      </c>
      <c r="C15" t="str">
        <f t="shared" si="0"/>
        <v>union all  select item=12, shipno='1064526201'</v>
      </c>
    </row>
    <row r="16" spans="1:4" x14ac:dyDescent="0.25">
      <c r="A16" s="12">
        <v>13</v>
      </c>
      <c r="B16" s="22">
        <v>1064400101</v>
      </c>
      <c r="C16" t="str">
        <f t="shared" si="0"/>
        <v>union all  select item=13, shipno='1064400101'</v>
      </c>
    </row>
    <row r="17" spans="1:3" x14ac:dyDescent="0.25">
      <c r="A17" s="12">
        <v>14</v>
      </c>
      <c r="B17" s="22">
        <v>1065094901</v>
      </c>
      <c r="C17" t="str">
        <f t="shared" si="0"/>
        <v>union all  select item=14, shipno='1065094901'</v>
      </c>
    </row>
    <row r="18" spans="1:3" x14ac:dyDescent="0.25">
      <c r="A18" s="12">
        <v>15</v>
      </c>
      <c r="B18" s="22">
        <v>3030357601</v>
      </c>
      <c r="C18" t="str">
        <f t="shared" si="0"/>
        <v>union all  select item=15, shipno='3030357601'</v>
      </c>
    </row>
    <row r="19" spans="1:3" x14ac:dyDescent="0.25">
      <c r="A19" s="12">
        <v>16</v>
      </c>
      <c r="B19" s="22">
        <v>1075718101</v>
      </c>
      <c r="C19" t="str">
        <f t="shared" si="0"/>
        <v>union all  select item=16, shipno='1075718101'</v>
      </c>
    </row>
    <row r="20" spans="1:3" x14ac:dyDescent="0.25">
      <c r="A20" s="12">
        <v>17</v>
      </c>
      <c r="B20" s="22">
        <v>1076439001</v>
      </c>
      <c r="C20" t="str">
        <f t="shared" si="0"/>
        <v>union all  select item=17, shipno='1076439001'</v>
      </c>
    </row>
    <row r="21" spans="1:3" x14ac:dyDescent="0.25">
      <c r="A21" s="12">
        <v>18</v>
      </c>
      <c r="B21" s="22">
        <v>1076212901</v>
      </c>
      <c r="C21" t="str">
        <f t="shared" si="0"/>
        <v>union all  select item=18, shipno='1076212901'</v>
      </c>
    </row>
    <row r="22" spans="1:3" x14ac:dyDescent="0.25">
      <c r="A22" s="12">
        <v>19</v>
      </c>
      <c r="B22" s="22">
        <v>1076978001</v>
      </c>
      <c r="C22" t="str">
        <f t="shared" si="0"/>
        <v>union all  select item=19, shipno='1076978001'</v>
      </c>
    </row>
    <row r="23" spans="1:3" x14ac:dyDescent="0.25">
      <c r="A23" s="12">
        <v>20</v>
      </c>
      <c r="B23" s="22">
        <v>1066201801</v>
      </c>
      <c r="C23" t="str">
        <f t="shared" si="0"/>
        <v>union all  select item=20, shipno='1066201801'</v>
      </c>
    </row>
    <row r="24" spans="1:3" x14ac:dyDescent="0.25">
      <c r="A24" s="12">
        <v>21</v>
      </c>
      <c r="B24" s="22">
        <v>1066738401</v>
      </c>
      <c r="C24" t="str">
        <f t="shared" si="0"/>
        <v>union all  select item=21, shipno='1066738401'</v>
      </c>
    </row>
    <row r="25" spans="1:3" x14ac:dyDescent="0.25">
      <c r="A25" s="12">
        <v>22</v>
      </c>
      <c r="B25" s="22">
        <v>1066611701</v>
      </c>
      <c r="C25" t="str">
        <f t="shared" si="0"/>
        <v>union all  select item=22, shipno='1066611701'</v>
      </c>
    </row>
    <row r="26" spans="1:3" x14ac:dyDescent="0.25">
      <c r="A26" s="12">
        <v>23</v>
      </c>
      <c r="B26" s="22">
        <v>1067373201</v>
      </c>
      <c r="C26" t="str">
        <f t="shared" si="0"/>
        <v>union all  select item=23, shipno='1067373201'</v>
      </c>
    </row>
    <row r="27" spans="1:3" x14ac:dyDescent="0.25">
      <c r="A27" s="12">
        <v>24</v>
      </c>
      <c r="B27" s="22">
        <v>1067066501</v>
      </c>
      <c r="C27" t="str">
        <f t="shared" si="0"/>
        <v>union all  select item=24, shipno='1067066501'</v>
      </c>
    </row>
    <row r="28" spans="1:3" x14ac:dyDescent="0.25">
      <c r="A28" s="12">
        <v>25</v>
      </c>
      <c r="B28" s="22">
        <v>1061360801</v>
      </c>
      <c r="C28" t="str">
        <f t="shared" si="0"/>
        <v>union all  select item=25, shipno='1061360801'</v>
      </c>
    </row>
    <row r="29" spans="1:3" x14ac:dyDescent="0.25">
      <c r="A29" s="12">
        <v>26</v>
      </c>
      <c r="B29" s="22">
        <v>1064789701</v>
      </c>
      <c r="C29" t="str">
        <f t="shared" si="0"/>
        <v>union all  select item=26, shipno='1064789701'</v>
      </c>
    </row>
    <row r="30" spans="1:3" x14ac:dyDescent="0.25">
      <c r="A30" s="12">
        <v>27</v>
      </c>
      <c r="B30" s="22">
        <v>1067063201</v>
      </c>
      <c r="C30" t="str">
        <f t="shared" si="0"/>
        <v>union all  select item=27, shipno='1067063201'</v>
      </c>
    </row>
    <row r="31" spans="1:3" x14ac:dyDescent="0.25">
      <c r="A31" s="12">
        <v>28</v>
      </c>
      <c r="B31" s="22">
        <v>1064076401</v>
      </c>
      <c r="C31" t="str">
        <f t="shared" si="0"/>
        <v>union all  select item=28, shipno='1064076401'</v>
      </c>
    </row>
    <row r="32" spans="1:3" x14ac:dyDescent="0.25">
      <c r="A32" s="12">
        <v>29</v>
      </c>
      <c r="B32" s="22">
        <v>1068685101</v>
      </c>
      <c r="C32" t="str">
        <f t="shared" si="0"/>
        <v>union all  select item=29, shipno='1068685101'</v>
      </c>
    </row>
    <row r="33" spans="1:3" x14ac:dyDescent="0.25">
      <c r="A33" s="12">
        <v>30</v>
      </c>
      <c r="B33" s="22">
        <v>1068856501</v>
      </c>
      <c r="C33" t="str">
        <f t="shared" si="0"/>
        <v>union all  select item=30, shipno='1068856501'</v>
      </c>
    </row>
    <row r="34" spans="1:3" x14ac:dyDescent="0.25">
      <c r="A34" s="12">
        <v>31</v>
      </c>
      <c r="B34" s="22">
        <v>1068205901</v>
      </c>
      <c r="C34" t="str">
        <f t="shared" si="0"/>
        <v>union all  select item=31, shipno='1068205901'</v>
      </c>
    </row>
    <row r="35" spans="1:3" x14ac:dyDescent="0.25">
      <c r="A35" s="12">
        <v>32</v>
      </c>
      <c r="B35" s="22">
        <v>1067725501</v>
      </c>
      <c r="C35" t="str">
        <f t="shared" si="0"/>
        <v>union all  select item=32, shipno='1067725501'</v>
      </c>
    </row>
    <row r="36" spans="1:3" x14ac:dyDescent="0.25">
      <c r="A36" s="12">
        <v>33</v>
      </c>
      <c r="B36" s="22">
        <v>1065511301</v>
      </c>
      <c r="C36" t="str">
        <f t="shared" si="0"/>
        <v>union all  select item=33, shipno='1065511301'</v>
      </c>
    </row>
    <row r="37" spans="1:3" x14ac:dyDescent="0.25">
      <c r="A37" s="12">
        <v>34</v>
      </c>
      <c r="B37" s="22">
        <v>1065382901</v>
      </c>
      <c r="C37" t="str">
        <f t="shared" si="0"/>
        <v>union all  select item=34, shipno='1065382901'</v>
      </c>
    </row>
    <row r="38" spans="1:3" x14ac:dyDescent="0.25">
      <c r="A38" s="12">
        <v>35</v>
      </c>
      <c r="B38" s="22">
        <v>1065928401</v>
      </c>
      <c r="C38" t="str">
        <f t="shared" si="0"/>
        <v>union all  select item=35, shipno='1065928401'</v>
      </c>
    </row>
    <row r="39" spans="1:3" x14ac:dyDescent="0.25">
      <c r="A39" s="12">
        <v>36</v>
      </c>
      <c r="B39" s="22">
        <v>1065795101</v>
      </c>
      <c r="C39" t="str">
        <f t="shared" si="0"/>
        <v>union all  select item=36, shipno='1065795101'</v>
      </c>
    </row>
    <row r="40" spans="1:3" x14ac:dyDescent="0.25">
      <c r="A40" s="12">
        <v>37</v>
      </c>
      <c r="B40" s="22">
        <v>1066320001</v>
      </c>
      <c r="C40" t="str">
        <f t="shared" si="0"/>
        <v>union all  select item=37, shipno='1066320001'</v>
      </c>
    </row>
    <row r="41" spans="1:3" x14ac:dyDescent="0.25">
      <c r="A41" s="12">
        <v>38</v>
      </c>
      <c r="B41" s="22">
        <v>1076802801</v>
      </c>
      <c r="C41" t="str">
        <f t="shared" si="0"/>
        <v>union all  select item=38, shipno='1076802801'</v>
      </c>
    </row>
    <row r="42" spans="1:3" x14ac:dyDescent="0.25">
      <c r="A42" s="12">
        <v>39</v>
      </c>
      <c r="B42" s="22">
        <v>1077628901</v>
      </c>
      <c r="C42" t="str">
        <f t="shared" si="0"/>
        <v>union all  select item=39, shipno='1077628901'</v>
      </c>
    </row>
    <row r="43" spans="1:3" x14ac:dyDescent="0.25">
      <c r="A43" s="12">
        <v>40</v>
      </c>
      <c r="B43" s="22">
        <v>1077489001</v>
      </c>
      <c r="C43" t="str">
        <f t="shared" si="0"/>
        <v>union all  select item=40, shipno='1077489001'</v>
      </c>
    </row>
    <row r="44" spans="1:3" x14ac:dyDescent="0.25">
      <c r="A44" s="12">
        <v>41</v>
      </c>
      <c r="B44" s="22">
        <v>1078145001</v>
      </c>
      <c r="C44" t="str">
        <f t="shared" si="0"/>
        <v>union all  select item=41, shipno='1078145001'</v>
      </c>
    </row>
    <row r="45" spans="1:3" x14ac:dyDescent="0.25">
      <c r="A45" s="12">
        <v>42</v>
      </c>
      <c r="B45" s="22">
        <v>1077845801</v>
      </c>
      <c r="C45" t="str">
        <f t="shared" si="0"/>
        <v>union all  select item=42, shipno='1077845801'</v>
      </c>
    </row>
    <row r="46" spans="1:3" x14ac:dyDescent="0.25">
      <c r="A46" s="12">
        <v>43</v>
      </c>
      <c r="B46" s="22">
        <v>1072369901</v>
      </c>
      <c r="C46" t="str">
        <f t="shared" si="0"/>
        <v>union all  select item=43, shipno='1072369901'</v>
      </c>
    </row>
    <row r="47" spans="1:3" x14ac:dyDescent="0.25">
      <c r="A47" s="12">
        <v>44</v>
      </c>
      <c r="B47" s="22">
        <v>1072498701</v>
      </c>
      <c r="C47" t="str">
        <f t="shared" si="0"/>
        <v>union all  select item=44, shipno='1072498701'</v>
      </c>
    </row>
    <row r="48" spans="1:3" x14ac:dyDescent="0.25">
      <c r="A48" s="12">
        <v>45</v>
      </c>
      <c r="B48" s="22">
        <v>1075173601</v>
      </c>
      <c r="C48" t="str">
        <f t="shared" si="0"/>
        <v>union all  select item=45, shipno='1075173601'</v>
      </c>
    </row>
    <row r="49" spans="1:3" x14ac:dyDescent="0.25">
      <c r="A49" s="12">
        <v>46</v>
      </c>
      <c r="B49" s="22">
        <v>1073891101</v>
      </c>
      <c r="C49" t="str">
        <f t="shared" si="0"/>
        <v>union all  select item=46, shipno='1073891101'</v>
      </c>
    </row>
    <row r="50" spans="1:3" x14ac:dyDescent="0.25">
      <c r="A50" s="12">
        <v>47</v>
      </c>
      <c r="B50" s="22">
        <v>1074489901</v>
      </c>
      <c r="C50" t="str">
        <f t="shared" si="0"/>
        <v>union all  select item=47, shipno='1074489901'</v>
      </c>
    </row>
    <row r="51" spans="1:3" x14ac:dyDescent="0.25">
      <c r="A51" s="12">
        <v>48</v>
      </c>
      <c r="B51" s="22">
        <v>1072017201</v>
      </c>
      <c r="C51" t="str">
        <f t="shared" si="0"/>
        <v>union all  select item=48, shipno='1072017201'</v>
      </c>
    </row>
    <row r="52" spans="1:3" x14ac:dyDescent="0.25">
      <c r="A52" s="12">
        <v>49</v>
      </c>
      <c r="B52" s="22">
        <v>1072372301</v>
      </c>
      <c r="C52" t="str">
        <f t="shared" si="0"/>
        <v>union all  select item=49, shipno='1072372301'</v>
      </c>
    </row>
    <row r="53" spans="1:3" x14ac:dyDescent="0.25">
      <c r="A53" s="12">
        <v>50</v>
      </c>
      <c r="B53" s="22">
        <v>1077971301</v>
      </c>
      <c r="C53" t="str">
        <f t="shared" si="0"/>
        <v>union all  select item=50, shipno='1077971301'</v>
      </c>
    </row>
    <row r="54" spans="1:3" x14ac:dyDescent="0.25">
      <c r="A54" s="12">
        <v>51</v>
      </c>
      <c r="B54" s="22">
        <v>1077486401</v>
      </c>
      <c r="C54" t="str">
        <f t="shared" si="0"/>
        <v>union all  select item=51, shipno='1077486401'</v>
      </c>
    </row>
    <row r="55" spans="1:3" x14ac:dyDescent="0.25">
      <c r="A55" s="12">
        <v>52</v>
      </c>
      <c r="B55" s="22">
        <v>1076803201</v>
      </c>
      <c r="C55" t="str">
        <f t="shared" si="0"/>
        <v>union all  select item=52, shipno='1076803201'</v>
      </c>
    </row>
    <row r="56" spans="1:3" x14ac:dyDescent="0.25">
      <c r="A56" s="12">
        <v>53</v>
      </c>
      <c r="B56" s="22">
        <v>1076214601</v>
      </c>
      <c r="C56" t="str">
        <f t="shared" si="0"/>
        <v>union all  select item=53, shipno='1076214601'</v>
      </c>
    </row>
    <row r="57" spans="1:3" x14ac:dyDescent="0.25">
      <c r="A57" s="12">
        <v>54</v>
      </c>
      <c r="B57" s="22">
        <v>1068859001</v>
      </c>
      <c r="C57" t="str">
        <f t="shared" si="0"/>
        <v>union all  select item=54, shipno='1068859001'</v>
      </c>
    </row>
    <row r="58" spans="1:3" x14ac:dyDescent="0.25">
      <c r="A58" s="12">
        <v>55</v>
      </c>
      <c r="B58" s="22">
        <v>1069405201</v>
      </c>
      <c r="C58" t="str">
        <f t="shared" si="0"/>
        <v>union all  select item=55, shipno='1069405201'</v>
      </c>
    </row>
    <row r="59" spans="1:3" x14ac:dyDescent="0.25">
      <c r="A59" s="12">
        <v>56</v>
      </c>
      <c r="B59" s="22">
        <v>1070038601</v>
      </c>
      <c r="C59" t="str">
        <f t="shared" si="0"/>
        <v>union all  select item=56, shipno='1070038601'</v>
      </c>
    </row>
    <row r="60" spans="1:3" x14ac:dyDescent="0.25">
      <c r="A60" s="12">
        <v>57</v>
      </c>
      <c r="B60" s="22">
        <v>1070438501</v>
      </c>
      <c r="C60" t="str">
        <f t="shared" si="0"/>
        <v>union all  select item=57, shipno='1070438501'</v>
      </c>
    </row>
    <row r="61" spans="1:3" x14ac:dyDescent="0.25">
      <c r="A61" s="12">
        <v>58</v>
      </c>
      <c r="B61" s="22">
        <v>1070836901</v>
      </c>
      <c r="C61" t="str">
        <f t="shared" ref="C61:C124" si="1">"union all  select item=" &amp; A61 &amp; ", shipno='" &amp; B61 &amp; "'"</f>
        <v>union all  select item=58, shipno='1070836901'</v>
      </c>
    </row>
    <row r="62" spans="1:3" x14ac:dyDescent="0.25">
      <c r="A62" s="12">
        <v>59</v>
      </c>
      <c r="B62" s="22">
        <v>1071622001</v>
      </c>
      <c r="C62" t="str">
        <f t="shared" si="1"/>
        <v>union all  select item=59, shipno='1071622001'</v>
      </c>
    </row>
    <row r="63" spans="1:3" x14ac:dyDescent="0.25">
      <c r="A63" s="12">
        <v>60</v>
      </c>
      <c r="B63" s="22">
        <v>1071143801</v>
      </c>
      <c r="C63" t="str">
        <f t="shared" si="1"/>
        <v>union all  select item=60, shipno='1071143801'</v>
      </c>
    </row>
    <row r="64" spans="1:3" x14ac:dyDescent="0.25">
      <c r="A64" s="12">
        <v>61</v>
      </c>
      <c r="B64" s="22">
        <v>1070684701</v>
      </c>
      <c r="C64" t="str">
        <f t="shared" si="1"/>
        <v>union all  select item=61, shipno='1070684701'</v>
      </c>
    </row>
    <row r="65" spans="1:3" x14ac:dyDescent="0.25">
      <c r="A65" s="12">
        <v>62</v>
      </c>
      <c r="B65" s="22">
        <v>1070186801</v>
      </c>
      <c r="C65" t="str">
        <f t="shared" si="1"/>
        <v>union all  select item=62, shipno='1070186801'</v>
      </c>
    </row>
    <row r="66" spans="1:3" x14ac:dyDescent="0.25">
      <c r="A66" s="12">
        <v>63</v>
      </c>
      <c r="B66" s="22">
        <v>1069652401</v>
      </c>
      <c r="C66" t="str">
        <f t="shared" si="1"/>
        <v>union all  select item=63, shipno='1069652401'</v>
      </c>
    </row>
    <row r="67" spans="1:3" x14ac:dyDescent="0.25">
      <c r="A67" s="12">
        <v>64</v>
      </c>
      <c r="B67" s="22">
        <v>1069154101</v>
      </c>
      <c r="C67" t="str">
        <f t="shared" si="1"/>
        <v>union all  select item=64, shipno='1069154101'</v>
      </c>
    </row>
    <row r="68" spans="1:3" x14ac:dyDescent="0.25">
      <c r="A68" s="12">
        <v>65</v>
      </c>
      <c r="B68" s="22">
        <v>1068208301</v>
      </c>
      <c r="C68" t="str">
        <f t="shared" si="1"/>
        <v>union all  select item=65, shipno='1068208301'</v>
      </c>
    </row>
    <row r="69" spans="1:3" x14ac:dyDescent="0.25">
      <c r="A69" s="12">
        <v>66</v>
      </c>
      <c r="B69" s="22">
        <v>1068419001</v>
      </c>
      <c r="C69" t="str">
        <f t="shared" si="1"/>
        <v>union all  select item=66, shipno='1068419001'</v>
      </c>
    </row>
    <row r="70" spans="1:3" x14ac:dyDescent="0.25">
      <c r="A70" s="12">
        <v>67</v>
      </c>
      <c r="B70" s="22">
        <v>1063943301</v>
      </c>
      <c r="C70" t="str">
        <f t="shared" si="1"/>
        <v>union all  select item=67, shipno='1063943301'</v>
      </c>
    </row>
    <row r="71" spans="1:3" x14ac:dyDescent="0.25">
      <c r="A71" s="12">
        <v>68</v>
      </c>
      <c r="B71" s="22">
        <v>1064526301</v>
      </c>
      <c r="C71" t="str">
        <f t="shared" si="1"/>
        <v>union all  select item=68, shipno='1064526301'</v>
      </c>
    </row>
    <row r="72" spans="1:3" x14ac:dyDescent="0.25">
      <c r="A72" s="12">
        <v>69</v>
      </c>
      <c r="B72" s="22">
        <v>1065097301</v>
      </c>
      <c r="C72" t="str">
        <f t="shared" si="1"/>
        <v>union all  select item=69, shipno='1065097301'</v>
      </c>
    </row>
    <row r="73" spans="1:3" x14ac:dyDescent="0.25">
      <c r="A73" s="12">
        <v>70</v>
      </c>
      <c r="B73" s="22">
        <v>1065385001</v>
      </c>
      <c r="C73" t="str">
        <f t="shared" si="1"/>
        <v>union all  select item=70, shipno='1065385001'</v>
      </c>
    </row>
    <row r="74" spans="1:3" x14ac:dyDescent="0.25">
      <c r="A74" s="12">
        <v>71</v>
      </c>
      <c r="B74" s="22">
        <v>1064074601</v>
      </c>
      <c r="C74" t="str">
        <f t="shared" si="1"/>
        <v>union all  select item=71, shipno='1064074601'</v>
      </c>
    </row>
    <row r="75" spans="1:3" x14ac:dyDescent="0.25">
      <c r="A75" s="12">
        <v>72</v>
      </c>
      <c r="B75" s="22">
        <v>1061892701</v>
      </c>
      <c r="C75" t="str">
        <f t="shared" si="1"/>
        <v>union all  select item=72, shipno='1061892701'</v>
      </c>
    </row>
    <row r="76" spans="1:3" x14ac:dyDescent="0.25">
      <c r="A76" s="12">
        <v>73</v>
      </c>
      <c r="B76" s="22">
        <v>1072507601</v>
      </c>
      <c r="C76" t="str">
        <f t="shared" si="1"/>
        <v>union all  select item=73, shipno='1072507601'</v>
      </c>
    </row>
    <row r="77" spans="1:3" x14ac:dyDescent="0.25">
      <c r="A77" s="12">
        <v>74</v>
      </c>
      <c r="B77" s="22">
        <v>1073500501</v>
      </c>
      <c r="C77" t="str">
        <f t="shared" si="1"/>
        <v>union all  select item=74, shipno='1073500501'</v>
      </c>
    </row>
    <row r="78" spans="1:3" x14ac:dyDescent="0.25">
      <c r="A78" s="12">
        <v>75</v>
      </c>
      <c r="B78" s="22">
        <v>1073221801</v>
      </c>
      <c r="C78" t="str">
        <f t="shared" si="1"/>
        <v>union all  select item=75, shipno='1073221801'</v>
      </c>
    </row>
    <row r="79" spans="1:3" x14ac:dyDescent="0.25">
      <c r="A79" s="12">
        <v>76</v>
      </c>
      <c r="B79" s="22">
        <v>1074018801</v>
      </c>
      <c r="C79" t="str">
        <f t="shared" si="1"/>
        <v>union all  select item=76, shipno='1074018801'</v>
      </c>
    </row>
    <row r="80" spans="1:3" x14ac:dyDescent="0.25">
      <c r="A80" s="12">
        <v>77</v>
      </c>
      <c r="B80" s="22">
        <v>1074810801</v>
      </c>
      <c r="C80" t="str">
        <f t="shared" si="1"/>
        <v>union all  select item=77, shipno='1074810801'</v>
      </c>
    </row>
    <row r="81" spans="1:3" x14ac:dyDescent="0.25">
      <c r="A81" s="12">
        <v>78</v>
      </c>
      <c r="B81" s="22">
        <v>1075350101</v>
      </c>
      <c r="C81" t="str">
        <f t="shared" si="1"/>
        <v>union all  select item=78, shipno='1075350101'</v>
      </c>
    </row>
    <row r="82" spans="1:3" x14ac:dyDescent="0.25">
      <c r="A82" s="12">
        <v>79</v>
      </c>
      <c r="B82" s="22">
        <v>1075886401</v>
      </c>
      <c r="C82" t="str">
        <f t="shared" si="1"/>
        <v>union all  select item=79, shipno='1075886401'</v>
      </c>
    </row>
    <row r="83" spans="1:3" x14ac:dyDescent="0.25">
      <c r="A83" s="12">
        <v>80</v>
      </c>
      <c r="B83" s="22">
        <v>1076435901</v>
      </c>
      <c r="C83" t="str">
        <f t="shared" si="1"/>
        <v>union all  select item=80, shipno='1076435901'</v>
      </c>
    </row>
    <row r="84" spans="1:3" x14ac:dyDescent="0.25">
      <c r="A84" s="12">
        <v>81</v>
      </c>
      <c r="B84" s="22">
        <v>1076974601</v>
      </c>
      <c r="C84" t="str">
        <f t="shared" si="1"/>
        <v>union all  select item=81, shipno='1076974601'</v>
      </c>
    </row>
    <row r="85" spans="1:3" x14ac:dyDescent="0.25">
      <c r="A85" s="12">
        <v>82</v>
      </c>
      <c r="B85" s="22">
        <v>1077647001</v>
      </c>
      <c r="C85" t="str">
        <f t="shared" si="1"/>
        <v>union all  select item=82, shipno='1077647001'</v>
      </c>
    </row>
    <row r="86" spans="1:3" x14ac:dyDescent="0.25">
      <c r="A86" s="12">
        <v>83</v>
      </c>
      <c r="B86" s="22">
        <v>1078146001</v>
      </c>
      <c r="C86" t="str">
        <f t="shared" si="1"/>
        <v>union all  select item=83, shipno='1078146001'</v>
      </c>
    </row>
    <row r="87" spans="1:3" x14ac:dyDescent="0.25">
      <c r="A87" s="12">
        <v>84</v>
      </c>
      <c r="B87" s="22">
        <v>1074489801</v>
      </c>
      <c r="C87" t="str">
        <f t="shared" si="1"/>
        <v>union all  select item=84, shipno='1074489801'</v>
      </c>
    </row>
    <row r="88" spans="1:3" x14ac:dyDescent="0.25">
      <c r="A88" s="12">
        <v>85</v>
      </c>
      <c r="B88" s="22">
        <v>1071814201</v>
      </c>
      <c r="C88" t="str">
        <f t="shared" si="1"/>
        <v>union all  select item=85, shipno='1071814201'</v>
      </c>
    </row>
    <row r="89" spans="1:3" x14ac:dyDescent="0.25">
      <c r="A89" s="12">
        <v>86</v>
      </c>
      <c r="B89" s="22">
        <v>1077403601</v>
      </c>
      <c r="C89" t="str">
        <f t="shared" si="1"/>
        <v>union all  select item=86, shipno='1077403601'</v>
      </c>
    </row>
    <row r="90" spans="1:3" x14ac:dyDescent="0.25">
      <c r="A90" s="12">
        <v>87</v>
      </c>
      <c r="B90" s="22">
        <v>1075076001</v>
      </c>
      <c r="C90" t="str">
        <f t="shared" si="1"/>
        <v>union all  select item=87, shipno='1075076001'</v>
      </c>
    </row>
    <row r="91" spans="1:3" x14ac:dyDescent="0.25">
      <c r="A91" s="12">
        <v>88</v>
      </c>
      <c r="B91" s="22">
        <v>1072759201</v>
      </c>
      <c r="C91" t="str">
        <f t="shared" si="1"/>
        <v>union all  select item=88, shipno='1072759201'</v>
      </c>
    </row>
    <row r="92" spans="1:3" x14ac:dyDescent="0.25">
      <c r="A92" s="12">
        <v>89</v>
      </c>
      <c r="B92" s="22">
        <v>1076698601</v>
      </c>
      <c r="C92" t="str">
        <f t="shared" si="1"/>
        <v>union all  select item=89, shipno='1076698601'</v>
      </c>
    </row>
    <row r="93" spans="1:3" x14ac:dyDescent="0.25">
      <c r="A93" s="12">
        <v>90</v>
      </c>
      <c r="B93" s="22">
        <v>1075616501</v>
      </c>
      <c r="C93" t="str">
        <f t="shared" si="1"/>
        <v>union all  select item=90, shipno='1075616501'</v>
      </c>
    </row>
    <row r="94" spans="1:3" x14ac:dyDescent="0.25">
      <c r="A94" s="12">
        <v>91</v>
      </c>
      <c r="B94" s="22">
        <v>1072265901</v>
      </c>
      <c r="C94" t="str">
        <f t="shared" si="1"/>
        <v>union all  select item=91, shipno='1072265901'</v>
      </c>
    </row>
    <row r="95" spans="1:3" x14ac:dyDescent="0.25">
      <c r="A95" s="12">
        <v>92</v>
      </c>
      <c r="B95" s="22">
        <v>1071814101</v>
      </c>
      <c r="C95" t="str">
        <f t="shared" si="1"/>
        <v>union all  select item=92, shipno='1071814101'</v>
      </c>
    </row>
    <row r="96" spans="1:3" x14ac:dyDescent="0.25">
      <c r="A96" s="12">
        <v>93</v>
      </c>
      <c r="B96" s="22">
        <v>1075616801</v>
      </c>
      <c r="C96" t="str">
        <f t="shared" si="1"/>
        <v>union all  select item=93, shipno='1075616801'</v>
      </c>
    </row>
    <row r="97" spans="1:3" x14ac:dyDescent="0.25">
      <c r="A97" s="12">
        <v>94</v>
      </c>
      <c r="B97" s="22">
        <v>1073792401</v>
      </c>
      <c r="C97" t="str">
        <f t="shared" si="1"/>
        <v>union all  select item=94, shipno='1073792401'</v>
      </c>
    </row>
    <row r="98" spans="1:3" x14ac:dyDescent="0.25">
      <c r="A98" s="12">
        <v>95</v>
      </c>
      <c r="B98" s="22">
        <v>1072265401</v>
      </c>
      <c r="C98" t="str">
        <f t="shared" si="1"/>
        <v>union all  select item=95, shipno='1072265401'</v>
      </c>
    </row>
    <row r="99" spans="1:3" x14ac:dyDescent="0.25">
      <c r="A99" s="12">
        <v>96</v>
      </c>
      <c r="B99" s="22">
        <v>1072760101</v>
      </c>
      <c r="C99" t="str">
        <f t="shared" si="1"/>
        <v>union all  select item=96, shipno='1072760101'</v>
      </c>
    </row>
    <row r="100" spans="1:3" x14ac:dyDescent="0.25">
      <c r="A100" s="12">
        <v>97</v>
      </c>
      <c r="B100" s="22">
        <v>1076698501</v>
      </c>
      <c r="C100" t="str">
        <f t="shared" si="1"/>
        <v>union all  select item=97, shipno='1076698501'</v>
      </c>
    </row>
    <row r="101" spans="1:3" x14ac:dyDescent="0.25">
      <c r="A101" s="12">
        <v>98</v>
      </c>
      <c r="B101" s="22">
        <v>1077403401</v>
      </c>
      <c r="C101" t="str">
        <f t="shared" si="1"/>
        <v>union all  select item=98, shipno='1077403401'</v>
      </c>
    </row>
    <row r="102" spans="1:3" x14ac:dyDescent="0.25">
      <c r="A102" s="12">
        <v>99</v>
      </c>
      <c r="B102" s="22">
        <v>1071046601</v>
      </c>
      <c r="C102" t="str">
        <f t="shared" si="1"/>
        <v>union all  select item=99, shipno='1071046601'</v>
      </c>
    </row>
    <row r="103" spans="1:3" x14ac:dyDescent="0.25">
      <c r="A103" s="12">
        <v>100</v>
      </c>
      <c r="B103" s="22">
        <v>1076138401</v>
      </c>
      <c r="C103" t="str">
        <f t="shared" si="1"/>
        <v>union all  select item=100, shipno='1076138401'</v>
      </c>
    </row>
    <row r="104" spans="1:3" x14ac:dyDescent="0.25">
      <c r="A104" s="12">
        <v>101</v>
      </c>
      <c r="B104" s="22">
        <v>1074548001</v>
      </c>
      <c r="C104" t="str">
        <f t="shared" si="1"/>
        <v>union all  select item=101, shipno='1074548001'</v>
      </c>
    </row>
    <row r="105" spans="1:3" x14ac:dyDescent="0.25">
      <c r="A105" s="12">
        <v>102</v>
      </c>
      <c r="B105" s="22">
        <v>1075075501</v>
      </c>
      <c r="C105" t="str">
        <f t="shared" si="1"/>
        <v>union all  select item=102, shipno='1075075501'</v>
      </c>
    </row>
    <row r="106" spans="1:3" x14ac:dyDescent="0.25">
      <c r="A106" s="12">
        <v>103</v>
      </c>
      <c r="B106" s="22">
        <v>1073270401</v>
      </c>
      <c r="C106" t="str">
        <f t="shared" si="1"/>
        <v>union all  select item=103, shipno='1073270401'</v>
      </c>
    </row>
    <row r="107" spans="1:3" x14ac:dyDescent="0.25">
      <c r="A107" s="12">
        <v>104</v>
      </c>
      <c r="B107" s="22">
        <v>1075075601</v>
      </c>
      <c r="C107" t="str">
        <f t="shared" si="1"/>
        <v>union all  select item=104, shipno='1075075601'</v>
      </c>
    </row>
    <row r="108" spans="1:3" x14ac:dyDescent="0.25">
      <c r="A108" s="12">
        <v>105</v>
      </c>
      <c r="B108" s="22">
        <v>1072265801</v>
      </c>
      <c r="C108" t="str">
        <f t="shared" si="1"/>
        <v>union all  select item=105, shipno='1072265801'</v>
      </c>
    </row>
    <row r="109" spans="1:3" x14ac:dyDescent="0.25">
      <c r="A109" s="12">
        <v>106</v>
      </c>
      <c r="B109" s="22">
        <v>1072759501</v>
      </c>
      <c r="C109" t="str">
        <f t="shared" si="1"/>
        <v>union all  select item=106, shipno='1072759501'</v>
      </c>
    </row>
    <row r="110" spans="1:3" x14ac:dyDescent="0.25">
      <c r="A110" s="12">
        <v>107</v>
      </c>
      <c r="B110" s="22">
        <v>1073270601</v>
      </c>
      <c r="C110" t="str">
        <f t="shared" si="1"/>
        <v>union all  select item=107, shipno='1073270601'</v>
      </c>
    </row>
    <row r="111" spans="1:3" x14ac:dyDescent="0.25">
      <c r="A111" s="12">
        <v>108</v>
      </c>
      <c r="B111" s="22">
        <v>1075616601</v>
      </c>
      <c r="C111" t="str">
        <f t="shared" si="1"/>
        <v>union all  select item=108, shipno='1075616601'</v>
      </c>
    </row>
    <row r="112" spans="1:3" x14ac:dyDescent="0.25">
      <c r="A112" s="12">
        <v>109</v>
      </c>
      <c r="B112" s="22">
        <v>1071046101</v>
      </c>
      <c r="C112" t="str">
        <f t="shared" si="1"/>
        <v>union all  select item=109, shipno='1071046101'</v>
      </c>
    </row>
    <row r="113" spans="1:3" x14ac:dyDescent="0.25">
      <c r="A113" s="12">
        <v>110</v>
      </c>
      <c r="B113" s="22">
        <v>1076698701</v>
      </c>
      <c r="C113" t="str">
        <f t="shared" si="1"/>
        <v>union all  select item=110, shipno='1076698701'</v>
      </c>
    </row>
    <row r="114" spans="1:3" x14ac:dyDescent="0.25">
      <c r="A114" s="12">
        <v>111</v>
      </c>
      <c r="B114" s="22">
        <v>1072759601</v>
      </c>
      <c r="C114" t="str">
        <f t="shared" si="1"/>
        <v>union all  select item=111, shipno='1072759601'</v>
      </c>
    </row>
    <row r="115" spans="1:3" x14ac:dyDescent="0.25">
      <c r="A115" s="12">
        <v>112</v>
      </c>
      <c r="B115" s="22">
        <v>1076138201</v>
      </c>
      <c r="C115" t="str">
        <f t="shared" si="1"/>
        <v>union all  select item=112, shipno='1076138201'</v>
      </c>
    </row>
    <row r="116" spans="1:3" x14ac:dyDescent="0.25">
      <c r="A116" s="12">
        <v>113</v>
      </c>
      <c r="B116" s="22">
        <v>1075076101</v>
      </c>
      <c r="C116" t="str">
        <f t="shared" si="1"/>
        <v>union all  select item=113, shipno='1075076101'</v>
      </c>
    </row>
    <row r="117" spans="1:3" x14ac:dyDescent="0.25">
      <c r="A117" s="12">
        <v>114</v>
      </c>
      <c r="B117" s="22">
        <v>1073270501</v>
      </c>
      <c r="C117" t="str">
        <f t="shared" si="1"/>
        <v>union all  select item=114, shipno='1073270501'</v>
      </c>
    </row>
    <row r="118" spans="1:3" x14ac:dyDescent="0.25">
      <c r="A118" s="12">
        <v>115</v>
      </c>
      <c r="B118" s="22">
        <v>1072265301</v>
      </c>
      <c r="C118" t="str">
        <f t="shared" si="1"/>
        <v>union all  select item=115, shipno='1072265301'</v>
      </c>
    </row>
    <row r="119" spans="1:3" x14ac:dyDescent="0.25">
      <c r="A119" s="12">
        <v>116</v>
      </c>
      <c r="B119" s="22">
        <v>1073792201</v>
      </c>
      <c r="C119" t="str">
        <f t="shared" si="1"/>
        <v>union all  select item=116, shipno='1073792201'</v>
      </c>
    </row>
    <row r="120" spans="1:3" x14ac:dyDescent="0.25">
      <c r="A120" s="12">
        <v>117</v>
      </c>
      <c r="B120" s="22">
        <v>1075616701</v>
      </c>
      <c r="C120" t="str">
        <f t="shared" si="1"/>
        <v>union all  select item=117, shipno='1075616701'</v>
      </c>
    </row>
    <row r="121" spans="1:3" x14ac:dyDescent="0.25">
      <c r="A121" s="12">
        <v>118</v>
      </c>
      <c r="B121" s="22">
        <v>1071813501</v>
      </c>
      <c r="C121" t="str">
        <f t="shared" si="1"/>
        <v>union all  select item=118, shipno='1071813501'</v>
      </c>
    </row>
    <row r="122" spans="1:3" x14ac:dyDescent="0.25">
      <c r="A122" s="12">
        <v>119</v>
      </c>
      <c r="B122" s="22">
        <v>1075616901</v>
      </c>
      <c r="C122" t="str">
        <f t="shared" si="1"/>
        <v>union all  select item=119, shipno='1075616901'</v>
      </c>
    </row>
    <row r="123" spans="1:3" x14ac:dyDescent="0.25">
      <c r="A123" s="12">
        <v>120</v>
      </c>
      <c r="B123" s="22">
        <v>1073271001</v>
      </c>
      <c r="C123" t="str">
        <f t="shared" si="1"/>
        <v>union all  select item=120, shipno='1073271001'</v>
      </c>
    </row>
    <row r="124" spans="1:3" x14ac:dyDescent="0.25">
      <c r="A124" s="12">
        <v>121</v>
      </c>
      <c r="B124" s="22">
        <v>1072265501</v>
      </c>
      <c r="C124" t="str">
        <f t="shared" si="1"/>
        <v>union all  select item=121, shipno='1072265501'</v>
      </c>
    </row>
    <row r="125" spans="1:3" x14ac:dyDescent="0.25">
      <c r="A125" s="12">
        <v>122</v>
      </c>
      <c r="B125" s="22">
        <v>1071046401</v>
      </c>
      <c r="C125" t="str">
        <f t="shared" ref="C125:C188" si="2">"union all  select item=" &amp; A125 &amp; ", shipno='" &amp; B125 &amp; "'"</f>
        <v>union all  select item=122, shipno='1071046401'</v>
      </c>
    </row>
    <row r="126" spans="1:3" x14ac:dyDescent="0.25">
      <c r="A126" s="12">
        <v>123</v>
      </c>
      <c r="B126" s="22">
        <v>1075617101</v>
      </c>
      <c r="C126" t="str">
        <f t="shared" si="2"/>
        <v>union all  select item=123, shipno='1075617101'</v>
      </c>
    </row>
    <row r="127" spans="1:3" x14ac:dyDescent="0.25">
      <c r="A127" s="12">
        <v>124</v>
      </c>
      <c r="B127" s="22">
        <v>1072760001</v>
      </c>
      <c r="C127" t="str">
        <f t="shared" si="2"/>
        <v>union all  select item=124, shipno='1072760001'</v>
      </c>
    </row>
    <row r="128" spans="1:3" x14ac:dyDescent="0.25">
      <c r="A128" s="12">
        <v>125</v>
      </c>
      <c r="B128" s="22">
        <v>1075075701</v>
      </c>
      <c r="C128" t="str">
        <f t="shared" si="2"/>
        <v>union all  select item=125, shipno='1075075701'</v>
      </c>
    </row>
    <row r="129" spans="1:3" x14ac:dyDescent="0.25">
      <c r="A129" s="12">
        <v>126</v>
      </c>
      <c r="B129" s="22">
        <v>1071813701</v>
      </c>
      <c r="C129" t="str">
        <f t="shared" si="2"/>
        <v>union all  select item=126, shipno='1071813701'</v>
      </c>
    </row>
    <row r="130" spans="1:3" x14ac:dyDescent="0.25">
      <c r="A130" s="12">
        <v>127</v>
      </c>
      <c r="B130" s="22">
        <v>1074547901</v>
      </c>
      <c r="C130" t="str">
        <f t="shared" si="2"/>
        <v>union all  select item=127, shipno='1074547901'</v>
      </c>
    </row>
    <row r="131" spans="1:3" x14ac:dyDescent="0.25">
      <c r="A131" s="12">
        <v>128</v>
      </c>
      <c r="B131" s="22">
        <v>1072759901</v>
      </c>
      <c r="C131" t="str">
        <f t="shared" si="2"/>
        <v>union all  select item=128, shipno='1072759901'</v>
      </c>
    </row>
    <row r="132" spans="1:3" x14ac:dyDescent="0.25">
      <c r="A132" s="12">
        <v>129</v>
      </c>
      <c r="B132" s="22">
        <v>1073792301</v>
      </c>
      <c r="C132" t="str">
        <f t="shared" si="2"/>
        <v>union all  select item=129, shipno='1073792301'</v>
      </c>
    </row>
    <row r="133" spans="1:3" x14ac:dyDescent="0.25">
      <c r="A133" s="12">
        <v>130</v>
      </c>
      <c r="B133" s="22">
        <v>1075075801</v>
      </c>
      <c r="C133" t="str">
        <f t="shared" si="2"/>
        <v>union all  select item=130, shipno='1075075801'</v>
      </c>
    </row>
    <row r="134" spans="1:3" x14ac:dyDescent="0.25">
      <c r="A134" s="12">
        <v>131</v>
      </c>
      <c r="B134" s="22">
        <v>1073270901</v>
      </c>
      <c r="C134" t="str">
        <f t="shared" si="2"/>
        <v>union all  select item=131, shipno='1073270901'</v>
      </c>
    </row>
    <row r="135" spans="1:3" x14ac:dyDescent="0.25">
      <c r="A135" s="12">
        <v>132</v>
      </c>
      <c r="B135" s="22">
        <v>1074547801</v>
      </c>
      <c r="C135" t="str">
        <f t="shared" si="2"/>
        <v>union all  select item=132, shipno='1074547801'</v>
      </c>
    </row>
    <row r="136" spans="1:3" x14ac:dyDescent="0.25">
      <c r="A136" s="12">
        <v>133</v>
      </c>
      <c r="B136" s="22">
        <v>1074547701</v>
      </c>
      <c r="C136" t="str">
        <f t="shared" si="2"/>
        <v>union all  select item=133, shipno='1074547701'</v>
      </c>
    </row>
    <row r="137" spans="1:3" x14ac:dyDescent="0.25">
      <c r="A137" s="12">
        <v>134</v>
      </c>
      <c r="B137" s="22">
        <v>1075617201</v>
      </c>
      <c r="C137" t="str">
        <f t="shared" si="2"/>
        <v>union all  select item=134, shipno='1075617201'</v>
      </c>
    </row>
    <row r="138" spans="1:3" x14ac:dyDescent="0.25">
      <c r="A138" s="12">
        <v>135</v>
      </c>
      <c r="B138" s="22">
        <v>1071046301</v>
      </c>
      <c r="C138" t="str">
        <f t="shared" si="2"/>
        <v>union all  select item=135, shipno='1071046301'</v>
      </c>
    </row>
    <row r="139" spans="1:3" x14ac:dyDescent="0.25">
      <c r="A139" s="12">
        <v>136</v>
      </c>
      <c r="B139" s="22">
        <v>1074547601</v>
      </c>
      <c r="C139" t="str">
        <f t="shared" si="2"/>
        <v>union all  select item=136, shipno='1074547601'</v>
      </c>
    </row>
    <row r="140" spans="1:3" x14ac:dyDescent="0.25">
      <c r="A140" s="12">
        <v>137</v>
      </c>
      <c r="B140" s="22">
        <v>1071813801</v>
      </c>
      <c r="C140" t="str">
        <f t="shared" si="2"/>
        <v>union all  select item=137, shipno='1071813801'</v>
      </c>
    </row>
    <row r="141" spans="1:3" x14ac:dyDescent="0.25">
      <c r="A141" s="12">
        <v>138</v>
      </c>
      <c r="B141" s="22">
        <v>1071046201</v>
      </c>
      <c r="C141" t="str">
        <f t="shared" si="2"/>
        <v>union all  select item=138, shipno='1071046201'</v>
      </c>
    </row>
    <row r="142" spans="1:3" x14ac:dyDescent="0.25">
      <c r="A142" s="12">
        <v>139</v>
      </c>
      <c r="B142" s="22">
        <v>1075617401</v>
      </c>
      <c r="C142" t="str">
        <f t="shared" si="2"/>
        <v>union all  select item=139, shipno='1075617401'</v>
      </c>
    </row>
    <row r="143" spans="1:3" x14ac:dyDescent="0.25">
      <c r="A143" s="12">
        <v>140</v>
      </c>
      <c r="B143" s="22">
        <v>1074547501</v>
      </c>
      <c r="C143" t="str">
        <f t="shared" si="2"/>
        <v>union all  select item=140, shipno='1074547501'</v>
      </c>
    </row>
    <row r="144" spans="1:3" x14ac:dyDescent="0.25">
      <c r="A144" s="12">
        <v>141</v>
      </c>
      <c r="B144" s="22">
        <v>1072759401</v>
      </c>
      <c r="C144" t="str">
        <f t="shared" si="2"/>
        <v>union all  select item=141, shipno='1072759401'</v>
      </c>
    </row>
    <row r="145" spans="1:3" x14ac:dyDescent="0.25">
      <c r="A145" s="12">
        <v>142</v>
      </c>
      <c r="B145" s="22">
        <v>1071813901</v>
      </c>
      <c r="C145" t="str">
        <f t="shared" si="2"/>
        <v>union all  select item=142, shipno='1071813901'</v>
      </c>
    </row>
    <row r="146" spans="1:3" x14ac:dyDescent="0.25">
      <c r="A146" s="12">
        <v>143</v>
      </c>
      <c r="B146" s="22">
        <v>1072759301</v>
      </c>
      <c r="C146" t="str">
        <f t="shared" si="2"/>
        <v>union all  select item=143, shipno='1072759301'</v>
      </c>
    </row>
    <row r="147" spans="1:3" x14ac:dyDescent="0.25">
      <c r="A147" s="12">
        <v>144</v>
      </c>
      <c r="B147" s="22">
        <v>1075076201</v>
      </c>
      <c r="C147" t="str">
        <f t="shared" si="2"/>
        <v>union all  select item=144, shipno='1075076201'</v>
      </c>
    </row>
    <row r="148" spans="1:3" x14ac:dyDescent="0.25">
      <c r="A148" s="12">
        <v>145</v>
      </c>
      <c r="B148" s="22">
        <v>1077403701</v>
      </c>
      <c r="C148" t="str">
        <f t="shared" si="2"/>
        <v>union all  select item=145, shipno='1077403701'</v>
      </c>
    </row>
    <row r="149" spans="1:3" x14ac:dyDescent="0.25">
      <c r="A149" s="12">
        <v>146</v>
      </c>
      <c r="B149" s="22">
        <v>1074548101</v>
      </c>
      <c r="C149" t="str">
        <f t="shared" si="2"/>
        <v>union all  select item=146, shipno='1074548101'</v>
      </c>
    </row>
    <row r="150" spans="1:3" x14ac:dyDescent="0.25">
      <c r="A150" s="12">
        <v>147</v>
      </c>
      <c r="B150" s="22">
        <v>1076698801</v>
      </c>
      <c r="C150" t="str">
        <f t="shared" si="2"/>
        <v>union all  select item=147, shipno='1076698801'</v>
      </c>
    </row>
    <row r="151" spans="1:3" x14ac:dyDescent="0.25">
      <c r="A151" s="12">
        <v>148</v>
      </c>
      <c r="B151" s="22">
        <v>1071046501</v>
      </c>
      <c r="C151" t="str">
        <f t="shared" si="2"/>
        <v>union all  select item=148, shipno='1071046501'</v>
      </c>
    </row>
    <row r="152" spans="1:3" x14ac:dyDescent="0.25">
      <c r="A152" s="12">
        <v>149</v>
      </c>
      <c r="B152" s="22">
        <v>1073270701</v>
      </c>
      <c r="C152" t="str">
        <f t="shared" si="2"/>
        <v>union all  select item=149, shipno='1073270701'</v>
      </c>
    </row>
    <row r="153" spans="1:3" x14ac:dyDescent="0.25">
      <c r="A153" s="12">
        <v>150</v>
      </c>
      <c r="B153" s="22">
        <v>1075075901</v>
      </c>
      <c r="C153" t="str">
        <f t="shared" si="2"/>
        <v>union all  select item=150, shipno='1075075901'</v>
      </c>
    </row>
    <row r="154" spans="1:3" x14ac:dyDescent="0.25">
      <c r="A154" s="12">
        <v>151</v>
      </c>
      <c r="B154" s="22">
        <v>1072265601</v>
      </c>
      <c r="C154" t="str">
        <f t="shared" si="2"/>
        <v>union all  select item=151, shipno='1072265601'</v>
      </c>
    </row>
    <row r="155" spans="1:3" x14ac:dyDescent="0.25">
      <c r="A155" s="12">
        <v>152</v>
      </c>
      <c r="B155" s="22">
        <v>1077403501</v>
      </c>
      <c r="C155" t="str">
        <f t="shared" si="2"/>
        <v>union all  select item=152, shipno='1077403501'</v>
      </c>
    </row>
    <row r="156" spans="1:3" x14ac:dyDescent="0.25">
      <c r="A156" s="12">
        <v>153</v>
      </c>
      <c r="B156" s="22">
        <v>1076138301</v>
      </c>
      <c r="C156" t="str">
        <f t="shared" si="2"/>
        <v>union all  select item=153, shipno='1076138301'</v>
      </c>
    </row>
    <row r="157" spans="1:3" x14ac:dyDescent="0.25">
      <c r="A157" s="12">
        <v>154</v>
      </c>
      <c r="B157" s="22">
        <v>1075617301</v>
      </c>
      <c r="C157" t="str">
        <f t="shared" si="2"/>
        <v>union all  select item=154, shipno='1075617301'</v>
      </c>
    </row>
    <row r="158" spans="1:3" x14ac:dyDescent="0.25">
      <c r="A158" s="12">
        <v>155</v>
      </c>
      <c r="B158" s="22">
        <v>1071813601</v>
      </c>
      <c r="C158" t="str">
        <f t="shared" si="2"/>
        <v>union all  select item=155, shipno='1071813601'</v>
      </c>
    </row>
    <row r="159" spans="1:3" x14ac:dyDescent="0.25">
      <c r="A159" s="12">
        <v>156</v>
      </c>
      <c r="B159" s="22">
        <v>1075617501</v>
      </c>
      <c r="C159" t="str">
        <f t="shared" si="2"/>
        <v>union all  select item=156, shipno='1075617501'</v>
      </c>
    </row>
    <row r="160" spans="1:3" x14ac:dyDescent="0.25">
      <c r="A160" s="12">
        <v>157</v>
      </c>
      <c r="B160" s="22">
        <v>1072759101</v>
      </c>
      <c r="C160" t="str">
        <f t="shared" si="2"/>
        <v>union all  select item=157, shipno='1072759101'</v>
      </c>
    </row>
    <row r="161" spans="1:3" x14ac:dyDescent="0.25">
      <c r="A161" s="12">
        <v>158</v>
      </c>
      <c r="B161" s="22">
        <v>1072265701</v>
      </c>
      <c r="C161" t="str">
        <f t="shared" si="2"/>
        <v>union all  select item=158, shipno='1072265701'</v>
      </c>
    </row>
    <row r="162" spans="1:3" x14ac:dyDescent="0.25">
      <c r="A162" s="12">
        <v>159</v>
      </c>
      <c r="B162" s="22">
        <v>1075076301</v>
      </c>
      <c r="C162" t="str">
        <f t="shared" si="2"/>
        <v>union all  select item=159, shipno='1075076301'</v>
      </c>
    </row>
    <row r="163" spans="1:3" x14ac:dyDescent="0.25">
      <c r="A163" s="12">
        <v>160</v>
      </c>
      <c r="B163" s="22">
        <v>1076698901</v>
      </c>
      <c r="C163" t="str">
        <f t="shared" si="2"/>
        <v>union all  select item=160, shipno='1076698901'</v>
      </c>
    </row>
    <row r="164" spans="1:3" x14ac:dyDescent="0.25">
      <c r="A164" s="12">
        <v>161</v>
      </c>
      <c r="B164" s="22">
        <v>1077403801</v>
      </c>
      <c r="C164" t="str">
        <f t="shared" si="2"/>
        <v>union all  select item=161, shipno='1077403801'</v>
      </c>
    </row>
    <row r="165" spans="1:3" x14ac:dyDescent="0.25">
      <c r="A165" s="12">
        <v>162</v>
      </c>
      <c r="B165" s="22">
        <v>1073270801</v>
      </c>
      <c r="C165" t="str">
        <f t="shared" si="2"/>
        <v>union all  select item=162, shipno='1073270801'</v>
      </c>
    </row>
    <row r="166" spans="1:3" x14ac:dyDescent="0.25">
      <c r="A166" s="12">
        <v>163</v>
      </c>
      <c r="B166" s="22">
        <v>1075076401</v>
      </c>
      <c r="C166" t="str">
        <f t="shared" si="2"/>
        <v>union all  select item=163, shipno='1075076401'</v>
      </c>
    </row>
    <row r="167" spans="1:3" x14ac:dyDescent="0.25">
      <c r="A167" s="12">
        <v>164</v>
      </c>
      <c r="B167" s="22">
        <v>1073792001</v>
      </c>
      <c r="C167" t="str">
        <f t="shared" si="2"/>
        <v>union all  select item=164, shipno='1073792001'</v>
      </c>
    </row>
    <row r="168" spans="1:3" x14ac:dyDescent="0.25">
      <c r="A168" s="12">
        <v>165</v>
      </c>
      <c r="B168" s="22">
        <v>1000138801</v>
      </c>
      <c r="C168" t="str">
        <f t="shared" si="2"/>
        <v>union all  select item=165, shipno='1000138801'</v>
      </c>
    </row>
    <row r="169" spans="1:3" x14ac:dyDescent="0.25">
      <c r="A169" s="12">
        <v>166</v>
      </c>
      <c r="B169" s="22">
        <v>1000138901</v>
      </c>
      <c r="C169" t="str">
        <f t="shared" si="2"/>
        <v>union all  select item=166, shipno='1000138901'</v>
      </c>
    </row>
    <row r="170" spans="1:3" x14ac:dyDescent="0.25">
      <c r="A170" s="12">
        <v>167</v>
      </c>
      <c r="B170" s="22">
        <v>1071814001</v>
      </c>
      <c r="C170" t="str">
        <f t="shared" si="2"/>
        <v>union all  select item=167, shipno='1071814001'</v>
      </c>
    </row>
    <row r="171" spans="1:3" x14ac:dyDescent="0.25">
      <c r="A171" s="12">
        <v>168</v>
      </c>
      <c r="B171" s="22">
        <v>1075617701</v>
      </c>
      <c r="C171" t="str">
        <f t="shared" si="2"/>
        <v>union all  select item=168, shipno='1075617701'</v>
      </c>
    </row>
    <row r="172" spans="1:3" x14ac:dyDescent="0.25">
      <c r="A172" s="12">
        <v>169</v>
      </c>
      <c r="B172" s="22">
        <v>1073792101</v>
      </c>
      <c r="C172" t="str">
        <f t="shared" si="2"/>
        <v>union all  select item=169, shipno='1073792101'</v>
      </c>
    </row>
    <row r="173" spans="1:3" x14ac:dyDescent="0.25">
      <c r="A173" s="12">
        <v>170</v>
      </c>
      <c r="B173" s="22">
        <v>1072266001</v>
      </c>
      <c r="C173" t="str">
        <f t="shared" si="2"/>
        <v>union all  select item=170, shipno='1072266001'</v>
      </c>
    </row>
    <row r="174" spans="1:3" x14ac:dyDescent="0.25">
      <c r="A174" s="12">
        <v>171</v>
      </c>
      <c r="B174" s="22">
        <v>1075617901</v>
      </c>
      <c r="C174" t="str">
        <f t="shared" si="2"/>
        <v>union all  select item=171, shipno='1075617901'</v>
      </c>
    </row>
    <row r="175" spans="1:3" x14ac:dyDescent="0.25">
      <c r="A175" s="12">
        <v>172</v>
      </c>
      <c r="B175" s="22">
        <v>1075617801</v>
      </c>
      <c r="C175" t="str">
        <f t="shared" si="2"/>
        <v>union all  select item=172, shipno='1075617801'</v>
      </c>
    </row>
    <row r="176" spans="1:3" x14ac:dyDescent="0.25">
      <c r="A176" s="12">
        <v>173</v>
      </c>
      <c r="B176" s="22">
        <v>1076138501</v>
      </c>
      <c r="C176" t="str">
        <f t="shared" si="2"/>
        <v>union all  select item=173, shipno='1076138501'</v>
      </c>
    </row>
    <row r="177" spans="1:3" x14ac:dyDescent="0.25">
      <c r="A177" s="12">
        <v>174</v>
      </c>
      <c r="B177" s="22">
        <v>1067227301</v>
      </c>
      <c r="C177" t="str">
        <f t="shared" si="2"/>
        <v>union all  select item=174, shipno='1067227301'</v>
      </c>
    </row>
    <row r="178" spans="1:3" x14ac:dyDescent="0.25">
      <c r="A178" s="12">
        <v>175</v>
      </c>
      <c r="B178" s="22">
        <v>1034396501</v>
      </c>
      <c r="C178" t="str">
        <f t="shared" si="2"/>
        <v>union all  select item=175, shipno='1034396501'</v>
      </c>
    </row>
    <row r="179" spans="1:3" x14ac:dyDescent="0.25">
      <c r="A179" s="12">
        <v>176</v>
      </c>
      <c r="B179" s="22">
        <v>1000167701</v>
      </c>
      <c r="C179" t="str">
        <f t="shared" si="2"/>
        <v>union all  select item=176, shipno='1000167701'</v>
      </c>
    </row>
    <row r="180" spans="1:3" x14ac:dyDescent="0.25">
      <c r="A180" s="12">
        <v>177</v>
      </c>
      <c r="B180" s="22">
        <v>1071326001</v>
      </c>
      <c r="C180" t="str">
        <f t="shared" si="2"/>
        <v>union all  select item=177, shipno='1071326001'</v>
      </c>
    </row>
    <row r="181" spans="1:3" x14ac:dyDescent="0.25">
      <c r="A181" s="12">
        <v>178</v>
      </c>
      <c r="B181" s="22">
        <v>1071326101</v>
      </c>
      <c r="C181" t="str">
        <f t="shared" si="2"/>
        <v>union all  select item=178, shipno='1071326101'</v>
      </c>
    </row>
    <row r="182" spans="1:3" x14ac:dyDescent="0.25">
      <c r="A182" s="12">
        <v>179</v>
      </c>
      <c r="B182" s="22">
        <v>1071326201</v>
      </c>
      <c r="C182" t="str">
        <f t="shared" si="2"/>
        <v>union all  select item=179, shipno='1071326201'</v>
      </c>
    </row>
    <row r="183" spans="1:3" x14ac:dyDescent="0.25">
      <c r="A183" s="12">
        <v>180</v>
      </c>
      <c r="B183" s="22">
        <v>1071326301</v>
      </c>
      <c r="C183" t="str">
        <f t="shared" si="2"/>
        <v>union all  select item=180, shipno='1071326301'</v>
      </c>
    </row>
    <row r="184" spans="1:3" x14ac:dyDescent="0.25">
      <c r="A184" s="12">
        <v>181</v>
      </c>
      <c r="B184" s="22">
        <v>1072504101</v>
      </c>
      <c r="C184" t="str">
        <f t="shared" si="2"/>
        <v>union all  select item=181, shipno='1072504101'</v>
      </c>
    </row>
    <row r="185" spans="1:3" x14ac:dyDescent="0.25">
      <c r="A185" s="12">
        <v>182</v>
      </c>
      <c r="B185" s="22">
        <v>1072504201</v>
      </c>
      <c r="C185" t="str">
        <f t="shared" si="2"/>
        <v>union all  select item=182, shipno='1072504201'</v>
      </c>
    </row>
    <row r="186" spans="1:3" x14ac:dyDescent="0.25">
      <c r="A186" s="12">
        <v>183</v>
      </c>
      <c r="B186" s="22">
        <v>1072759701</v>
      </c>
      <c r="C186" t="str">
        <f t="shared" si="2"/>
        <v>union all  select item=183, shipno='1072759701'</v>
      </c>
    </row>
    <row r="187" spans="1:3" x14ac:dyDescent="0.25">
      <c r="A187" s="12">
        <v>184</v>
      </c>
      <c r="B187" s="22">
        <v>1075617601</v>
      </c>
      <c r="C187" t="str">
        <f t="shared" si="2"/>
        <v>union all  select item=184, shipno='1075617601'</v>
      </c>
    </row>
    <row r="188" spans="1:3" x14ac:dyDescent="0.25">
      <c r="A188" s="12">
        <v>185</v>
      </c>
      <c r="B188" s="22">
        <v>1077403901</v>
      </c>
      <c r="C188" t="str">
        <f t="shared" si="2"/>
        <v>union all  select item=185, shipno='1077403901'</v>
      </c>
    </row>
    <row r="189" spans="1:3" x14ac:dyDescent="0.25">
      <c r="A189" s="12">
        <v>186</v>
      </c>
      <c r="B189" s="22">
        <v>1072759801</v>
      </c>
      <c r="C189" t="str">
        <f t="shared" ref="C189:C252" si="3">"union all  select item=" &amp; A189 &amp; ", shipno='" &amp; B189 &amp; "'"</f>
        <v>union all  select item=186, shipno='1072759801'</v>
      </c>
    </row>
    <row r="190" spans="1:3" x14ac:dyDescent="0.25">
      <c r="A190" s="12">
        <v>187</v>
      </c>
      <c r="B190" s="22">
        <v>1075617001</v>
      </c>
      <c r="C190" t="str">
        <f t="shared" si="3"/>
        <v>union all  select item=187, shipno='1075617001'</v>
      </c>
    </row>
    <row r="191" spans="1:3" x14ac:dyDescent="0.25">
      <c r="A191" s="12">
        <v>188</v>
      </c>
      <c r="B191" s="22" t="s">
        <v>99</v>
      </c>
      <c r="C191" t="str">
        <f t="shared" si="3"/>
        <v>union all  select item=188, shipno='          '</v>
      </c>
    </row>
    <row r="192" spans="1:3" x14ac:dyDescent="0.25">
      <c r="A192" s="12">
        <v>189</v>
      </c>
      <c r="B192" s="22" t="s">
        <v>99</v>
      </c>
      <c r="C192" t="str">
        <f t="shared" si="3"/>
        <v>union all  select item=189, shipno='          '</v>
      </c>
    </row>
    <row r="193" spans="1:3" x14ac:dyDescent="0.25">
      <c r="A193" s="12">
        <v>190</v>
      </c>
      <c r="B193" s="22" t="s">
        <v>99</v>
      </c>
      <c r="C193" t="str">
        <f t="shared" si="3"/>
        <v>union all  select item=190, shipno='          '</v>
      </c>
    </row>
    <row r="194" spans="1:3" x14ac:dyDescent="0.25">
      <c r="A194" s="12">
        <v>191</v>
      </c>
      <c r="B194" s="22">
        <v>1078488501</v>
      </c>
      <c r="C194" t="str">
        <f t="shared" si="3"/>
        <v>union all  select item=191, shipno='1078488501'</v>
      </c>
    </row>
    <row r="195" spans="1:3" x14ac:dyDescent="0.25">
      <c r="A195" s="12">
        <v>192</v>
      </c>
      <c r="B195" s="22">
        <v>1080261801</v>
      </c>
      <c r="C195" t="str">
        <f t="shared" si="3"/>
        <v>union all  select item=192, shipno='1080261801'</v>
      </c>
    </row>
    <row r="196" spans="1:3" x14ac:dyDescent="0.25">
      <c r="A196" s="12">
        <v>193</v>
      </c>
      <c r="B196" s="22">
        <v>1079423401</v>
      </c>
      <c r="C196" t="str">
        <f t="shared" si="3"/>
        <v>union all  select item=193, shipno='1079423401'</v>
      </c>
    </row>
    <row r="197" spans="1:3" x14ac:dyDescent="0.25">
      <c r="A197" s="12">
        <v>194</v>
      </c>
      <c r="B197" s="22">
        <v>1080882401</v>
      </c>
      <c r="C197" t="str">
        <f t="shared" si="3"/>
        <v>union all  select item=194, shipno='1080882401'</v>
      </c>
    </row>
    <row r="198" spans="1:3" x14ac:dyDescent="0.25">
      <c r="A198" s="12">
        <v>195</v>
      </c>
      <c r="B198" s="22">
        <v>1079911401</v>
      </c>
      <c r="C198" t="str">
        <f t="shared" si="3"/>
        <v>union all  select item=195, shipno='1079911401'</v>
      </c>
    </row>
    <row r="199" spans="1:3" x14ac:dyDescent="0.25">
      <c r="A199" s="12">
        <v>196</v>
      </c>
      <c r="B199" s="22">
        <v>1078654701</v>
      </c>
      <c r="C199" t="str">
        <f t="shared" si="3"/>
        <v>union all  select item=196, shipno='1078654701'</v>
      </c>
    </row>
    <row r="200" spans="1:3" x14ac:dyDescent="0.25">
      <c r="A200" s="12">
        <v>197</v>
      </c>
      <c r="B200" s="22">
        <v>1078958701</v>
      </c>
      <c r="C200" t="str">
        <f t="shared" si="3"/>
        <v>union all  select item=197, shipno='1078958701'</v>
      </c>
    </row>
    <row r="201" spans="1:3" x14ac:dyDescent="0.25">
      <c r="A201" s="12">
        <v>198</v>
      </c>
      <c r="B201" s="22">
        <v>1081178801</v>
      </c>
      <c r="C201" t="str">
        <f t="shared" si="3"/>
        <v>union all  select item=198, shipno='1081178801'</v>
      </c>
    </row>
    <row r="202" spans="1:3" x14ac:dyDescent="0.25">
      <c r="A202" s="12">
        <v>199</v>
      </c>
      <c r="B202" s="22">
        <v>1081633201</v>
      </c>
      <c r="C202" t="str">
        <f t="shared" si="3"/>
        <v>union all  select item=199, shipno='1081633201'</v>
      </c>
    </row>
    <row r="203" spans="1:3" x14ac:dyDescent="0.25">
      <c r="A203" s="12">
        <v>200</v>
      </c>
      <c r="B203" s="22">
        <v>1081334201</v>
      </c>
      <c r="C203" t="str">
        <f t="shared" si="3"/>
        <v>union all  select item=200, shipno='1081334201'</v>
      </c>
    </row>
    <row r="204" spans="1:3" x14ac:dyDescent="0.25">
      <c r="A204" s="12">
        <v>201</v>
      </c>
      <c r="B204" s="22">
        <v>1078488601</v>
      </c>
      <c r="C204" t="str">
        <f t="shared" si="3"/>
        <v>union all  select item=201, shipno='1078488601'</v>
      </c>
    </row>
    <row r="205" spans="1:3" x14ac:dyDescent="0.25">
      <c r="A205" s="12">
        <v>202</v>
      </c>
      <c r="B205" s="22">
        <v>1077885901</v>
      </c>
      <c r="C205" t="str">
        <f t="shared" si="3"/>
        <v>union all  select item=202, shipno='1077885901'</v>
      </c>
    </row>
    <row r="206" spans="1:3" x14ac:dyDescent="0.25">
      <c r="A206" s="12">
        <v>203</v>
      </c>
      <c r="B206" s="22">
        <v>1080138201</v>
      </c>
      <c r="C206" t="str">
        <f t="shared" si="3"/>
        <v>union all  select item=203, shipno='1080138201'</v>
      </c>
    </row>
    <row r="207" spans="1:3" x14ac:dyDescent="0.25">
      <c r="A207" s="12">
        <v>204</v>
      </c>
      <c r="B207" s="22">
        <v>1081097811</v>
      </c>
      <c r="C207" t="str">
        <f t="shared" si="3"/>
        <v>union all  select item=204, shipno='1081097811'</v>
      </c>
    </row>
    <row r="208" spans="1:3" x14ac:dyDescent="0.25">
      <c r="A208" s="12">
        <v>205</v>
      </c>
      <c r="B208" s="22">
        <v>1080655801</v>
      </c>
      <c r="C208" t="str">
        <f t="shared" si="3"/>
        <v>union all  select item=205, shipno='1080655801'</v>
      </c>
    </row>
    <row r="209" spans="1:3" x14ac:dyDescent="0.25">
      <c r="A209" s="12">
        <v>206</v>
      </c>
      <c r="B209" s="22">
        <v>1079346901</v>
      </c>
      <c r="C209" t="str">
        <f t="shared" si="3"/>
        <v>union all  select item=206, shipno='1079346901'</v>
      </c>
    </row>
    <row r="210" spans="1:3" x14ac:dyDescent="0.25">
      <c r="A210" s="12">
        <v>207</v>
      </c>
      <c r="B210" s="22">
        <v>1081549401</v>
      </c>
      <c r="C210" t="str">
        <f t="shared" si="3"/>
        <v>union all  select item=207, shipno='1081549401'</v>
      </c>
    </row>
    <row r="211" spans="1:3" x14ac:dyDescent="0.25">
      <c r="A211" s="12">
        <v>208</v>
      </c>
      <c r="B211" s="22">
        <v>1078886301</v>
      </c>
      <c r="C211" t="str">
        <f t="shared" si="3"/>
        <v>union all  select item=208, shipno='1078886301'</v>
      </c>
    </row>
    <row r="212" spans="1:3" x14ac:dyDescent="0.25">
      <c r="A212" s="12">
        <v>209</v>
      </c>
      <c r="B212" s="22">
        <v>1078405101</v>
      </c>
      <c r="C212" t="str">
        <f t="shared" si="3"/>
        <v>union all  select item=209, shipno='1078405101'</v>
      </c>
    </row>
    <row r="213" spans="1:3" x14ac:dyDescent="0.25">
      <c r="A213" s="12">
        <v>210</v>
      </c>
      <c r="B213" s="22">
        <v>1080185701</v>
      </c>
      <c r="C213" t="str">
        <f t="shared" si="3"/>
        <v>union all  select item=210, shipno='1080185701'</v>
      </c>
    </row>
    <row r="214" spans="1:3" x14ac:dyDescent="0.25">
      <c r="A214" s="12">
        <v>211</v>
      </c>
      <c r="B214" s="22">
        <v>1079346501</v>
      </c>
      <c r="C214" t="str">
        <f t="shared" si="3"/>
        <v>union all  select item=211, shipno='1079346501'</v>
      </c>
    </row>
    <row r="215" spans="1:3" x14ac:dyDescent="0.25">
      <c r="A215" s="12">
        <v>212</v>
      </c>
      <c r="B215" s="22">
        <v>1081549901</v>
      </c>
      <c r="C215" t="str">
        <f t="shared" si="3"/>
        <v>union all  select item=212, shipno='1081549901'</v>
      </c>
    </row>
    <row r="216" spans="1:3" x14ac:dyDescent="0.25">
      <c r="A216" s="12">
        <v>213</v>
      </c>
      <c r="B216" s="22">
        <v>1081097901</v>
      </c>
      <c r="C216" t="str">
        <f t="shared" si="3"/>
        <v>union all  select item=213, shipno='1081097901'</v>
      </c>
    </row>
    <row r="217" spans="1:3" x14ac:dyDescent="0.25">
      <c r="A217" s="12">
        <v>214</v>
      </c>
      <c r="B217" s="22">
        <v>1080185301</v>
      </c>
      <c r="C217" t="str">
        <f t="shared" si="3"/>
        <v>union all  select item=214, shipno='1080185301'</v>
      </c>
    </row>
    <row r="218" spans="1:3" x14ac:dyDescent="0.25">
      <c r="A218" s="12">
        <v>215</v>
      </c>
      <c r="B218" s="22">
        <v>1080655301</v>
      </c>
      <c r="C218" t="str">
        <f t="shared" si="3"/>
        <v>union all  select item=215, shipno='1080655301'</v>
      </c>
    </row>
    <row r="219" spans="1:3" x14ac:dyDescent="0.25">
      <c r="A219" s="12">
        <v>216</v>
      </c>
      <c r="B219" s="22">
        <v>1081549801</v>
      </c>
      <c r="C219" t="str">
        <f t="shared" si="3"/>
        <v>union all  select item=216, shipno='1081549801'</v>
      </c>
    </row>
    <row r="220" spans="1:3" x14ac:dyDescent="0.25">
      <c r="A220" s="12">
        <v>217</v>
      </c>
      <c r="B220" s="22">
        <v>1078405001</v>
      </c>
      <c r="C220" t="str">
        <f t="shared" si="3"/>
        <v>union all  select item=217, shipno='1078405001'</v>
      </c>
    </row>
    <row r="221" spans="1:3" x14ac:dyDescent="0.25">
      <c r="A221" s="12">
        <v>218</v>
      </c>
      <c r="B221" s="22">
        <v>1081549201</v>
      </c>
      <c r="C221" t="str">
        <f t="shared" si="3"/>
        <v>union all  select item=218, shipno='1081549201'</v>
      </c>
    </row>
    <row r="222" spans="1:3" x14ac:dyDescent="0.25">
      <c r="A222" s="12">
        <v>219</v>
      </c>
      <c r="B222" s="22">
        <v>1080655601</v>
      </c>
      <c r="C222" t="str">
        <f t="shared" si="3"/>
        <v>union all  select item=219, shipno='1080655601'</v>
      </c>
    </row>
    <row r="223" spans="1:3" x14ac:dyDescent="0.25">
      <c r="A223" s="12">
        <v>220</v>
      </c>
      <c r="B223" s="22">
        <v>1081097711</v>
      </c>
      <c r="C223" t="str">
        <f t="shared" si="3"/>
        <v>union all  select item=220, shipno='1081097711'</v>
      </c>
    </row>
    <row r="224" spans="1:3" x14ac:dyDescent="0.25">
      <c r="A224" s="12">
        <v>221</v>
      </c>
      <c r="B224" s="22">
        <v>1076369201</v>
      </c>
      <c r="C224" t="str">
        <f t="shared" si="3"/>
        <v>union all  select item=221, shipno='1076369201'</v>
      </c>
    </row>
    <row r="225" spans="1:3" x14ac:dyDescent="0.25">
      <c r="A225" s="12">
        <v>222</v>
      </c>
      <c r="B225" s="22">
        <v>1071616001</v>
      </c>
      <c r="C225" t="str">
        <f t="shared" si="3"/>
        <v>union all  select item=222, shipno='1071616001'</v>
      </c>
    </row>
    <row r="226" spans="1:3" x14ac:dyDescent="0.25">
      <c r="A226" s="12">
        <v>223</v>
      </c>
      <c r="B226" s="22">
        <v>1076369301</v>
      </c>
      <c r="C226" t="str">
        <f t="shared" si="3"/>
        <v>union all  select item=223, shipno='1076369301'</v>
      </c>
    </row>
    <row r="227" spans="1:3" x14ac:dyDescent="0.25">
      <c r="A227" s="12">
        <v>224</v>
      </c>
      <c r="B227" s="22">
        <v>1071605401</v>
      </c>
      <c r="C227" t="str">
        <f t="shared" si="3"/>
        <v>union all  select item=224, shipno='1071605401'</v>
      </c>
    </row>
    <row r="228" spans="1:3" x14ac:dyDescent="0.25">
      <c r="A228" s="12">
        <v>225</v>
      </c>
      <c r="B228" s="22">
        <v>1077886001</v>
      </c>
      <c r="C228" t="str">
        <f t="shared" si="3"/>
        <v>union all  select item=225, shipno='1077886001'</v>
      </c>
    </row>
    <row r="229" spans="1:3" x14ac:dyDescent="0.25">
      <c r="A229" s="12">
        <v>226</v>
      </c>
      <c r="B229" s="22">
        <v>1080185601</v>
      </c>
      <c r="C229" t="str">
        <f t="shared" si="3"/>
        <v>union all  select item=226, shipno='1080185601'</v>
      </c>
    </row>
    <row r="230" spans="1:3" x14ac:dyDescent="0.25">
      <c r="A230" s="12">
        <v>227</v>
      </c>
      <c r="B230" s="22">
        <v>1081097611</v>
      </c>
      <c r="C230" t="str">
        <f t="shared" si="3"/>
        <v>union all  select item=227, shipno='1081097611'</v>
      </c>
    </row>
    <row r="231" spans="1:3" x14ac:dyDescent="0.25">
      <c r="A231" s="12">
        <v>228</v>
      </c>
      <c r="B231" s="22">
        <v>1078886201</v>
      </c>
      <c r="C231" t="str">
        <f t="shared" si="3"/>
        <v>union all  select item=228, shipno='1078886201'</v>
      </c>
    </row>
    <row r="232" spans="1:3" x14ac:dyDescent="0.25">
      <c r="A232" s="12">
        <v>229</v>
      </c>
      <c r="B232" s="22">
        <v>1079346701</v>
      </c>
      <c r="C232" t="str">
        <f t="shared" si="3"/>
        <v>union all  select item=229, shipno='1079346701'</v>
      </c>
    </row>
    <row r="233" spans="1:3" x14ac:dyDescent="0.25">
      <c r="A233" s="12">
        <v>230</v>
      </c>
      <c r="B233" s="22">
        <v>1080655401</v>
      </c>
      <c r="C233" t="str">
        <f t="shared" si="3"/>
        <v>union all  select item=230, shipno='1080655401'</v>
      </c>
    </row>
    <row r="234" spans="1:3" x14ac:dyDescent="0.25">
      <c r="A234" s="12">
        <v>231</v>
      </c>
      <c r="B234" s="22">
        <v>1081549601</v>
      </c>
      <c r="C234" t="str">
        <f t="shared" si="3"/>
        <v>union all  select item=231, shipno='1081549601'</v>
      </c>
    </row>
    <row r="235" spans="1:3" x14ac:dyDescent="0.25">
      <c r="A235" s="12">
        <v>232</v>
      </c>
      <c r="B235" s="22">
        <v>1080185501</v>
      </c>
      <c r="C235" t="str">
        <f t="shared" si="3"/>
        <v>union all  select item=232, shipno='1080185501'</v>
      </c>
    </row>
    <row r="236" spans="1:3" x14ac:dyDescent="0.25">
      <c r="A236" s="12">
        <v>233</v>
      </c>
      <c r="B236" s="22">
        <v>1081549701</v>
      </c>
      <c r="C236" t="str">
        <f t="shared" si="3"/>
        <v>union all  select item=233, shipno='1081549701'</v>
      </c>
    </row>
    <row r="237" spans="1:3" x14ac:dyDescent="0.25">
      <c r="A237" s="12">
        <v>234</v>
      </c>
      <c r="B237" s="22">
        <v>1080655201</v>
      </c>
      <c r="C237" t="str">
        <f t="shared" si="3"/>
        <v>union all  select item=234, shipno='1080655201'</v>
      </c>
    </row>
    <row r="238" spans="1:3" x14ac:dyDescent="0.25">
      <c r="A238" s="12">
        <v>235</v>
      </c>
      <c r="B238" s="22">
        <v>1076360701</v>
      </c>
      <c r="C238" t="str">
        <f t="shared" si="3"/>
        <v>union all  select item=235, shipno='1076360701'</v>
      </c>
    </row>
    <row r="239" spans="1:3" x14ac:dyDescent="0.25">
      <c r="A239" s="12">
        <v>236</v>
      </c>
      <c r="B239" s="22">
        <v>1070428001</v>
      </c>
      <c r="C239" t="str">
        <f t="shared" si="3"/>
        <v>union all  select item=236, shipno='1070428001'</v>
      </c>
    </row>
    <row r="240" spans="1:3" x14ac:dyDescent="0.25">
      <c r="A240" s="12">
        <v>237</v>
      </c>
      <c r="B240" s="22">
        <v>1078405201</v>
      </c>
      <c r="C240" t="str">
        <f t="shared" si="3"/>
        <v>union all  select item=237, shipno='1078405201'</v>
      </c>
    </row>
    <row r="241" spans="1:3" x14ac:dyDescent="0.25">
      <c r="A241" s="12">
        <v>238</v>
      </c>
      <c r="B241" s="22">
        <v>1081055901</v>
      </c>
      <c r="C241" t="str">
        <f t="shared" si="3"/>
        <v>union all  select item=238, shipno='1081055901'</v>
      </c>
    </row>
    <row r="242" spans="1:3" x14ac:dyDescent="0.25">
      <c r="A242" s="12">
        <v>239</v>
      </c>
      <c r="B242" s="22">
        <v>1079346601</v>
      </c>
      <c r="C242" t="str">
        <f t="shared" si="3"/>
        <v>union all  select item=239, shipno='1079346601'</v>
      </c>
    </row>
    <row r="243" spans="1:3" x14ac:dyDescent="0.25">
      <c r="A243" s="12">
        <v>240</v>
      </c>
      <c r="B243" s="22">
        <v>1077885801</v>
      </c>
      <c r="C243" t="str">
        <f t="shared" si="3"/>
        <v>union all  select item=240, shipno='1077885801'</v>
      </c>
    </row>
    <row r="244" spans="1:3" x14ac:dyDescent="0.25">
      <c r="A244" s="12">
        <v>241</v>
      </c>
      <c r="B244" s="22">
        <v>1078886101</v>
      </c>
      <c r="C244" t="str">
        <f t="shared" si="3"/>
        <v>union all  select item=241, shipno='1078886101'</v>
      </c>
    </row>
    <row r="245" spans="1:3" x14ac:dyDescent="0.25">
      <c r="A245" s="12">
        <v>242</v>
      </c>
      <c r="B245" s="22">
        <v>1081055301</v>
      </c>
      <c r="C245" t="str">
        <f t="shared" si="3"/>
        <v>union all  select item=242, shipno='1081055301'</v>
      </c>
    </row>
    <row r="246" spans="1:3" x14ac:dyDescent="0.25">
      <c r="A246" s="12">
        <v>243</v>
      </c>
      <c r="B246" s="22">
        <v>1081055101</v>
      </c>
      <c r="C246" t="str">
        <f t="shared" si="3"/>
        <v>union all  select item=243, shipno='1081055101'</v>
      </c>
    </row>
    <row r="247" spans="1:3" x14ac:dyDescent="0.25">
      <c r="A247" s="12">
        <v>244</v>
      </c>
      <c r="B247" s="22">
        <v>1081549301</v>
      </c>
      <c r="C247" t="str">
        <f t="shared" si="3"/>
        <v>union all  select item=244, shipno='1081549301'</v>
      </c>
    </row>
    <row r="248" spans="1:3" x14ac:dyDescent="0.25">
      <c r="A248" s="12">
        <v>245</v>
      </c>
      <c r="B248" s="22">
        <v>1081549101</v>
      </c>
      <c r="C248" t="str">
        <f t="shared" si="3"/>
        <v>union all  select item=245, shipno='1081549101'</v>
      </c>
    </row>
    <row r="249" spans="1:3" x14ac:dyDescent="0.25">
      <c r="A249" s="12">
        <v>246</v>
      </c>
      <c r="B249" s="22">
        <v>1081055201</v>
      </c>
      <c r="C249" t="str">
        <f t="shared" si="3"/>
        <v>union all  select item=246, shipno='1081055201'</v>
      </c>
    </row>
    <row r="250" spans="1:3" x14ac:dyDescent="0.25">
      <c r="A250" s="12">
        <v>247</v>
      </c>
      <c r="B250" s="22">
        <v>1079346801</v>
      </c>
      <c r="C250" t="str">
        <f t="shared" si="3"/>
        <v>union all  select item=247, shipno='1079346801'</v>
      </c>
    </row>
    <row r="251" spans="1:3" x14ac:dyDescent="0.25">
      <c r="A251" s="12">
        <v>248</v>
      </c>
      <c r="B251" s="22">
        <v>1080655501</v>
      </c>
      <c r="C251" t="str">
        <f t="shared" si="3"/>
        <v>union all  select item=248, shipno='1080655501'</v>
      </c>
    </row>
    <row r="252" spans="1:3" x14ac:dyDescent="0.25">
      <c r="A252" s="12">
        <v>249</v>
      </c>
      <c r="B252" s="22">
        <v>1075798101</v>
      </c>
      <c r="C252" t="str">
        <f t="shared" si="3"/>
        <v>union all  select item=249, shipno='1075798101'</v>
      </c>
    </row>
    <row r="253" spans="1:3" x14ac:dyDescent="0.25">
      <c r="A253" s="12">
        <v>250</v>
      </c>
      <c r="B253" s="22">
        <v>1080655701</v>
      </c>
      <c r="C253" t="str">
        <f t="shared" ref="C253:C316" si="4">"union all  select item=" &amp; A253 &amp; ", shipno='" &amp; B253 &amp; "'"</f>
        <v>union all  select item=250, shipno='1080655701'</v>
      </c>
    </row>
    <row r="254" spans="1:3" x14ac:dyDescent="0.25">
      <c r="A254" s="12">
        <v>251</v>
      </c>
      <c r="B254" s="22">
        <v>1078886001</v>
      </c>
      <c r="C254" t="str">
        <f t="shared" si="4"/>
        <v>union all  select item=251, shipno='1078886001'</v>
      </c>
    </row>
    <row r="255" spans="1:3" x14ac:dyDescent="0.25">
      <c r="A255" s="12">
        <v>252</v>
      </c>
      <c r="B255" s="22">
        <v>1078140901</v>
      </c>
      <c r="C255" t="str">
        <f t="shared" si="4"/>
        <v>union all  select item=252, shipno='1078140901'</v>
      </c>
    </row>
    <row r="256" spans="1:3" x14ac:dyDescent="0.25">
      <c r="A256" s="12">
        <v>253</v>
      </c>
      <c r="B256" s="22">
        <v>1077154001</v>
      </c>
      <c r="C256" t="str">
        <f t="shared" si="4"/>
        <v>union all  select item=253, shipno='1077154001'</v>
      </c>
    </row>
    <row r="257" spans="1:3" x14ac:dyDescent="0.25">
      <c r="A257" s="12">
        <v>254</v>
      </c>
      <c r="B257" s="22">
        <v>1077154101</v>
      </c>
      <c r="C257" t="str">
        <f t="shared" si="4"/>
        <v>union all  select item=254, shipno='1077154101'</v>
      </c>
    </row>
    <row r="258" spans="1:3" x14ac:dyDescent="0.25">
      <c r="A258" s="12">
        <v>255</v>
      </c>
      <c r="B258" s="22">
        <v>1079346401</v>
      </c>
      <c r="C258" t="str">
        <f t="shared" si="4"/>
        <v>union all  select item=255, shipno='1079346401'</v>
      </c>
    </row>
    <row r="259" spans="1:3" x14ac:dyDescent="0.25">
      <c r="A259" s="12">
        <v>256</v>
      </c>
      <c r="B259" s="22">
        <v>1081097501</v>
      </c>
      <c r="C259" t="str">
        <f t="shared" si="4"/>
        <v>union all  select item=256, shipno='1081097501'</v>
      </c>
    </row>
    <row r="260" spans="1:3" x14ac:dyDescent="0.25">
      <c r="A260" s="12">
        <v>257</v>
      </c>
      <c r="B260" s="22">
        <v>1081549501</v>
      </c>
      <c r="C260" t="str">
        <f t="shared" si="4"/>
        <v>union all  select item=257, shipno='1081549501'</v>
      </c>
    </row>
    <row r="261" spans="1:3" x14ac:dyDescent="0.25">
      <c r="A261" s="12">
        <v>258</v>
      </c>
      <c r="B261" s="22">
        <v>1080185401</v>
      </c>
      <c r="C261" t="str">
        <f t="shared" si="4"/>
        <v>union all  select item=258, shipno='1080185401'</v>
      </c>
    </row>
    <row r="262" spans="1:3" x14ac:dyDescent="0.25">
      <c r="A262" s="12">
        <v>259</v>
      </c>
      <c r="C262" t="str">
        <f t="shared" si="4"/>
        <v>union all  select item=259, shipno=''</v>
      </c>
    </row>
    <row r="263" spans="1:3" x14ac:dyDescent="0.25">
      <c r="A263" s="12">
        <v>260</v>
      </c>
      <c r="C263" t="str">
        <f t="shared" si="4"/>
        <v>union all  select item=260, shipno=''</v>
      </c>
    </row>
    <row r="264" spans="1:3" x14ac:dyDescent="0.25">
      <c r="A264" s="12">
        <v>261</v>
      </c>
      <c r="C264" t="str">
        <f t="shared" si="4"/>
        <v>union all  select item=261, shipno=''</v>
      </c>
    </row>
    <row r="265" spans="1:3" x14ac:dyDescent="0.25">
      <c r="A265" s="12">
        <v>262</v>
      </c>
      <c r="C265" t="str">
        <f t="shared" si="4"/>
        <v>union all  select item=262, shipno=''</v>
      </c>
    </row>
    <row r="266" spans="1:3" x14ac:dyDescent="0.25">
      <c r="A266" s="12">
        <v>263</v>
      </c>
      <c r="C266" t="str">
        <f t="shared" si="4"/>
        <v>union all  select item=263, shipno=''</v>
      </c>
    </row>
    <row r="267" spans="1:3" x14ac:dyDescent="0.25">
      <c r="A267" s="12">
        <v>264</v>
      </c>
      <c r="C267" t="str">
        <f t="shared" si="4"/>
        <v>union all  select item=264, shipno=''</v>
      </c>
    </row>
    <row r="268" spans="1:3" x14ac:dyDescent="0.25">
      <c r="A268" s="12">
        <v>265</v>
      </c>
      <c r="C268" t="str">
        <f t="shared" si="4"/>
        <v>union all  select item=265, shipno=''</v>
      </c>
    </row>
    <row r="269" spans="1:3" x14ac:dyDescent="0.25">
      <c r="A269" s="12">
        <v>266</v>
      </c>
      <c r="C269" t="str">
        <f t="shared" si="4"/>
        <v>union all  select item=266, shipno=''</v>
      </c>
    </row>
    <row r="270" spans="1:3" x14ac:dyDescent="0.25">
      <c r="A270" s="12">
        <v>267</v>
      </c>
      <c r="C270" t="str">
        <f t="shared" si="4"/>
        <v>union all  select item=267, shipno=''</v>
      </c>
    </row>
    <row r="271" spans="1:3" x14ac:dyDescent="0.25">
      <c r="A271" s="12">
        <v>268</v>
      </c>
      <c r="C271" t="str">
        <f t="shared" si="4"/>
        <v>union all  select item=268, shipno=''</v>
      </c>
    </row>
    <row r="272" spans="1:3" x14ac:dyDescent="0.25">
      <c r="A272" s="12">
        <v>269</v>
      </c>
      <c r="C272" t="str">
        <f t="shared" si="4"/>
        <v>union all  select item=269, shipno=''</v>
      </c>
    </row>
    <row r="273" spans="1:3" x14ac:dyDescent="0.25">
      <c r="A273" s="12">
        <v>270</v>
      </c>
      <c r="C273" t="str">
        <f t="shared" si="4"/>
        <v>union all  select item=270, shipno=''</v>
      </c>
    </row>
    <row r="274" spans="1:3" x14ac:dyDescent="0.25">
      <c r="A274" s="12">
        <v>271</v>
      </c>
      <c r="C274" t="str">
        <f t="shared" si="4"/>
        <v>union all  select item=271, shipno=''</v>
      </c>
    </row>
    <row r="275" spans="1:3" x14ac:dyDescent="0.25">
      <c r="A275" s="12">
        <v>272</v>
      </c>
      <c r="C275" t="str">
        <f t="shared" si="4"/>
        <v>union all  select item=272, shipno=''</v>
      </c>
    </row>
    <row r="276" spans="1:3" x14ac:dyDescent="0.25">
      <c r="A276" s="12">
        <v>273</v>
      </c>
      <c r="C276" t="str">
        <f t="shared" si="4"/>
        <v>union all  select item=273, shipno=''</v>
      </c>
    </row>
    <row r="277" spans="1:3" x14ac:dyDescent="0.25">
      <c r="A277" s="12">
        <v>274</v>
      </c>
      <c r="C277" t="str">
        <f t="shared" si="4"/>
        <v>union all  select item=274, shipno=''</v>
      </c>
    </row>
    <row r="278" spans="1:3" x14ac:dyDescent="0.25">
      <c r="A278" s="12">
        <v>275</v>
      </c>
      <c r="C278" t="str">
        <f t="shared" si="4"/>
        <v>union all  select item=275, shipno=''</v>
      </c>
    </row>
    <row r="279" spans="1:3" x14ac:dyDescent="0.25">
      <c r="A279" s="12">
        <v>276</v>
      </c>
      <c r="C279" t="str">
        <f t="shared" si="4"/>
        <v>union all  select item=276, shipno=''</v>
      </c>
    </row>
    <row r="280" spans="1:3" x14ac:dyDescent="0.25">
      <c r="A280" s="12">
        <v>277</v>
      </c>
      <c r="C280" t="str">
        <f t="shared" si="4"/>
        <v>union all  select item=277, shipno=''</v>
      </c>
    </row>
    <row r="281" spans="1:3" x14ac:dyDescent="0.25">
      <c r="A281" s="12">
        <v>278</v>
      </c>
      <c r="C281" t="str">
        <f t="shared" si="4"/>
        <v>union all  select item=278, shipno=''</v>
      </c>
    </row>
    <row r="282" spans="1:3" x14ac:dyDescent="0.25">
      <c r="A282" s="12">
        <v>279</v>
      </c>
      <c r="C282" t="str">
        <f t="shared" si="4"/>
        <v>union all  select item=279, shipno=''</v>
      </c>
    </row>
    <row r="283" spans="1:3" x14ac:dyDescent="0.25">
      <c r="A283" s="12">
        <v>280</v>
      </c>
      <c r="C283" t="str">
        <f t="shared" si="4"/>
        <v>union all  select item=280, shipno=''</v>
      </c>
    </row>
    <row r="284" spans="1:3" x14ac:dyDescent="0.25">
      <c r="A284" s="12">
        <v>281</v>
      </c>
      <c r="C284" t="str">
        <f t="shared" si="4"/>
        <v>union all  select item=281, shipno=''</v>
      </c>
    </row>
    <row r="285" spans="1:3" x14ac:dyDescent="0.25">
      <c r="A285" s="12">
        <v>282</v>
      </c>
      <c r="C285" t="str">
        <f t="shared" si="4"/>
        <v>union all  select item=282, shipno=''</v>
      </c>
    </row>
    <row r="286" spans="1:3" x14ac:dyDescent="0.25">
      <c r="A286" s="12">
        <v>283</v>
      </c>
      <c r="C286" t="str">
        <f t="shared" si="4"/>
        <v>union all  select item=283, shipno=''</v>
      </c>
    </row>
    <row r="287" spans="1:3" x14ac:dyDescent="0.25">
      <c r="A287" s="12">
        <v>284</v>
      </c>
      <c r="C287" t="str">
        <f t="shared" si="4"/>
        <v>union all  select item=284, shipno=''</v>
      </c>
    </row>
    <row r="288" spans="1:3" x14ac:dyDescent="0.25">
      <c r="A288" s="12">
        <v>285</v>
      </c>
      <c r="C288" t="str">
        <f t="shared" si="4"/>
        <v>union all  select item=285, shipno=''</v>
      </c>
    </row>
    <row r="289" spans="1:3" x14ac:dyDescent="0.25">
      <c r="A289" s="12">
        <v>286</v>
      </c>
      <c r="C289" t="str">
        <f t="shared" si="4"/>
        <v>union all  select item=286, shipno=''</v>
      </c>
    </row>
    <row r="290" spans="1:3" x14ac:dyDescent="0.25">
      <c r="A290" s="12">
        <v>287</v>
      </c>
      <c r="C290" t="str">
        <f t="shared" si="4"/>
        <v>union all  select item=287, shipno=''</v>
      </c>
    </row>
    <row r="291" spans="1:3" x14ac:dyDescent="0.25">
      <c r="A291" s="12">
        <v>288</v>
      </c>
      <c r="C291" t="str">
        <f t="shared" si="4"/>
        <v>union all  select item=288, shipno=''</v>
      </c>
    </row>
    <row r="292" spans="1:3" x14ac:dyDescent="0.25">
      <c r="A292" s="12">
        <v>289</v>
      </c>
      <c r="C292" t="str">
        <f t="shared" si="4"/>
        <v>union all  select item=289, shipno=''</v>
      </c>
    </row>
    <row r="293" spans="1:3" x14ac:dyDescent="0.25">
      <c r="A293" s="12">
        <v>290</v>
      </c>
      <c r="C293" t="str">
        <f t="shared" si="4"/>
        <v>union all  select item=290, shipno=''</v>
      </c>
    </row>
    <row r="294" spans="1:3" x14ac:dyDescent="0.25">
      <c r="A294" s="12">
        <v>291</v>
      </c>
      <c r="C294" t="str">
        <f t="shared" si="4"/>
        <v>union all  select item=291, shipno=''</v>
      </c>
    </row>
    <row r="295" spans="1:3" x14ac:dyDescent="0.25">
      <c r="A295" s="12">
        <v>292</v>
      </c>
      <c r="C295" t="str">
        <f t="shared" si="4"/>
        <v>union all  select item=292, shipno=''</v>
      </c>
    </row>
    <row r="296" spans="1:3" x14ac:dyDescent="0.25">
      <c r="A296" s="12">
        <v>293</v>
      </c>
      <c r="C296" t="str">
        <f t="shared" si="4"/>
        <v>union all  select item=293, shipno=''</v>
      </c>
    </row>
    <row r="297" spans="1:3" x14ac:dyDescent="0.25">
      <c r="A297" s="12">
        <v>294</v>
      </c>
      <c r="C297" t="str">
        <f t="shared" si="4"/>
        <v>union all  select item=294, shipno=''</v>
      </c>
    </row>
    <row r="298" spans="1:3" x14ac:dyDescent="0.25">
      <c r="A298" s="12">
        <v>295</v>
      </c>
      <c r="C298" t="str">
        <f t="shared" si="4"/>
        <v>union all  select item=295, shipno=''</v>
      </c>
    </row>
    <row r="299" spans="1:3" x14ac:dyDescent="0.25">
      <c r="A299" s="12">
        <v>296</v>
      </c>
      <c r="C299" t="str">
        <f t="shared" si="4"/>
        <v>union all  select item=296, shipno=''</v>
      </c>
    </row>
    <row r="300" spans="1:3" x14ac:dyDescent="0.25">
      <c r="A300" s="12">
        <v>297</v>
      </c>
      <c r="C300" t="str">
        <f t="shared" si="4"/>
        <v>union all  select item=297, shipno=''</v>
      </c>
    </row>
    <row r="301" spans="1:3" x14ac:dyDescent="0.25">
      <c r="A301" s="12">
        <v>298</v>
      </c>
      <c r="C301" t="str">
        <f t="shared" si="4"/>
        <v>union all  select item=298, shipno=''</v>
      </c>
    </row>
    <row r="302" spans="1:3" x14ac:dyDescent="0.25">
      <c r="A302" s="12">
        <v>299</v>
      </c>
      <c r="C302" t="str">
        <f t="shared" si="4"/>
        <v>union all  select item=299, shipno=''</v>
      </c>
    </row>
    <row r="303" spans="1:3" x14ac:dyDescent="0.25">
      <c r="A303" s="12">
        <v>300</v>
      </c>
      <c r="C303" t="str">
        <f t="shared" si="4"/>
        <v>union all  select item=300, shipno=''</v>
      </c>
    </row>
    <row r="304" spans="1:3" x14ac:dyDescent="0.25">
      <c r="A304" s="12">
        <v>301</v>
      </c>
      <c r="C304" t="str">
        <f t="shared" si="4"/>
        <v>union all  select item=301, shipno=''</v>
      </c>
    </row>
    <row r="305" spans="1:3" x14ac:dyDescent="0.25">
      <c r="A305" s="12">
        <v>302</v>
      </c>
      <c r="C305" t="str">
        <f t="shared" si="4"/>
        <v>union all  select item=302, shipno=''</v>
      </c>
    </row>
    <row r="306" spans="1:3" x14ac:dyDescent="0.25">
      <c r="A306" s="12">
        <v>303</v>
      </c>
      <c r="C306" t="str">
        <f t="shared" si="4"/>
        <v>union all  select item=303, shipno=''</v>
      </c>
    </row>
    <row r="307" spans="1:3" x14ac:dyDescent="0.25">
      <c r="A307" s="12">
        <v>304</v>
      </c>
      <c r="C307" t="str">
        <f t="shared" si="4"/>
        <v>union all  select item=304, shipno=''</v>
      </c>
    </row>
    <row r="308" spans="1:3" x14ac:dyDescent="0.25">
      <c r="A308" s="12">
        <v>305</v>
      </c>
      <c r="C308" t="str">
        <f t="shared" si="4"/>
        <v>union all  select item=305, shipno=''</v>
      </c>
    </row>
    <row r="309" spans="1:3" x14ac:dyDescent="0.25">
      <c r="A309" s="12">
        <v>306</v>
      </c>
      <c r="C309" t="str">
        <f t="shared" si="4"/>
        <v>union all  select item=306, shipno=''</v>
      </c>
    </row>
    <row r="310" spans="1:3" x14ac:dyDescent="0.25">
      <c r="A310" s="12">
        <v>307</v>
      </c>
      <c r="C310" t="str">
        <f t="shared" si="4"/>
        <v>union all  select item=307, shipno=''</v>
      </c>
    </row>
    <row r="311" spans="1:3" x14ac:dyDescent="0.25">
      <c r="A311" s="12">
        <v>308</v>
      </c>
      <c r="C311" t="str">
        <f t="shared" si="4"/>
        <v>union all  select item=308, shipno=''</v>
      </c>
    </row>
    <row r="312" spans="1:3" x14ac:dyDescent="0.25">
      <c r="A312" s="12">
        <v>309</v>
      </c>
      <c r="C312" t="str">
        <f t="shared" si="4"/>
        <v>union all  select item=309, shipno=''</v>
      </c>
    </row>
    <row r="313" spans="1:3" x14ac:dyDescent="0.25">
      <c r="A313" s="12">
        <v>310</v>
      </c>
      <c r="C313" t="str">
        <f t="shared" si="4"/>
        <v>union all  select item=310, shipno=''</v>
      </c>
    </row>
    <row r="314" spans="1:3" x14ac:dyDescent="0.25">
      <c r="A314" s="12">
        <v>311</v>
      </c>
      <c r="C314" t="str">
        <f t="shared" si="4"/>
        <v>union all  select item=311, shipno=''</v>
      </c>
    </row>
    <row r="315" spans="1:3" x14ac:dyDescent="0.25">
      <c r="A315" s="12">
        <v>312</v>
      </c>
      <c r="C315" t="str">
        <f t="shared" si="4"/>
        <v>union all  select item=312, shipno=''</v>
      </c>
    </row>
    <row r="316" spans="1:3" x14ac:dyDescent="0.25">
      <c r="A316" s="12">
        <v>313</v>
      </c>
      <c r="C316" t="str">
        <f t="shared" si="4"/>
        <v>union all  select item=313, shipno=''</v>
      </c>
    </row>
    <row r="317" spans="1:3" x14ac:dyDescent="0.25">
      <c r="A317" s="12">
        <v>314</v>
      </c>
    </row>
    <row r="318" spans="1:3" x14ac:dyDescent="0.25">
      <c r="A318" s="12">
        <v>315</v>
      </c>
    </row>
    <row r="319" spans="1:3" x14ac:dyDescent="0.25">
      <c r="A319" s="12">
        <v>316</v>
      </c>
    </row>
    <row r="320" spans="1:3" x14ac:dyDescent="0.25">
      <c r="A320" s="12">
        <v>317</v>
      </c>
    </row>
    <row r="321" spans="1:1" x14ac:dyDescent="0.25">
      <c r="A321" s="12">
        <v>318</v>
      </c>
    </row>
    <row r="322" spans="1:1" x14ac:dyDescent="0.25">
      <c r="A322" s="12">
        <v>319</v>
      </c>
    </row>
    <row r="323" spans="1:1" x14ac:dyDescent="0.25">
      <c r="A323" s="12">
        <v>320</v>
      </c>
    </row>
    <row r="324" spans="1:1" x14ac:dyDescent="0.25">
      <c r="A324" s="12">
        <v>321</v>
      </c>
    </row>
    <row r="325" spans="1:1" x14ac:dyDescent="0.25">
      <c r="A325" s="12">
        <v>322</v>
      </c>
    </row>
    <row r="326" spans="1:1" x14ac:dyDescent="0.25">
      <c r="A326" s="12">
        <v>323</v>
      </c>
    </row>
    <row r="327" spans="1:1" x14ac:dyDescent="0.25">
      <c r="A327" s="12">
        <v>324</v>
      </c>
    </row>
    <row r="328" spans="1:1" x14ac:dyDescent="0.25">
      <c r="A328" s="12">
        <v>325</v>
      </c>
    </row>
    <row r="329" spans="1:1" x14ac:dyDescent="0.25">
      <c r="A329" s="12">
        <v>326</v>
      </c>
    </row>
    <row r="330" spans="1:1" x14ac:dyDescent="0.25">
      <c r="A330" s="12">
        <v>327</v>
      </c>
    </row>
    <row r="331" spans="1:1" x14ac:dyDescent="0.25">
      <c r="A331" s="12">
        <v>328</v>
      </c>
    </row>
    <row r="332" spans="1:1" x14ac:dyDescent="0.25">
      <c r="A332" s="12">
        <v>329</v>
      </c>
    </row>
    <row r="333" spans="1:1" x14ac:dyDescent="0.25">
      <c r="A333" s="12">
        <v>330</v>
      </c>
    </row>
    <row r="334" spans="1:1" x14ac:dyDescent="0.25">
      <c r="A334" s="12">
        <v>331</v>
      </c>
    </row>
    <row r="335" spans="1:1" x14ac:dyDescent="0.25">
      <c r="A335" s="12">
        <v>332</v>
      </c>
    </row>
    <row r="336" spans="1:1" x14ac:dyDescent="0.25">
      <c r="A336" s="12">
        <v>333</v>
      </c>
    </row>
    <row r="337" spans="1:1" x14ac:dyDescent="0.25">
      <c r="A337" s="12">
        <v>334</v>
      </c>
    </row>
    <row r="338" spans="1:1" x14ac:dyDescent="0.25">
      <c r="A338" s="12">
        <v>335</v>
      </c>
    </row>
    <row r="339" spans="1:1" x14ac:dyDescent="0.25">
      <c r="A339" s="12">
        <v>336</v>
      </c>
    </row>
    <row r="340" spans="1:1" x14ac:dyDescent="0.25">
      <c r="A340" s="12">
        <v>337</v>
      </c>
    </row>
    <row r="341" spans="1:1" x14ac:dyDescent="0.25">
      <c r="A341" s="12">
        <v>338</v>
      </c>
    </row>
    <row r="342" spans="1:1" x14ac:dyDescent="0.25">
      <c r="A342" s="12">
        <v>339</v>
      </c>
    </row>
    <row r="343" spans="1:1" x14ac:dyDescent="0.25">
      <c r="A343" s="12">
        <v>340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規格</vt:lpstr>
      <vt:lpstr>Datas</vt:lpstr>
      <vt:lpstr>SQL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2015-02-04T08:30:58Z</dcterms:modified>
</cp:coreProperties>
</file>