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62" activeTab="4"/>
  </bookViews>
  <sheets>
    <sheet name="規格-裕隆" sheetId="1" r:id="rId1"/>
    <sheet name="規格-裕器CPM" sheetId="5" r:id="rId2"/>
    <sheet name="規格-裕器" sheetId="6" r:id="rId3"/>
    <sheet name="Datas-裕隆" sheetId="3" r:id="rId4"/>
    <sheet name="Datas-裕器" sheetId="7" r:id="rId5"/>
    <sheet name="SQL-裕隆" sheetId="4" r:id="rId6"/>
    <sheet name="SQL-裕器" sheetId="9" r:id="rId7"/>
  </sheets>
  <functionGroups builtInGroupCount="18"/>
  <calcPr calcId="152511"/>
</workbook>
</file>

<file path=xl/calcChain.xml><?xml version="1.0" encoding="utf-8"?>
<calcChain xmlns="http://schemas.openxmlformats.org/spreadsheetml/2006/main">
  <c r="E6" i="9" l="1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5" i="9"/>
  <c r="E4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5" i="9"/>
  <c r="D4" i="9"/>
  <c r="G3" i="5" l="1"/>
  <c r="G4" i="5"/>
  <c r="G5" i="5"/>
  <c r="G6" i="5"/>
  <c r="G7" i="5"/>
  <c r="G8" i="5"/>
  <c r="G9" i="5"/>
  <c r="G10" i="5"/>
  <c r="G11" i="5"/>
  <c r="G12" i="5"/>
  <c r="G13" i="5"/>
  <c r="G2" i="5"/>
  <c r="AM2" i="7"/>
  <c r="D13" i="6"/>
  <c r="D12" i="6"/>
  <c r="D11" i="6"/>
  <c r="D10" i="6"/>
  <c r="D9" i="6"/>
  <c r="D8" i="6"/>
  <c r="D7" i="6"/>
  <c r="D6" i="6"/>
  <c r="D5" i="6"/>
  <c r="D4" i="6"/>
  <c r="D3" i="6"/>
  <c r="D2" i="6"/>
  <c r="D13" i="5"/>
  <c r="D12" i="5"/>
  <c r="D11" i="5"/>
  <c r="D10" i="5"/>
  <c r="D9" i="5"/>
  <c r="D8" i="5"/>
  <c r="D7" i="5"/>
  <c r="D6" i="5"/>
  <c r="D5" i="5"/>
  <c r="D4" i="5"/>
  <c r="D3" i="5"/>
  <c r="D2" i="5"/>
  <c r="AP2" i="3" l="1"/>
  <c r="C4" i="4" l="1"/>
  <c r="C152" i="4" l="1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141" i="4"/>
  <c r="C142" i="4"/>
  <c r="C143" i="4"/>
  <c r="C144" i="4"/>
  <c r="C145" i="4"/>
  <c r="C146" i="4"/>
  <c r="C147" i="4"/>
  <c r="C148" i="4"/>
  <c r="C149" i="4"/>
  <c r="C150" i="4"/>
  <c r="C151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<sst xmlns="http://schemas.openxmlformats.org/spreadsheetml/2006/main" count="3108" uniqueCount="496">
  <si>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</si>
  <si>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</si>
  <si>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</si>
  <si>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</si>
  <si>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</si>
  <si>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</si>
  <si>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</si>
  <si>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</si>
  <si>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</si>
  <si>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</si>
  <si>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</si>
  <si>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</si>
  <si>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</si>
  <si>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</si>
  <si>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</si>
  <si>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</si>
  <si>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</si>
  <si>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</si>
  <si>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</si>
  <si>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</si>
  <si>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</si>
  <si>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</si>
  <si>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</si>
  <si>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</si>
  <si>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</si>
  <si>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</si>
  <si>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</si>
  <si>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</si>
  <si>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</si>
  <si>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</si>
  <si>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</si>
  <si>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</si>
  <si>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</si>
  <si>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</si>
  <si>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</si>
  <si>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</si>
  <si>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</si>
  <si>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</si>
  <si>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</si>
  <si>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</si>
  <si>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</si>
  <si>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</si>
  <si>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</si>
  <si>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</si>
  <si>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</si>
  <si>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</si>
  <si>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</si>
  <si>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</si>
  <si>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</si>
  <si>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</si>
  <si>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</si>
  <si>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</si>
  <si>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</si>
  <si>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</si>
  <si>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</si>
  <si>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</si>
  <si>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</si>
  <si>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</si>
  <si>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</si>
  <si>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</si>
  <si>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</si>
  <si>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</si>
  <si>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</si>
  <si>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</si>
  <si>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</si>
  <si>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</si>
  <si>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</si>
  <si>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</si>
  <si>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</si>
  <si>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</si>
  <si>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</si>
  <si>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</si>
  <si>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</si>
  <si>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</si>
  <si>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</si>
  <si>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</si>
  <si>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</si>
  <si>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</si>
  <si>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</si>
  <si>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</si>
  <si>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</si>
  <si>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</si>
  <si>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</si>
  <si>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</si>
  <si>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</si>
  <si>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</si>
  <si>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</si>
  <si>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</si>
  <si>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</si>
  <si>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</si>
  <si>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</si>
  <si>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</si>
  <si>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</si>
  <si>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</si>
  <si>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</si>
  <si>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</si>
  <si>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</si>
  <si>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</si>
  <si>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</si>
  <si>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</si>
  <si>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</si>
  <si>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</si>
  <si>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</si>
  <si>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</si>
  <si>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</si>
  <si>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</si>
  <si>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</si>
  <si>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</si>
  <si>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</si>
  <si>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</si>
  <si>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</si>
  <si>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</si>
  <si>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</si>
  <si>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</si>
  <si>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</si>
  <si>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</si>
  <si>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</si>
  <si>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</si>
  <si>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</si>
  <si>
    <t>項次</t>
    <phoneticPr fontId="3" type="noConversion"/>
  </si>
  <si>
    <t>材料編號</t>
    <phoneticPr fontId="3" type="noConversion"/>
  </si>
  <si>
    <t>單位</t>
    <phoneticPr fontId="3" type="noConversion"/>
  </si>
  <si>
    <t>品料</t>
    <phoneticPr fontId="3" type="noConversion"/>
  </si>
  <si>
    <t>驗收數量</t>
    <phoneticPr fontId="3" type="noConversion"/>
  </si>
  <si>
    <t>金額</t>
    <phoneticPr fontId="3" type="noConversion"/>
  </si>
  <si>
    <t>幣別</t>
    <phoneticPr fontId="3" type="noConversion"/>
  </si>
  <si>
    <t>驗收日期</t>
    <phoneticPr fontId="3" type="noConversion"/>
  </si>
  <si>
    <t>訂單編號</t>
    <phoneticPr fontId="3" type="noConversion"/>
  </si>
  <si>
    <t xml:space="preserve">單據編號 </t>
    <phoneticPr fontId="3" type="noConversion"/>
  </si>
  <si>
    <t>日產料號</t>
    <phoneticPr fontId="3" type="noConversion"/>
  </si>
  <si>
    <t>D:\GitHub\YuLong\對帳單\對帳單TXT_2015</t>
    <phoneticPr fontId="3" type="noConversion"/>
  </si>
  <si>
    <t>1RA018500</t>
  </si>
  <si>
    <t xml:space="preserve">   </t>
  </si>
  <si>
    <t xml:space="preserve">  </t>
  </si>
  <si>
    <t>1RA120154</t>
  </si>
  <si>
    <t>1RA129841</t>
  </si>
  <si>
    <t>1RA129840</t>
  </si>
  <si>
    <t>1RA128709</t>
  </si>
  <si>
    <t>1RA124413</t>
  </si>
  <si>
    <t>1RA129033</t>
  </si>
  <si>
    <t>1RA125198</t>
  </si>
  <si>
    <t>1RA123782</t>
  </si>
  <si>
    <t>1RA120196</t>
  </si>
  <si>
    <t>1RA129007</t>
  </si>
  <si>
    <t>1RA015171</t>
  </si>
  <si>
    <t>1RA012601</t>
  </si>
  <si>
    <t>1RA018497</t>
  </si>
  <si>
    <t>1RA010416</t>
  </si>
  <si>
    <t>1RA019024</t>
  </si>
  <si>
    <t>1RA121675</t>
  </si>
  <si>
    <t>1RA125799</t>
  </si>
  <si>
    <t>1RA128885</t>
  </si>
  <si>
    <t>1RA122788</t>
  </si>
  <si>
    <t>1RA124626</t>
  </si>
  <si>
    <t>1RA128327</t>
  </si>
  <si>
    <t>1RA123864</t>
  </si>
  <si>
    <t>1RA120184</t>
  </si>
  <si>
    <t>1RA010551</t>
  </si>
  <si>
    <t>1RA018536</t>
  </si>
  <si>
    <t>1RA019204</t>
  </si>
  <si>
    <t>1RA013851</t>
  </si>
  <si>
    <t>1RA014142</t>
  </si>
  <si>
    <t>1RA011013</t>
  </si>
  <si>
    <t>1RA013264</t>
  </si>
  <si>
    <t>1RA010853</t>
  </si>
  <si>
    <t>1RA011813</t>
  </si>
  <si>
    <t>1RA010952</t>
  </si>
  <si>
    <t>1RA010955</t>
  </si>
  <si>
    <t>1RA010727</t>
  </si>
  <si>
    <t>1RA015170</t>
  </si>
  <si>
    <t>1RA019931</t>
  </si>
  <si>
    <t>1RA018542</t>
  </si>
  <si>
    <t>1RA019207</t>
  </si>
  <si>
    <t>1RA018496</t>
  </si>
  <si>
    <t>1RA014152</t>
  </si>
  <si>
    <t>1RA019023</t>
  </si>
  <si>
    <t>1RA017846</t>
  </si>
  <si>
    <t>1RA011650</t>
  </si>
  <si>
    <t>1RA010493</t>
  </si>
  <si>
    <t>1RA010950</t>
  </si>
  <si>
    <t>1RA017767</t>
  </si>
  <si>
    <t>1RA018537</t>
  </si>
  <si>
    <t>1RA013852</t>
  </si>
  <si>
    <t>1RA010956</t>
  </si>
  <si>
    <t>1RA010728</t>
  </si>
  <si>
    <t>1RA010567</t>
  </si>
  <si>
    <t>1RA019208</t>
  </si>
  <si>
    <t>1RA014731</t>
  </si>
  <si>
    <t>1RA010417</t>
  </si>
  <si>
    <t>1RA019025</t>
  </si>
  <si>
    <t>1RA015341</t>
  </si>
  <si>
    <t>1RA010688</t>
  </si>
  <si>
    <t>1RA010687</t>
  </si>
  <si>
    <t>1RA010554</t>
  </si>
  <si>
    <t>1RA010568</t>
  </si>
  <si>
    <t>1RA012602</t>
  </si>
  <si>
    <t>1RA014732</t>
  </si>
  <si>
    <t>1RA014143</t>
  </si>
  <si>
    <t>1RA010414</t>
  </si>
  <si>
    <t>1RA015339</t>
  </si>
  <si>
    <t>1RA010856</t>
  </si>
  <si>
    <t>1RA010953</t>
  </si>
  <si>
    <t>1RA018543</t>
  </si>
  <si>
    <t>1RA018498</t>
  </si>
  <si>
    <t>1RA019026</t>
  </si>
  <si>
    <t>1RA011651</t>
  </si>
  <si>
    <t>1RA010494</t>
  </si>
  <si>
    <t>1RA017768</t>
  </si>
  <si>
    <t>1RA010729</t>
  </si>
  <si>
    <t>1RA010735</t>
  </si>
  <si>
    <t>1RA018544</t>
  </si>
  <si>
    <t>1RA018499</t>
  </si>
  <si>
    <t>1RA019027</t>
  </si>
  <si>
    <t>1RA019766</t>
  </si>
  <si>
    <t>1RA011652</t>
  </si>
  <si>
    <t>1RA010951</t>
  </si>
  <si>
    <t>1RA010957</t>
  </si>
  <si>
    <t>1RA017769</t>
  </si>
  <si>
    <t>1RA010736</t>
  </si>
  <si>
    <t>1RA010569</t>
  </si>
  <si>
    <t>1RA018538</t>
  </si>
  <si>
    <t>1RA012603</t>
  </si>
  <si>
    <t>1RA014733</t>
  </si>
  <si>
    <t>1RA010415</t>
  </si>
  <si>
    <t>1RA011014</t>
  </si>
  <si>
    <t>1RA019028</t>
  </si>
  <si>
    <t>1RA017845</t>
  </si>
  <si>
    <t>1RA010854</t>
  </si>
  <si>
    <t>1RA010954</t>
  </si>
  <si>
    <t>1RA010552</t>
  </si>
  <si>
    <t>1RA010570</t>
  </si>
  <si>
    <t>1RA013853</t>
  </si>
  <si>
    <t>1RA014734</t>
  </si>
  <si>
    <t>1RA019733</t>
  </si>
  <si>
    <t>1RA015340</t>
  </si>
  <si>
    <t>1RA010855</t>
  </si>
  <si>
    <t>1RA011814</t>
  </si>
  <si>
    <t>1RA010730</t>
  </si>
  <si>
    <t>1RA010553</t>
  </si>
  <si>
    <t>1RA019172</t>
  </si>
  <si>
    <t>1RA012763</t>
  </si>
  <si>
    <t>1RA010549</t>
  </si>
  <si>
    <t>1RA013896</t>
  </si>
  <si>
    <t>1RA018533</t>
  </si>
  <si>
    <t>1RA018492</t>
  </si>
  <si>
    <t>1RA013849</t>
  </si>
  <si>
    <t>1RA012764</t>
  </si>
  <si>
    <t>1RA018534</t>
  </si>
  <si>
    <t>1RA012598</t>
  </si>
  <si>
    <t>1RA019203</t>
  </si>
  <si>
    <t>1RA018493</t>
  </si>
  <si>
    <t>1RA013850</t>
  </si>
  <si>
    <t>1RA012765</t>
  </si>
  <si>
    <t>1RA018494</t>
  </si>
  <si>
    <t>1RA012766</t>
  </si>
  <si>
    <t>1RA013897</t>
  </si>
  <si>
    <t>1RA071243</t>
  </si>
  <si>
    <t>1RA010550</t>
  </si>
  <si>
    <t>1RA014140</t>
  </si>
  <si>
    <t>1RA018535</t>
  </si>
  <si>
    <t>1RA103655</t>
  </si>
  <si>
    <t>1RA065334</t>
  </si>
  <si>
    <t>1RA010420</t>
  </si>
  <si>
    <t>1RA065305</t>
  </si>
  <si>
    <t>1RA019173</t>
  </si>
  <si>
    <t>1RA019174</t>
  </si>
  <si>
    <t>1RA014141</t>
  </si>
  <si>
    <t>1RA010421</t>
  </si>
  <si>
    <t/>
  </si>
  <si>
    <t>1</t>
  </si>
  <si>
    <t>C524B</t>
  </si>
  <si>
    <t>040101</t>
  </si>
  <si>
    <t>040131</t>
  </si>
  <si>
    <t>2</t>
  </si>
  <si>
    <t>H500051</t>
  </si>
  <si>
    <t>I1</t>
  </si>
  <si>
    <t>CL02319</t>
  </si>
  <si>
    <t>H3</t>
  </si>
  <si>
    <t>24010KN103</t>
  </si>
  <si>
    <t xml:space="preserve">PC </t>
  </si>
  <si>
    <t>Y</t>
  </si>
  <si>
    <t>A</t>
  </si>
  <si>
    <t>CL02786</t>
  </si>
  <si>
    <t>2590AKN300</t>
  </si>
  <si>
    <t>CL02477</t>
  </si>
  <si>
    <t>28216SA206</t>
  </si>
  <si>
    <t>H502064</t>
  </si>
  <si>
    <t>DL01965</t>
  </si>
  <si>
    <t>24080SN102</t>
  </si>
  <si>
    <t>CL02885</t>
  </si>
  <si>
    <t>2590ASN300</t>
  </si>
  <si>
    <t>28360SN100</t>
  </si>
  <si>
    <t>H500668</t>
  </si>
  <si>
    <t>AL03351</t>
  </si>
  <si>
    <t>24010KN10C</t>
  </si>
  <si>
    <t>H500669</t>
  </si>
  <si>
    <t>24010KN10D</t>
  </si>
  <si>
    <t>H500670</t>
  </si>
  <si>
    <t>H500671</t>
  </si>
  <si>
    <t>24012KN100</t>
  </si>
  <si>
    <t>24012KN102</t>
  </si>
  <si>
    <t>24012KN103</t>
  </si>
  <si>
    <t>H500672</t>
  </si>
  <si>
    <t>24012KN105</t>
  </si>
  <si>
    <t>CL02976</t>
  </si>
  <si>
    <t>24012KN108</t>
  </si>
  <si>
    <t>24012KN109</t>
  </si>
  <si>
    <t>H500673</t>
  </si>
  <si>
    <t>CL02564</t>
  </si>
  <si>
    <t>24012SN261</t>
  </si>
  <si>
    <t>24012SN262</t>
  </si>
  <si>
    <t>24012SN263</t>
  </si>
  <si>
    <t>24012SN264</t>
  </si>
  <si>
    <t>24012SN266</t>
  </si>
  <si>
    <t>24080SN100</t>
  </si>
  <si>
    <t>H500674</t>
  </si>
  <si>
    <t>H500675</t>
  </si>
  <si>
    <t>CL02648</t>
  </si>
  <si>
    <t>2590AMA200</t>
  </si>
  <si>
    <t>AL03378</t>
  </si>
  <si>
    <t>2590AMA230</t>
  </si>
  <si>
    <t>2590ASA230</t>
  </si>
  <si>
    <t>AL02884</t>
  </si>
  <si>
    <t>28216MA105</t>
  </si>
  <si>
    <t>28216MA113</t>
  </si>
  <si>
    <t>BL02884</t>
  </si>
  <si>
    <t>28216MA123</t>
  </si>
  <si>
    <t>28216MA313</t>
  </si>
  <si>
    <t>CL02594</t>
  </si>
  <si>
    <t>28216SA123</t>
  </si>
  <si>
    <t>28216SA124</t>
  </si>
  <si>
    <t>BL03131</t>
  </si>
  <si>
    <t>28216SN304</t>
  </si>
  <si>
    <t>28216SN306</t>
  </si>
  <si>
    <t>H500676</t>
  </si>
  <si>
    <t>H500678</t>
  </si>
  <si>
    <t xml:space="preserve"> </t>
  </si>
  <si>
    <t>E001285</t>
  </si>
  <si>
    <t>E001286</t>
  </si>
  <si>
    <t>24010KN104</t>
  </si>
  <si>
    <t>H502409</t>
  </si>
  <si>
    <t>H502410</t>
  </si>
  <si>
    <t>AL03132</t>
  </si>
  <si>
    <t>24012KN572</t>
  </si>
  <si>
    <t>24012KN573</t>
  </si>
  <si>
    <t>H502411</t>
  </si>
  <si>
    <t>24080SN105</t>
  </si>
  <si>
    <t>28216KN316</t>
  </si>
  <si>
    <t>H502412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</si>
  <si>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</si>
  <si>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</si>
  <si>
    <t>CPM (三義)</t>
    <phoneticPr fontId="3" type="noConversion"/>
  </si>
  <si>
    <t>No CPM (湖口)</t>
    <phoneticPr fontId="3" type="noConversion"/>
  </si>
  <si>
    <t>) a left join (select cu_no, od_serno, od_no, mu_qty, mu_price, el_no, el_ver, cr_code, cu_elnoold, cu_po_no1 from ieod01d1 (nolock)) b on a.shipno=b.cu_po_no1 and a.richan=b.cu_elnoold left join ieod01h c (nolock) on b.od_serno=c.od_serno order by a.item</t>
    <phoneticPr fontId="3" type="noConversion"/>
  </si>
  <si>
    <t>EA</t>
  </si>
  <si>
    <t xml:space="preserve"> 4</t>
  </si>
  <si>
    <t xml:space="preserve">NT </t>
  </si>
  <si>
    <t>20150112</t>
  </si>
  <si>
    <t>20150121</t>
  </si>
  <si>
    <t>20150119</t>
  </si>
  <si>
    <t>20150127</t>
  </si>
  <si>
    <t>20150108</t>
  </si>
  <si>
    <t>24010-KN10D</t>
  </si>
  <si>
    <t>24010-KN101</t>
  </si>
  <si>
    <t>24010-KN106</t>
  </si>
  <si>
    <t>24010-KN117</t>
  </si>
  <si>
    <t>24010-KN576</t>
  </si>
  <si>
    <t>24010-KN574</t>
  </si>
  <si>
    <t>2804A-KN102</t>
  </si>
  <si>
    <t>2804A-KN103</t>
  </si>
  <si>
    <t>28216-KN211</t>
  </si>
  <si>
    <t>28216-KN214</t>
  </si>
  <si>
    <t>28216-KN215</t>
  </si>
  <si>
    <t>28216-KN224</t>
  </si>
  <si>
    <t>24010-SN261</t>
  </si>
  <si>
    <t>24010-SN262</t>
  </si>
  <si>
    <t>24010-SN263</t>
  </si>
  <si>
    <t>24010-SN264</t>
  </si>
  <si>
    <t>24010-SN266</t>
  </si>
  <si>
    <t>24010-SN26F</t>
  </si>
  <si>
    <t>2804A-SN101</t>
  </si>
  <si>
    <t>2804A-SN102</t>
  </si>
  <si>
    <t>2804A-SN104</t>
  </si>
  <si>
    <t>2804A-SN103</t>
  </si>
  <si>
    <t>28216-SN206</t>
  </si>
  <si>
    <t>28216-SN211</t>
  </si>
  <si>
    <t>28216-SN305</t>
  </si>
  <si>
    <t>0A712_樂榮工業.txt</t>
    <phoneticPr fontId="3" type="noConversion"/>
  </si>
  <si>
    <t>KKN-28216-1480</t>
  </si>
  <si>
    <t>1RA330622</t>
  </si>
  <si>
    <t>FD156112</t>
  </si>
  <si>
    <t>KKN-28216-2480</t>
  </si>
  <si>
    <t>1RA323886</t>
  </si>
  <si>
    <t>FD154917</t>
  </si>
  <si>
    <t>20150105</t>
  </si>
  <si>
    <t>KKN-28216-7480</t>
  </si>
  <si>
    <t>1RA337684</t>
  </si>
  <si>
    <t>FD157701</t>
  </si>
  <si>
    <t>KKN-28216-A480</t>
  </si>
  <si>
    <t>1RA338625</t>
  </si>
  <si>
    <t>FD157861</t>
  </si>
  <si>
    <t>KMA-25327-148B</t>
  </si>
  <si>
    <t>1RA323887</t>
  </si>
  <si>
    <t>1RA330976</t>
  </si>
  <si>
    <t>FD156138</t>
  </si>
  <si>
    <t>KMA-28216-0480</t>
  </si>
  <si>
    <t>1RA323888</t>
  </si>
  <si>
    <t>1RA330977</t>
  </si>
  <si>
    <t>KMA-28216-148B</t>
  </si>
  <si>
    <t>1RA335491</t>
  </si>
  <si>
    <t>FD157245</t>
  </si>
  <si>
    <t>KSA-25327-0480</t>
  </si>
  <si>
    <t>1RA333602</t>
  </si>
  <si>
    <t>FD156648</t>
  </si>
  <si>
    <t>1RA331655</t>
  </si>
  <si>
    <t>FD156313</t>
  </si>
  <si>
    <t>KSA-28216-248B</t>
  </si>
  <si>
    <t>1RA330978</t>
  </si>
  <si>
    <t>KSA-28216-3480</t>
  </si>
  <si>
    <t>1RA323889</t>
  </si>
  <si>
    <t>1RA330979</t>
  </si>
  <si>
    <t>KSN-28216-048A</t>
  </si>
  <si>
    <t>1RA330621</t>
  </si>
  <si>
    <t>28216-KN216</t>
    <phoneticPr fontId="3" type="noConversion"/>
  </si>
  <si>
    <t>28216-KN203</t>
    <phoneticPr fontId="3" type="noConversion"/>
  </si>
  <si>
    <t>28216-KN316</t>
    <phoneticPr fontId="3" type="noConversion"/>
  </si>
  <si>
    <t>28216-KN318</t>
    <phoneticPr fontId="3" type="noConversion"/>
  </si>
  <si>
    <t>25327-MA121</t>
    <phoneticPr fontId="3" type="noConversion"/>
  </si>
  <si>
    <t>28216-MA100</t>
    <phoneticPr fontId="3" type="noConversion"/>
  </si>
  <si>
    <t>28216-MA312</t>
    <phoneticPr fontId="3" type="noConversion"/>
  </si>
  <si>
    <t>25327-SA300</t>
    <phoneticPr fontId="3" type="noConversion"/>
  </si>
  <si>
    <t xml:space="preserve">28216-SA122 </t>
    <phoneticPr fontId="3" type="noConversion"/>
  </si>
  <si>
    <t>28216-SA206</t>
    <phoneticPr fontId="3" type="noConversion"/>
  </si>
  <si>
    <t>28216-SN204</t>
    <phoneticPr fontId="3" type="noConversion"/>
  </si>
  <si>
    <t>FD156112</t>
    <phoneticPr fontId="3" type="noConversion"/>
  </si>
  <si>
    <t>FD154917</t>
    <phoneticPr fontId="3" type="noConversion"/>
  </si>
  <si>
    <t>FD157701</t>
    <phoneticPr fontId="3" type="noConversion"/>
  </si>
  <si>
    <t>FD157861</t>
    <phoneticPr fontId="3" type="noConversion"/>
  </si>
  <si>
    <t>FD156138</t>
    <phoneticPr fontId="3" type="noConversion"/>
  </si>
  <si>
    <t>FD154917</t>
    <phoneticPr fontId="3" type="noConversion"/>
  </si>
  <si>
    <t>FD157245</t>
    <phoneticPr fontId="3" type="noConversion"/>
  </si>
  <si>
    <t>FD156648</t>
    <phoneticPr fontId="3" type="noConversion"/>
  </si>
  <si>
    <t>FD156313</t>
    <phoneticPr fontId="3" type="noConversion"/>
  </si>
  <si>
    <t>FD156112</t>
    <phoneticPr fontId="3" type="noConversion"/>
  </si>
  <si>
    <t>28216-KN216</t>
  </si>
  <si>
    <t>A554F</t>
  </si>
  <si>
    <t>S15B0945</t>
  </si>
  <si>
    <t>L93097</t>
  </si>
  <si>
    <t>28216-KN203</t>
  </si>
  <si>
    <t>S15A0094</t>
  </si>
  <si>
    <t>L78078</t>
  </si>
  <si>
    <t>PVAAO000000Z115BA554</t>
  </si>
  <si>
    <t>A2</t>
  </si>
  <si>
    <t>28216-KN316</t>
  </si>
  <si>
    <t>S14L0426</t>
  </si>
  <si>
    <t>L67482</t>
  </si>
  <si>
    <t>PCABLU04000Z104BA554</t>
  </si>
  <si>
    <t>A1</t>
  </si>
  <si>
    <t>28216-KN318</t>
  </si>
  <si>
    <t>S15B0948</t>
  </si>
  <si>
    <t>L93106</t>
  </si>
  <si>
    <t>PCABLU04800Z101BA554</t>
  </si>
  <si>
    <t>25327-MA121</t>
  </si>
  <si>
    <t>S14L1797</t>
  </si>
  <si>
    <t>L72308</t>
  </si>
  <si>
    <t>PCNAE000000Z10TBA554</t>
  </si>
  <si>
    <t>L78077</t>
  </si>
  <si>
    <t>S15B0946</t>
  </si>
  <si>
    <t>L93098</t>
  </si>
  <si>
    <t>28216-MA100</t>
  </si>
  <si>
    <t>L78079</t>
  </si>
  <si>
    <t>PVAAN000000ZG02BA554</t>
  </si>
  <si>
    <t>A5</t>
  </si>
  <si>
    <t>L93099</t>
  </si>
  <si>
    <t>28216-MA312</t>
  </si>
  <si>
    <t>S15B0947</t>
  </si>
  <si>
    <t>L93104</t>
  </si>
  <si>
    <t>25327-SA300</t>
  </si>
  <si>
    <t>L67483</t>
  </si>
  <si>
    <t>PVAAQ000000Z108BA554</t>
  </si>
  <si>
    <t>A0</t>
  </si>
  <si>
    <t>L93102</t>
  </si>
  <si>
    <t xml:space="preserve">28216-SA122 </t>
  </si>
  <si>
    <t>L93100</t>
  </si>
  <si>
    <t>PWHA72S4900A003BA554</t>
  </si>
  <si>
    <t>28216-SA122</t>
  </si>
  <si>
    <t>28216-SA206</t>
  </si>
  <si>
    <t>L72312</t>
  </si>
  <si>
    <t>PVAAQ000000Z105BA554</t>
  </si>
  <si>
    <t>L78080</t>
  </si>
  <si>
    <t>L93101</t>
  </si>
  <si>
    <t>28216-SN204</t>
  </si>
  <si>
    <t>S15A0095</t>
  </si>
  <si>
    <t>L78081</t>
  </si>
  <si>
    <t>PVAAO000000Z113BA554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</si>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</sst>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11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2"/>
      <color rgb="FFFF0000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5" borderId="0" xfId="0" applyFill="1"/>
    <xf numFmtId="49" fontId="9" fillId="0" borderId="0" xfId="0" applyNumberFormat="1" applyFont="1"/>
    <xf numFmtId="0" fontId="4" fillId="0" borderId="0" xfId="0" applyFont="1" applyAlignment="1">
      <alignment horizontal="center"/>
    </xf>
    <xf numFmtId="0" fontId="10" fillId="0" borderId="0" xfId="0" applyFont="1"/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center"/>
    </xf>
    <xf numFmtId="49" fontId="0" fillId="0" borderId="3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77" fontId="0" fillId="0" borderId="1" xfId="0" applyNumberFormat="1" applyFill="1" applyBorder="1" applyAlignment="1">
      <alignment horizontal="center"/>
    </xf>
    <xf numFmtId="177" fontId="0" fillId="0" borderId="0" xfId="0" applyNumberFormat="1"/>
    <xf numFmtId="177" fontId="0" fillId="0" borderId="0" xfId="0" applyNumberFormat="1" applyFont="1"/>
    <xf numFmtId="177" fontId="0" fillId="0" borderId="0" xfId="0" applyNumberFormat="1" applyFill="1" applyBorder="1" applyAlignment="1">
      <alignment horizontal="center"/>
    </xf>
    <xf numFmtId="177" fontId="4" fillId="6" borderId="0" xfId="0" applyNumberFormat="1" applyFont="1" applyFill="1"/>
    <xf numFmtId="0" fontId="0" fillId="2" borderId="0" xfId="0" applyFill="1" applyAlignment="1">
      <alignment horizontal="center"/>
    </xf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9525</xdr:rowOff>
        </xdr:from>
        <xdr:to>
          <xdr:col>14</xdr:col>
          <xdr:colOff>180975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9525</xdr:rowOff>
        </xdr:from>
        <xdr:to>
          <xdr:col>15</xdr:col>
          <xdr:colOff>314325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17</xdr:col>
          <xdr:colOff>247650</xdr:colOff>
          <xdr:row>0</xdr:row>
          <xdr:rowOff>266700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0</xdr:row>
          <xdr:rowOff>0</xdr:rowOff>
        </xdr:from>
        <xdr:to>
          <xdr:col>18</xdr:col>
          <xdr:colOff>285750</xdr:colOff>
          <xdr:row>0</xdr:row>
          <xdr:rowOff>266700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00B0F0"/>
    <pageSetUpPr fitToPage="1"/>
  </sheetPr>
  <dimension ref="A1:M33"/>
  <sheetViews>
    <sheetView workbookViewId="0">
      <selection activeCell="L10" sqref="L10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96</v>
      </c>
      <c r="I1" s="12" t="s">
        <v>97</v>
      </c>
    </row>
    <row r="2" spans="1:13" x14ac:dyDescent="0.25">
      <c r="A2" s="1" t="s">
        <v>5</v>
      </c>
      <c r="B2" s="1" t="s">
        <v>67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68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69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70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67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71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72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73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74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75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76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95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78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79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80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81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82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84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83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91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92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85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87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88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67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89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93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94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90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77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86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G33"/>
  <sheetViews>
    <sheetView workbookViewId="0">
      <selection activeCell="I12" sqref="I12"/>
    </sheetView>
  </sheetViews>
  <sheetFormatPr defaultRowHeight="16.5" x14ac:dyDescent="0.25"/>
  <cols>
    <col min="1" max="1" width="9.5" customWidth="1"/>
    <col min="5" max="5" width="9" style="3"/>
    <col min="6" max="6" width="7.125" style="3" customWidth="1"/>
    <col min="7" max="7" width="45.5" customWidth="1"/>
  </cols>
  <sheetData>
    <row r="1" spans="1:7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  <c r="F1" s="3" t="s">
        <v>96</v>
      </c>
    </row>
    <row r="2" spans="1:7" x14ac:dyDescent="0.25">
      <c r="A2" t="s">
        <v>119</v>
      </c>
      <c r="B2">
        <v>1</v>
      </c>
      <c r="C2">
        <v>3</v>
      </c>
      <c r="D2">
        <f>C2-B2+1</f>
        <v>3</v>
      </c>
      <c r="F2" s="12">
        <v>1</v>
      </c>
      <c r="G2" t="str">
        <f>"Cells(gBaseLines + intS1, " &amp; F2 &amp; ") = " &amp; "Mid(InputStr, " &amp; B2 &amp; ", " &amp;D2 &amp; ")"</f>
        <v>Cells(gBaseLines + intS1, 1) = Mid(InputStr, 1, 3)</v>
      </c>
    </row>
    <row r="3" spans="1:7" x14ac:dyDescent="0.25">
      <c r="A3" t="s">
        <v>120</v>
      </c>
      <c r="B3">
        <v>5</v>
      </c>
      <c r="C3">
        <v>20</v>
      </c>
      <c r="D3">
        <f t="shared" ref="D3:D13" si="0">C3-B3+1</f>
        <v>16</v>
      </c>
      <c r="F3" s="12">
        <v>2</v>
      </c>
      <c r="G3" t="str">
        <f t="shared" ref="G3:G13" si="1">"Cells(gBaseLines + intS1, " &amp; F3 &amp; ") = " &amp; "Mid(InputStr, " &amp; B3 &amp; ", " &amp;D3 &amp; ")"</f>
        <v>Cells(gBaseLines + intS1, 2) = Mid(InputStr, 5, 16)</v>
      </c>
    </row>
    <row r="4" spans="1:7" x14ac:dyDescent="0.25">
      <c r="A4" t="s">
        <v>121</v>
      </c>
      <c r="B4">
        <v>21</v>
      </c>
      <c r="C4">
        <v>22</v>
      </c>
      <c r="D4">
        <f t="shared" si="0"/>
        <v>2</v>
      </c>
      <c r="F4" s="12">
        <v>3</v>
      </c>
      <c r="G4" t="str">
        <f t="shared" si="1"/>
        <v>Cells(gBaseLines + intS1, 3) = Mid(InputStr, 21, 2)</v>
      </c>
    </row>
    <row r="5" spans="1:7" x14ac:dyDescent="0.25">
      <c r="A5" t="s">
        <v>122</v>
      </c>
      <c r="B5">
        <v>24</v>
      </c>
      <c r="C5">
        <v>25</v>
      </c>
      <c r="D5">
        <f t="shared" si="0"/>
        <v>2</v>
      </c>
      <c r="F5" s="12">
        <v>4</v>
      </c>
      <c r="G5" t="str">
        <f t="shared" si="1"/>
        <v>Cells(gBaseLines + intS1, 4) = Mid(InputStr, 24, 2)</v>
      </c>
    </row>
    <row r="6" spans="1:7" x14ac:dyDescent="0.25">
      <c r="A6" t="s">
        <v>128</v>
      </c>
      <c r="B6">
        <v>27</v>
      </c>
      <c r="C6">
        <v>35</v>
      </c>
      <c r="D6">
        <f t="shared" si="0"/>
        <v>9</v>
      </c>
      <c r="F6" s="12">
        <v>5</v>
      </c>
      <c r="G6" t="str">
        <f t="shared" si="1"/>
        <v>Cells(gBaseLines + intS1, 5) = Mid(InputStr, 27, 9)</v>
      </c>
    </row>
    <row r="7" spans="1:7" x14ac:dyDescent="0.25">
      <c r="A7" t="s">
        <v>127</v>
      </c>
      <c r="B7">
        <v>37</v>
      </c>
      <c r="C7">
        <v>44</v>
      </c>
      <c r="D7">
        <f t="shared" si="0"/>
        <v>8</v>
      </c>
      <c r="F7" s="12">
        <v>6</v>
      </c>
      <c r="G7" t="str">
        <f t="shared" si="1"/>
        <v>Cells(gBaseLines + intS1, 6) = Mid(InputStr, 37, 8)</v>
      </c>
    </row>
    <row r="8" spans="1:7" x14ac:dyDescent="0.25">
      <c r="A8" t="s">
        <v>126</v>
      </c>
      <c r="B8">
        <v>46</v>
      </c>
      <c r="C8">
        <v>53</v>
      </c>
      <c r="D8">
        <f t="shared" si="0"/>
        <v>8</v>
      </c>
      <c r="F8" s="12">
        <v>7</v>
      </c>
      <c r="G8" t="str">
        <f t="shared" si="1"/>
        <v>Cells(gBaseLines + intS1, 7) = Mid(InputStr, 46, 8)</v>
      </c>
    </row>
    <row r="9" spans="1:7" x14ac:dyDescent="0.25">
      <c r="A9" t="s">
        <v>123</v>
      </c>
      <c r="B9">
        <v>55</v>
      </c>
      <c r="C9">
        <v>65</v>
      </c>
      <c r="D9">
        <f t="shared" si="0"/>
        <v>11</v>
      </c>
      <c r="F9" s="12">
        <v>8</v>
      </c>
      <c r="G9" t="str">
        <f t="shared" si="1"/>
        <v>Cells(gBaseLines + intS1, 8) = Mid(InputStr, 55, 11)</v>
      </c>
    </row>
    <row r="10" spans="1:7" x14ac:dyDescent="0.25">
      <c r="A10" t="s">
        <v>125</v>
      </c>
      <c r="B10">
        <v>67</v>
      </c>
      <c r="C10">
        <v>69</v>
      </c>
      <c r="D10">
        <f t="shared" si="0"/>
        <v>3</v>
      </c>
      <c r="F10" s="12">
        <v>9</v>
      </c>
      <c r="G10" t="str">
        <f t="shared" si="1"/>
        <v>Cells(gBaseLines + intS1, 9) = Mid(InputStr, 67, 3)</v>
      </c>
    </row>
    <row r="11" spans="1:7" x14ac:dyDescent="0.25">
      <c r="A11" t="s">
        <v>104</v>
      </c>
      <c r="B11">
        <v>71</v>
      </c>
      <c r="C11">
        <v>80</v>
      </c>
      <c r="D11">
        <f t="shared" si="0"/>
        <v>10</v>
      </c>
      <c r="F11" s="12">
        <v>10</v>
      </c>
      <c r="G11" t="str">
        <f t="shared" si="1"/>
        <v>Cells(gBaseLines + intS1, 10) = Mid(InputStr, 71, 10)</v>
      </c>
    </row>
    <row r="12" spans="1:7" x14ac:dyDescent="0.25">
      <c r="A12" t="s">
        <v>124</v>
      </c>
      <c r="B12">
        <v>83</v>
      </c>
      <c r="C12">
        <v>90</v>
      </c>
      <c r="D12">
        <f t="shared" si="0"/>
        <v>8</v>
      </c>
      <c r="F12" s="12">
        <v>11</v>
      </c>
      <c r="G12" t="str">
        <f t="shared" si="1"/>
        <v>Cells(gBaseLines + intS1, 11) = Mid(InputStr, 83, 8)</v>
      </c>
    </row>
    <row r="13" spans="1:7" x14ac:dyDescent="0.25">
      <c r="A13" t="s">
        <v>129</v>
      </c>
      <c r="B13">
        <v>5</v>
      </c>
      <c r="C13">
        <v>20</v>
      </c>
      <c r="D13">
        <f t="shared" si="0"/>
        <v>16</v>
      </c>
      <c r="F13" s="12">
        <v>12</v>
      </c>
      <c r="G13" t="str">
        <f t="shared" si="1"/>
        <v>Cells(gBaseLines + intS1, 12) = Mid(InputStr, 5, 16)</v>
      </c>
    </row>
    <row r="14" spans="1:7" x14ac:dyDescent="0.25">
      <c r="F14" s="12"/>
    </row>
    <row r="15" spans="1:7" x14ac:dyDescent="0.25">
      <c r="F15" s="12"/>
    </row>
    <row r="16" spans="1:7" x14ac:dyDescent="0.25">
      <c r="F16" s="12"/>
    </row>
    <row r="17" spans="6:6" x14ac:dyDescent="0.25">
      <c r="F17" s="12"/>
    </row>
    <row r="18" spans="6:6" x14ac:dyDescent="0.25">
      <c r="F18" s="12"/>
    </row>
    <row r="19" spans="6:6" x14ac:dyDescent="0.25">
      <c r="F19" s="12"/>
    </row>
    <row r="20" spans="6:6" x14ac:dyDescent="0.25">
      <c r="F20" s="12"/>
    </row>
    <row r="21" spans="6:6" x14ac:dyDescent="0.25">
      <c r="F21" s="12"/>
    </row>
    <row r="22" spans="6:6" x14ac:dyDescent="0.25">
      <c r="F22" s="12"/>
    </row>
    <row r="23" spans="6:6" x14ac:dyDescent="0.25">
      <c r="F23" s="12"/>
    </row>
    <row r="24" spans="6:6" x14ac:dyDescent="0.25">
      <c r="F24" s="12"/>
    </row>
    <row r="25" spans="6:6" x14ac:dyDescent="0.25">
      <c r="F25" s="12"/>
    </row>
    <row r="26" spans="6:6" x14ac:dyDescent="0.25">
      <c r="F26" s="12"/>
    </row>
    <row r="27" spans="6:6" x14ac:dyDescent="0.25">
      <c r="F27" s="12"/>
    </row>
    <row r="28" spans="6:6" x14ac:dyDescent="0.25">
      <c r="F28" s="12"/>
    </row>
    <row r="29" spans="6:6" x14ac:dyDescent="0.25">
      <c r="F29" s="12"/>
    </row>
    <row r="30" spans="6:6" x14ac:dyDescent="0.25">
      <c r="F30" s="12"/>
    </row>
    <row r="32" spans="6:6" x14ac:dyDescent="0.25">
      <c r="F32" s="12">
        <v>13</v>
      </c>
    </row>
    <row r="33" spans="6:6" x14ac:dyDescent="0.25">
      <c r="F33" s="12">
        <v>24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3"/>
  <sheetViews>
    <sheetView workbookViewId="0">
      <selection activeCell="H11" sqref="H11"/>
    </sheetView>
  </sheetViews>
  <sheetFormatPr defaultRowHeight="16.5" x14ac:dyDescent="0.25"/>
  <cols>
    <col min="1" max="1" width="9.5" customWidth="1"/>
    <col min="5" max="5" width="9" style="3"/>
  </cols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</row>
    <row r="2" spans="1:5" x14ac:dyDescent="0.25">
      <c r="A2" t="s">
        <v>119</v>
      </c>
      <c r="B2">
        <v>1</v>
      </c>
      <c r="C2">
        <v>3</v>
      </c>
      <c r="D2">
        <f>C2-B2+1</f>
        <v>3</v>
      </c>
    </row>
    <row r="3" spans="1:5" x14ac:dyDescent="0.25">
      <c r="A3" t="s">
        <v>120</v>
      </c>
      <c r="B3">
        <v>5</v>
      </c>
      <c r="C3">
        <v>20</v>
      </c>
      <c r="D3">
        <f t="shared" ref="D3:D13" si="0">C3-B3+1</f>
        <v>16</v>
      </c>
    </row>
    <row r="4" spans="1:5" x14ac:dyDescent="0.25">
      <c r="A4" t="s">
        <v>121</v>
      </c>
      <c r="B4">
        <v>21</v>
      </c>
      <c r="C4">
        <v>22</v>
      </c>
      <c r="D4">
        <f t="shared" si="0"/>
        <v>2</v>
      </c>
    </row>
    <row r="5" spans="1:5" x14ac:dyDescent="0.25">
      <c r="A5" t="s">
        <v>122</v>
      </c>
      <c r="B5">
        <v>24</v>
      </c>
      <c r="C5">
        <v>25</v>
      </c>
      <c r="D5">
        <f t="shared" si="0"/>
        <v>2</v>
      </c>
    </row>
    <row r="6" spans="1:5" x14ac:dyDescent="0.25">
      <c r="A6" t="s">
        <v>128</v>
      </c>
      <c r="B6">
        <v>27</v>
      </c>
      <c r="C6">
        <v>35</v>
      </c>
      <c r="D6">
        <f t="shared" si="0"/>
        <v>9</v>
      </c>
    </row>
    <row r="7" spans="1:5" x14ac:dyDescent="0.25">
      <c r="A7" t="s">
        <v>127</v>
      </c>
      <c r="B7">
        <v>37</v>
      </c>
      <c r="C7">
        <v>44</v>
      </c>
      <c r="D7">
        <f t="shared" si="0"/>
        <v>8</v>
      </c>
    </row>
    <row r="8" spans="1:5" x14ac:dyDescent="0.25">
      <c r="A8" t="s">
        <v>126</v>
      </c>
      <c r="B8">
        <v>46</v>
      </c>
      <c r="C8">
        <v>53</v>
      </c>
      <c r="D8">
        <f t="shared" si="0"/>
        <v>8</v>
      </c>
    </row>
    <row r="9" spans="1:5" x14ac:dyDescent="0.25">
      <c r="A9" t="s">
        <v>123</v>
      </c>
      <c r="B9">
        <v>55</v>
      </c>
      <c r="C9">
        <v>65</v>
      </c>
      <c r="D9">
        <f t="shared" si="0"/>
        <v>11</v>
      </c>
    </row>
    <row r="10" spans="1:5" x14ac:dyDescent="0.25">
      <c r="A10" t="s">
        <v>125</v>
      </c>
      <c r="B10">
        <v>67</v>
      </c>
      <c r="C10">
        <v>69</v>
      </c>
      <c r="D10">
        <f t="shared" si="0"/>
        <v>3</v>
      </c>
    </row>
    <row r="11" spans="1:5" x14ac:dyDescent="0.25">
      <c r="A11" t="s">
        <v>104</v>
      </c>
      <c r="B11">
        <v>71</v>
      </c>
      <c r="C11" s="42">
        <v>81</v>
      </c>
      <c r="D11">
        <f t="shared" si="0"/>
        <v>11</v>
      </c>
    </row>
    <row r="12" spans="1:5" x14ac:dyDescent="0.25">
      <c r="A12" t="s">
        <v>124</v>
      </c>
      <c r="B12">
        <v>83</v>
      </c>
      <c r="C12" s="42">
        <v>91</v>
      </c>
      <c r="D12">
        <f t="shared" si="0"/>
        <v>9</v>
      </c>
    </row>
    <row r="13" spans="1:5" x14ac:dyDescent="0.25">
      <c r="A13" t="s">
        <v>129</v>
      </c>
      <c r="B13">
        <v>5</v>
      </c>
      <c r="C13">
        <v>20</v>
      </c>
      <c r="D13">
        <f t="shared" si="0"/>
        <v>16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8"/>
  </sheetPr>
  <dimension ref="A1:AP511"/>
  <sheetViews>
    <sheetView workbookViewId="0">
      <pane ySplit="3" topLeftCell="A4" activePane="bottomLeft" state="frozen"/>
      <selection pane="bottomLeft" activeCell="AD3" sqref="AD3:AO3"/>
    </sheetView>
  </sheetViews>
  <sheetFormatPr defaultRowHeight="16.5" x14ac:dyDescent="0.25"/>
  <cols>
    <col min="1" max="1" width="4.625" style="24" customWidth="1"/>
    <col min="2" max="2" width="8.375" style="24" customWidth="1"/>
    <col min="3" max="3" width="7.625" style="24" customWidth="1"/>
    <col min="4" max="4" width="7.125" style="24" customWidth="1"/>
    <col min="5" max="5" width="4.125" style="24" customWidth="1"/>
    <col min="6" max="6" width="8.625" style="24" customWidth="1"/>
    <col min="7" max="7" width="4" customWidth="1"/>
    <col min="8" max="8" width="3.625" customWidth="1"/>
    <col min="9" max="9" width="8.75" style="22" customWidth="1"/>
    <col min="10" max="10" width="12.625" style="22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9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2" width="10.25" style="24" customWidth="1"/>
    <col min="33" max="34" width="9" style="24"/>
    <col min="36" max="36" width="10.5" style="29" bestFit="1" customWidth="1"/>
    <col min="37" max="37" width="9" style="24"/>
    <col min="38" max="38" width="6.5" style="24" customWidth="1"/>
    <col min="39" max="39" width="7.375" style="24" customWidth="1"/>
    <col min="40" max="40" width="13.5" style="24" customWidth="1"/>
    <col min="41" max="41" width="11.375" style="24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3" t="s">
        <v>65</v>
      </c>
      <c r="B1" s="23"/>
      <c r="C1" s="55" t="s">
        <v>130</v>
      </c>
      <c r="D1" s="55"/>
      <c r="E1" s="55"/>
      <c r="F1" s="55"/>
      <c r="H1" s="9" t="s">
        <v>66</v>
      </c>
      <c r="I1" s="20"/>
      <c r="J1" s="56" t="s">
        <v>111</v>
      </c>
      <c r="K1" s="56"/>
      <c r="L1" s="56"/>
      <c r="M1" s="56"/>
      <c r="N1" s="56"/>
      <c r="O1" s="56"/>
      <c r="Q1" s="27"/>
      <c r="AE1" s="23"/>
      <c r="AF1" s="23"/>
      <c r="AG1" s="23"/>
      <c r="AH1" s="23"/>
      <c r="AJ1" s="27"/>
      <c r="AK1" s="23"/>
      <c r="AL1" s="23"/>
      <c r="AM1" s="23"/>
      <c r="AN1" s="23"/>
      <c r="AO1" s="23"/>
      <c r="AP1" s="8"/>
    </row>
    <row r="2" spans="1:42" s="12" customFormat="1" x14ac:dyDescent="0.25">
      <c r="A2" s="33">
        <v>1</v>
      </c>
      <c r="B2" s="33">
        <v>2</v>
      </c>
      <c r="C2" s="33">
        <v>3</v>
      </c>
      <c r="D2" s="33">
        <v>4</v>
      </c>
      <c r="E2" s="34">
        <v>1</v>
      </c>
      <c r="F2" s="34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30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J2" s="31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5" t="s">
        <v>6</v>
      </c>
      <c r="B3" s="36" t="s">
        <v>8</v>
      </c>
      <c r="C3" s="36" t="s">
        <v>10</v>
      </c>
      <c r="D3" s="36" t="s">
        <v>11</v>
      </c>
      <c r="E3" s="35" t="s">
        <v>13</v>
      </c>
      <c r="F3" s="36" t="s">
        <v>15</v>
      </c>
      <c r="G3" s="8" t="s">
        <v>17</v>
      </c>
      <c r="H3" s="8" t="s">
        <v>19</v>
      </c>
      <c r="I3" s="21" t="s">
        <v>22</v>
      </c>
      <c r="J3" s="21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5" t="s">
        <v>99</v>
      </c>
      <c r="AE3" s="25" t="s">
        <v>45</v>
      </c>
      <c r="AF3" s="26" t="s">
        <v>100</v>
      </c>
      <c r="AG3" s="26" t="s">
        <v>101</v>
      </c>
      <c r="AH3" s="26" t="s">
        <v>102</v>
      </c>
      <c r="AI3" s="25" t="s">
        <v>103</v>
      </c>
      <c r="AJ3" s="32" t="s">
        <v>104</v>
      </c>
      <c r="AK3" s="26" t="s">
        <v>105</v>
      </c>
      <c r="AL3" s="25" t="s">
        <v>106</v>
      </c>
      <c r="AM3" s="25" t="s">
        <v>107</v>
      </c>
      <c r="AN3" s="26" t="s">
        <v>108</v>
      </c>
      <c r="AO3" s="26" t="s">
        <v>109</v>
      </c>
      <c r="AP3" s="8" t="s">
        <v>118</v>
      </c>
    </row>
    <row r="4" spans="1:42" x14ac:dyDescent="0.25">
      <c r="A4" s="24" t="s">
        <v>269</v>
      </c>
      <c r="B4" s="24" t="s">
        <v>270</v>
      </c>
      <c r="C4" s="24" t="s">
        <v>271</v>
      </c>
      <c r="D4" s="24" t="s">
        <v>272</v>
      </c>
      <c r="E4" s="24" t="s">
        <v>273</v>
      </c>
      <c r="F4" s="24" t="s">
        <v>274</v>
      </c>
      <c r="G4">
        <v>1</v>
      </c>
      <c r="H4" t="s">
        <v>275</v>
      </c>
      <c r="I4" s="22" t="s">
        <v>276</v>
      </c>
      <c r="J4" s="22" t="s">
        <v>112</v>
      </c>
      <c r="K4" t="s">
        <v>277</v>
      </c>
      <c r="L4" t="s">
        <v>278</v>
      </c>
      <c r="M4">
        <v>9</v>
      </c>
      <c r="N4">
        <v>3</v>
      </c>
      <c r="O4">
        <v>3</v>
      </c>
      <c r="P4" t="s">
        <v>279</v>
      </c>
      <c r="Q4" s="29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280</v>
      </c>
      <c r="X4" t="s">
        <v>281</v>
      </c>
      <c r="Y4">
        <v>3</v>
      </c>
      <c r="Z4">
        <v>21287</v>
      </c>
      <c r="AA4">
        <v>0</v>
      </c>
      <c r="AB4">
        <v>0</v>
      </c>
      <c r="AC4">
        <v>21287</v>
      </c>
      <c r="AP4" s="41"/>
    </row>
    <row r="5" spans="1:42" x14ac:dyDescent="0.25">
      <c r="E5" s="24" t="s">
        <v>273</v>
      </c>
      <c r="F5" s="24" t="s">
        <v>274</v>
      </c>
      <c r="G5">
        <v>2</v>
      </c>
      <c r="H5" t="s">
        <v>275</v>
      </c>
      <c r="I5" s="22" t="s">
        <v>282</v>
      </c>
      <c r="J5" s="22" t="s">
        <v>113</v>
      </c>
      <c r="K5" t="s">
        <v>277</v>
      </c>
      <c r="L5" t="s">
        <v>283</v>
      </c>
      <c r="M5">
        <v>9</v>
      </c>
      <c r="N5">
        <v>2</v>
      </c>
      <c r="O5">
        <v>2</v>
      </c>
      <c r="P5" t="s">
        <v>279</v>
      </c>
      <c r="Q5" s="29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280</v>
      </c>
      <c r="X5" t="s">
        <v>281</v>
      </c>
      <c r="AP5" s="41"/>
    </row>
    <row r="6" spans="1:42" x14ac:dyDescent="0.25">
      <c r="E6" s="24" t="s">
        <v>273</v>
      </c>
      <c r="F6" s="24" t="s">
        <v>274</v>
      </c>
      <c r="G6">
        <v>3</v>
      </c>
      <c r="H6" t="s">
        <v>275</v>
      </c>
      <c r="I6" s="22" t="s">
        <v>284</v>
      </c>
      <c r="J6" s="22" t="s">
        <v>114</v>
      </c>
      <c r="K6" t="s">
        <v>277</v>
      </c>
      <c r="L6" t="s">
        <v>285</v>
      </c>
      <c r="M6">
        <v>9</v>
      </c>
      <c r="N6">
        <v>20</v>
      </c>
      <c r="O6">
        <v>20</v>
      </c>
      <c r="P6" t="s">
        <v>279</v>
      </c>
      <c r="Q6" s="29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280</v>
      </c>
      <c r="X6" t="s">
        <v>281</v>
      </c>
      <c r="AP6" s="41"/>
    </row>
    <row r="7" spans="1:42" x14ac:dyDescent="0.25">
      <c r="E7" s="24" t="s">
        <v>273</v>
      </c>
      <c r="F7" s="24" t="s">
        <v>286</v>
      </c>
      <c r="G7">
        <v>1</v>
      </c>
      <c r="H7" t="s">
        <v>275</v>
      </c>
      <c r="I7" s="22" t="s">
        <v>287</v>
      </c>
      <c r="J7" s="22" t="s">
        <v>115</v>
      </c>
      <c r="K7" t="s">
        <v>277</v>
      </c>
      <c r="L7" t="s">
        <v>288</v>
      </c>
      <c r="M7">
        <v>9</v>
      </c>
      <c r="N7">
        <v>10</v>
      </c>
      <c r="O7">
        <v>10</v>
      </c>
      <c r="P7" t="s">
        <v>279</v>
      </c>
      <c r="Q7" s="29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280</v>
      </c>
      <c r="X7" t="s">
        <v>281</v>
      </c>
      <c r="Y7">
        <v>3</v>
      </c>
      <c r="Z7">
        <v>6519</v>
      </c>
      <c r="AA7">
        <v>0</v>
      </c>
      <c r="AB7">
        <v>0</v>
      </c>
      <c r="AC7">
        <v>6519</v>
      </c>
      <c r="AP7" s="41"/>
    </row>
    <row r="8" spans="1:42" x14ac:dyDescent="0.25">
      <c r="E8" s="24" t="s">
        <v>273</v>
      </c>
      <c r="F8" s="24" t="s">
        <v>286</v>
      </c>
      <c r="G8">
        <v>2</v>
      </c>
      <c r="H8" t="s">
        <v>275</v>
      </c>
      <c r="I8" s="22" t="s">
        <v>289</v>
      </c>
      <c r="J8" s="22" t="s">
        <v>116</v>
      </c>
      <c r="K8" t="s">
        <v>277</v>
      </c>
      <c r="L8" t="s">
        <v>290</v>
      </c>
      <c r="M8">
        <v>9</v>
      </c>
      <c r="N8">
        <v>2</v>
      </c>
      <c r="O8">
        <v>2</v>
      </c>
      <c r="P8" t="s">
        <v>279</v>
      </c>
      <c r="Q8" s="29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280</v>
      </c>
      <c r="X8" t="s">
        <v>281</v>
      </c>
      <c r="AP8" s="41"/>
    </row>
    <row r="9" spans="1:42" x14ac:dyDescent="0.25">
      <c r="E9" s="24" t="s">
        <v>273</v>
      </c>
      <c r="F9" s="24" t="s">
        <v>286</v>
      </c>
      <c r="G9">
        <v>3</v>
      </c>
      <c r="H9" t="s">
        <v>275</v>
      </c>
      <c r="I9" s="22" t="s">
        <v>287</v>
      </c>
      <c r="J9" s="22" t="s">
        <v>117</v>
      </c>
      <c r="K9" t="s">
        <v>277</v>
      </c>
      <c r="L9" t="s">
        <v>291</v>
      </c>
      <c r="M9">
        <v>9</v>
      </c>
      <c r="N9">
        <v>5</v>
      </c>
      <c r="O9">
        <v>5</v>
      </c>
      <c r="P9" t="s">
        <v>279</v>
      </c>
      <c r="Q9" s="29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280</v>
      </c>
      <c r="X9" t="s">
        <v>281</v>
      </c>
      <c r="AP9" s="41"/>
    </row>
    <row r="10" spans="1:42" x14ac:dyDescent="0.25">
      <c r="A10" s="24" t="s">
        <v>269</v>
      </c>
      <c r="B10" s="24" t="s">
        <v>270</v>
      </c>
      <c r="C10" s="24" t="s">
        <v>271</v>
      </c>
      <c r="D10" s="24" t="s">
        <v>272</v>
      </c>
      <c r="E10" s="24" t="s">
        <v>273</v>
      </c>
      <c r="F10" s="24" t="s">
        <v>292</v>
      </c>
      <c r="G10">
        <v>1</v>
      </c>
      <c r="H10" t="s">
        <v>275</v>
      </c>
      <c r="I10" s="22" t="s">
        <v>293</v>
      </c>
      <c r="J10" s="22">
        <v>1075347501</v>
      </c>
      <c r="K10" t="s">
        <v>277</v>
      </c>
      <c r="L10" t="s">
        <v>294</v>
      </c>
      <c r="M10">
        <v>9</v>
      </c>
      <c r="N10">
        <v>5</v>
      </c>
      <c r="O10">
        <v>5</v>
      </c>
      <c r="P10" t="s">
        <v>279</v>
      </c>
      <c r="Q10" s="29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280</v>
      </c>
      <c r="X10" t="s">
        <v>281</v>
      </c>
      <c r="Y10">
        <v>3</v>
      </c>
      <c r="Z10">
        <v>1172528</v>
      </c>
      <c r="AA10">
        <v>0</v>
      </c>
      <c r="AB10">
        <v>0</v>
      </c>
      <c r="AC10">
        <v>1172528</v>
      </c>
      <c r="AP10" s="41"/>
    </row>
    <row r="11" spans="1:42" x14ac:dyDescent="0.25">
      <c r="E11" s="24" t="s">
        <v>273</v>
      </c>
      <c r="F11" s="24" t="s">
        <v>292</v>
      </c>
      <c r="G11">
        <v>2</v>
      </c>
      <c r="H11" t="s">
        <v>275</v>
      </c>
      <c r="I11" s="22" t="s">
        <v>293</v>
      </c>
      <c r="J11" s="22">
        <v>1074230001</v>
      </c>
      <c r="K11" t="s">
        <v>277</v>
      </c>
      <c r="L11" t="s">
        <v>294</v>
      </c>
      <c r="M11">
        <v>9</v>
      </c>
      <c r="N11">
        <v>9</v>
      </c>
      <c r="O11">
        <v>9</v>
      </c>
      <c r="P11" t="s">
        <v>279</v>
      </c>
      <c r="Q11" s="29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280</v>
      </c>
      <c r="X11" t="s">
        <v>281</v>
      </c>
      <c r="Y11" s="15"/>
      <c r="Z11" s="15"/>
      <c r="AA11" s="15"/>
      <c r="AB11" s="15"/>
      <c r="AC11" s="15"/>
      <c r="AP11" s="41"/>
    </row>
    <row r="12" spans="1:42" x14ac:dyDescent="0.25">
      <c r="E12" s="24" t="s">
        <v>273</v>
      </c>
      <c r="F12" s="24" t="s">
        <v>292</v>
      </c>
      <c r="G12">
        <v>3</v>
      </c>
      <c r="H12" t="s">
        <v>275</v>
      </c>
      <c r="I12" s="22" t="s">
        <v>293</v>
      </c>
      <c r="J12" s="22">
        <v>1073013601</v>
      </c>
      <c r="K12" t="s">
        <v>277</v>
      </c>
      <c r="L12" t="s">
        <v>294</v>
      </c>
      <c r="M12">
        <v>9</v>
      </c>
      <c r="N12">
        <v>4</v>
      </c>
      <c r="O12">
        <v>4</v>
      </c>
      <c r="P12" t="s">
        <v>279</v>
      </c>
      <c r="Q12" s="29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280</v>
      </c>
      <c r="X12" t="s">
        <v>281</v>
      </c>
      <c r="AP12" s="41"/>
    </row>
    <row r="13" spans="1:42" x14ac:dyDescent="0.25">
      <c r="A13" s="37"/>
      <c r="B13" s="37"/>
      <c r="C13" s="37"/>
      <c r="D13" s="37"/>
      <c r="E13" s="24" t="s">
        <v>273</v>
      </c>
      <c r="F13" s="24" t="s">
        <v>292</v>
      </c>
      <c r="G13">
        <v>4</v>
      </c>
      <c r="H13" t="s">
        <v>275</v>
      </c>
      <c r="I13" s="22" t="s">
        <v>293</v>
      </c>
      <c r="J13" s="22">
        <v>1072877401</v>
      </c>
      <c r="K13" t="s">
        <v>277</v>
      </c>
      <c r="L13" t="s">
        <v>294</v>
      </c>
      <c r="M13">
        <v>9</v>
      </c>
      <c r="N13">
        <v>14</v>
      </c>
      <c r="O13">
        <v>14</v>
      </c>
      <c r="P13" t="s">
        <v>279</v>
      </c>
      <c r="Q13" s="29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280</v>
      </c>
      <c r="X13" t="s">
        <v>281</v>
      </c>
      <c r="AP13" s="41"/>
    </row>
    <row r="14" spans="1:42" x14ac:dyDescent="0.25">
      <c r="E14" s="24" t="s">
        <v>273</v>
      </c>
      <c r="F14" s="24" t="s">
        <v>292</v>
      </c>
      <c r="G14">
        <v>5</v>
      </c>
      <c r="H14" t="s">
        <v>275</v>
      </c>
      <c r="I14" s="22" t="s">
        <v>293</v>
      </c>
      <c r="J14" s="22">
        <v>1063942701</v>
      </c>
      <c r="K14" t="s">
        <v>277</v>
      </c>
      <c r="L14" t="s">
        <v>294</v>
      </c>
      <c r="M14">
        <v>9</v>
      </c>
      <c r="N14">
        <v>13</v>
      </c>
      <c r="O14">
        <v>13</v>
      </c>
      <c r="P14" t="s">
        <v>279</v>
      </c>
      <c r="Q14" s="29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280</v>
      </c>
      <c r="X14" t="s">
        <v>281</v>
      </c>
      <c r="AP14" s="41"/>
    </row>
    <row r="15" spans="1:42" x14ac:dyDescent="0.25">
      <c r="E15" s="24" t="s">
        <v>273</v>
      </c>
      <c r="F15" s="24" t="s">
        <v>292</v>
      </c>
      <c r="G15">
        <v>6</v>
      </c>
      <c r="H15" t="s">
        <v>275</v>
      </c>
      <c r="I15" s="22" t="s">
        <v>293</v>
      </c>
      <c r="J15" s="22">
        <v>1064526201</v>
      </c>
      <c r="K15" t="s">
        <v>277</v>
      </c>
      <c r="L15" t="s">
        <v>294</v>
      </c>
      <c r="M15">
        <v>9</v>
      </c>
      <c r="N15">
        <v>11</v>
      </c>
      <c r="O15">
        <v>11</v>
      </c>
      <c r="P15" t="s">
        <v>279</v>
      </c>
      <c r="Q15" s="29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280</v>
      </c>
      <c r="X15" t="s">
        <v>281</v>
      </c>
      <c r="AP15" s="41"/>
    </row>
    <row r="16" spans="1:42" x14ac:dyDescent="0.25">
      <c r="E16" s="24" t="s">
        <v>273</v>
      </c>
      <c r="F16" s="24" t="s">
        <v>292</v>
      </c>
      <c r="G16">
        <v>7</v>
      </c>
      <c r="H16" t="s">
        <v>275</v>
      </c>
      <c r="I16" s="22" t="s">
        <v>293</v>
      </c>
      <c r="J16" s="22">
        <v>1064400101</v>
      </c>
      <c r="K16" t="s">
        <v>277</v>
      </c>
      <c r="L16" t="s">
        <v>294</v>
      </c>
      <c r="M16">
        <v>9</v>
      </c>
      <c r="N16">
        <v>15</v>
      </c>
      <c r="O16">
        <v>15</v>
      </c>
      <c r="P16" t="s">
        <v>279</v>
      </c>
      <c r="Q16" s="29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280</v>
      </c>
      <c r="X16" t="s">
        <v>281</v>
      </c>
      <c r="AP16" s="41"/>
    </row>
    <row r="17" spans="5:42" x14ac:dyDescent="0.25">
      <c r="E17" s="24" t="s">
        <v>273</v>
      </c>
      <c r="F17" s="24" t="s">
        <v>292</v>
      </c>
      <c r="G17">
        <v>8</v>
      </c>
      <c r="H17" t="s">
        <v>275</v>
      </c>
      <c r="I17" s="22" t="s">
        <v>293</v>
      </c>
      <c r="J17" s="22">
        <v>1065094901</v>
      </c>
      <c r="K17" t="s">
        <v>277</v>
      </c>
      <c r="L17" t="s">
        <v>294</v>
      </c>
      <c r="M17">
        <v>9</v>
      </c>
      <c r="N17">
        <v>12</v>
      </c>
      <c r="O17">
        <v>12</v>
      </c>
      <c r="P17" t="s">
        <v>279</v>
      </c>
      <c r="Q17" s="29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280</v>
      </c>
      <c r="X17" t="s">
        <v>281</v>
      </c>
      <c r="AP17" s="41"/>
    </row>
    <row r="18" spans="5:42" x14ac:dyDescent="0.25">
      <c r="E18" s="24" t="s">
        <v>273</v>
      </c>
      <c r="F18" s="24" t="s">
        <v>292</v>
      </c>
      <c r="G18">
        <v>9</v>
      </c>
      <c r="H18" t="s">
        <v>275</v>
      </c>
      <c r="I18" s="22" t="s">
        <v>293</v>
      </c>
      <c r="J18" s="22">
        <v>3030357601</v>
      </c>
      <c r="K18" t="s">
        <v>277</v>
      </c>
      <c r="L18" t="s">
        <v>294</v>
      </c>
      <c r="M18">
        <v>9</v>
      </c>
      <c r="N18">
        <v>5</v>
      </c>
      <c r="O18">
        <v>5</v>
      </c>
      <c r="P18" t="s">
        <v>279</v>
      </c>
      <c r="Q18" s="29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280</v>
      </c>
      <c r="X18" t="s">
        <v>281</v>
      </c>
      <c r="AP18" s="41"/>
    </row>
    <row r="19" spans="5:42" x14ac:dyDescent="0.25">
      <c r="E19" s="24" t="s">
        <v>273</v>
      </c>
      <c r="F19" s="24" t="s">
        <v>292</v>
      </c>
      <c r="G19">
        <v>10</v>
      </c>
      <c r="H19" t="s">
        <v>275</v>
      </c>
      <c r="I19" s="22" t="s">
        <v>293</v>
      </c>
      <c r="J19" s="22">
        <v>1075718101</v>
      </c>
      <c r="K19" t="s">
        <v>277</v>
      </c>
      <c r="L19" t="s">
        <v>294</v>
      </c>
      <c r="M19">
        <v>9</v>
      </c>
      <c r="N19">
        <v>8</v>
      </c>
      <c r="O19">
        <v>8</v>
      </c>
      <c r="P19" t="s">
        <v>279</v>
      </c>
      <c r="Q19" s="29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280</v>
      </c>
      <c r="X19" t="s">
        <v>281</v>
      </c>
      <c r="AP19" s="41"/>
    </row>
    <row r="20" spans="5:42" x14ac:dyDescent="0.25">
      <c r="E20" s="24" t="s">
        <v>273</v>
      </c>
      <c r="F20" s="24" t="s">
        <v>292</v>
      </c>
      <c r="G20">
        <v>11</v>
      </c>
      <c r="H20" t="s">
        <v>275</v>
      </c>
      <c r="I20" s="22" t="s">
        <v>293</v>
      </c>
      <c r="J20" s="22">
        <v>1076439001</v>
      </c>
      <c r="K20" t="s">
        <v>277</v>
      </c>
      <c r="L20" t="s">
        <v>294</v>
      </c>
      <c r="M20">
        <v>9</v>
      </c>
      <c r="N20">
        <v>5</v>
      </c>
      <c r="O20">
        <v>5</v>
      </c>
      <c r="P20" t="s">
        <v>279</v>
      </c>
      <c r="Q20" s="29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280</v>
      </c>
      <c r="X20" t="s">
        <v>281</v>
      </c>
      <c r="AP20" s="41"/>
    </row>
    <row r="21" spans="5:42" x14ac:dyDescent="0.25">
      <c r="E21" s="24" t="s">
        <v>273</v>
      </c>
      <c r="F21" s="24" t="s">
        <v>292</v>
      </c>
      <c r="G21">
        <v>12</v>
      </c>
      <c r="H21" t="s">
        <v>275</v>
      </c>
      <c r="I21" s="22" t="s">
        <v>293</v>
      </c>
      <c r="J21" s="22">
        <v>1076212901</v>
      </c>
      <c r="K21" t="s">
        <v>277</v>
      </c>
      <c r="L21" t="s">
        <v>294</v>
      </c>
      <c r="M21">
        <v>9</v>
      </c>
      <c r="N21">
        <v>2</v>
      </c>
      <c r="O21">
        <v>2</v>
      </c>
      <c r="P21" t="s">
        <v>279</v>
      </c>
      <c r="Q21" s="29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280</v>
      </c>
      <c r="X21" t="s">
        <v>281</v>
      </c>
      <c r="AP21" s="41"/>
    </row>
    <row r="22" spans="5:42" x14ac:dyDescent="0.25">
      <c r="E22" s="24" t="s">
        <v>273</v>
      </c>
      <c r="F22" s="24" t="s">
        <v>292</v>
      </c>
      <c r="G22">
        <v>13</v>
      </c>
      <c r="H22" t="s">
        <v>275</v>
      </c>
      <c r="I22" s="22" t="s">
        <v>293</v>
      </c>
      <c r="J22" s="22">
        <v>1076978001</v>
      </c>
      <c r="K22" t="s">
        <v>277</v>
      </c>
      <c r="L22" t="s">
        <v>294</v>
      </c>
      <c r="M22">
        <v>9</v>
      </c>
      <c r="N22">
        <v>9</v>
      </c>
      <c r="O22">
        <v>9</v>
      </c>
      <c r="P22" t="s">
        <v>279</v>
      </c>
      <c r="Q22" s="29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280</v>
      </c>
      <c r="X22" t="s">
        <v>281</v>
      </c>
      <c r="AP22" s="41"/>
    </row>
    <row r="23" spans="5:42" x14ac:dyDescent="0.25">
      <c r="E23" s="24" t="s">
        <v>273</v>
      </c>
      <c r="F23" s="24" t="s">
        <v>292</v>
      </c>
      <c r="G23">
        <v>14</v>
      </c>
      <c r="H23" t="s">
        <v>275</v>
      </c>
      <c r="I23" s="22" t="s">
        <v>293</v>
      </c>
      <c r="J23" s="22">
        <v>1066201801</v>
      </c>
      <c r="K23" t="s">
        <v>277</v>
      </c>
      <c r="L23" t="s">
        <v>294</v>
      </c>
      <c r="M23">
        <v>9</v>
      </c>
      <c r="N23">
        <v>16</v>
      </c>
      <c r="O23">
        <v>16</v>
      </c>
      <c r="P23" t="s">
        <v>279</v>
      </c>
      <c r="Q23" s="29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280</v>
      </c>
      <c r="X23" t="s">
        <v>281</v>
      </c>
      <c r="AP23" s="41"/>
    </row>
    <row r="24" spans="5:42" x14ac:dyDescent="0.25">
      <c r="E24" s="24" t="s">
        <v>273</v>
      </c>
      <c r="F24" s="24" t="s">
        <v>292</v>
      </c>
      <c r="G24">
        <v>15</v>
      </c>
      <c r="H24" t="s">
        <v>275</v>
      </c>
      <c r="I24" s="22" t="s">
        <v>293</v>
      </c>
      <c r="J24" s="22">
        <v>1066738401</v>
      </c>
      <c r="K24" t="s">
        <v>277</v>
      </c>
      <c r="L24" t="s">
        <v>294</v>
      </c>
      <c r="M24">
        <v>9</v>
      </c>
      <c r="N24">
        <v>11</v>
      </c>
      <c r="O24">
        <v>11</v>
      </c>
      <c r="P24" t="s">
        <v>279</v>
      </c>
      <c r="Q24" s="29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280</v>
      </c>
      <c r="X24" t="s">
        <v>281</v>
      </c>
      <c r="AP24" s="41"/>
    </row>
    <row r="25" spans="5:42" x14ac:dyDescent="0.25">
      <c r="E25" s="24" t="s">
        <v>273</v>
      </c>
      <c r="F25" s="24" t="s">
        <v>292</v>
      </c>
      <c r="G25">
        <v>16</v>
      </c>
      <c r="H25" t="s">
        <v>275</v>
      </c>
      <c r="I25" s="22" t="s">
        <v>293</v>
      </c>
      <c r="J25" s="22">
        <v>1066611701</v>
      </c>
      <c r="K25" t="s">
        <v>277</v>
      </c>
      <c r="L25" t="s">
        <v>294</v>
      </c>
      <c r="M25">
        <v>9</v>
      </c>
      <c r="N25">
        <v>18</v>
      </c>
      <c r="O25">
        <v>18</v>
      </c>
      <c r="P25" t="s">
        <v>279</v>
      </c>
      <c r="Q25" s="29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280</v>
      </c>
      <c r="X25" t="s">
        <v>281</v>
      </c>
      <c r="AP25" s="41"/>
    </row>
    <row r="26" spans="5:42" x14ac:dyDescent="0.25">
      <c r="E26" s="24" t="s">
        <v>273</v>
      </c>
      <c r="F26" s="24" t="s">
        <v>292</v>
      </c>
      <c r="G26">
        <v>17</v>
      </c>
      <c r="H26" t="s">
        <v>275</v>
      </c>
      <c r="I26" s="22" t="s">
        <v>293</v>
      </c>
      <c r="J26" s="22">
        <v>1067373201</v>
      </c>
      <c r="K26" t="s">
        <v>277</v>
      </c>
      <c r="L26" t="s">
        <v>294</v>
      </c>
      <c r="M26">
        <v>9</v>
      </c>
      <c r="N26">
        <v>11</v>
      </c>
      <c r="O26">
        <v>11</v>
      </c>
      <c r="P26" t="s">
        <v>279</v>
      </c>
      <c r="Q26" s="29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280</v>
      </c>
      <c r="X26" t="s">
        <v>281</v>
      </c>
      <c r="AP26" s="41"/>
    </row>
    <row r="27" spans="5:42" x14ac:dyDescent="0.25">
      <c r="E27" s="24" t="s">
        <v>273</v>
      </c>
      <c r="F27" s="24" t="s">
        <v>292</v>
      </c>
      <c r="G27">
        <v>18</v>
      </c>
      <c r="H27" t="s">
        <v>275</v>
      </c>
      <c r="I27" s="22" t="s">
        <v>293</v>
      </c>
      <c r="J27" s="22">
        <v>1067066501</v>
      </c>
      <c r="K27" t="s">
        <v>277</v>
      </c>
      <c r="L27" t="s">
        <v>294</v>
      </c>
      <c r="M27">
        <v>9</v>
      </c>
      <c r="N27">
        <v>20</v>
      </c>
      <c r="O27">
        <v>20</v>
      </c>
      <c r="P27" t="s">
        <v>279</v>
      </c>
      <c r="Q27" s="29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280</v>
      </c>
      <c r="X27" t="s">
        <v>281</v>
      </c>
      <c r="AP27" s="41"/>
    </row>
    <row r="28" spans="5:42" x14ac:dyDescent="0.25">
      <c r="E28" s="24" t="s">
        <v>273</v>
      </c>
      <c r="F28" s="24" t="s">
        <v>292</v>
      </c>
      <c r="G28">
        <v>19</v>
      </c>
      <c r="H28" t="s">
        <v>275</v>
      </c>
      <c r="I28" s="22" t="s">
        <v>293</v>
      </c>
      <c r="J28" s="22">
        <v>1061360801</v>
      </c>
      <c r="K28" t="s">
        <v>277</v>
      </c>
      <c r="L28" t="s">
        <v>294</v>
      </c>
      <c r="M28">
        <v>9</v>
      </c>
      <c r="N28">
        <v>1</v>
      </c>
      <c r="O28">
        <v>1</v>
      </c>
      <c r="P28" t="s">
        <v>279</v>
      </c>
      <c r="Q28" s="29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280</v>
      </c>
      <c r="X28" t="s">
        <v>281</v>
      </c>
      <c r="AP28" s="41"/>
    </row>
    <row r="29" spans="5:42" x14ac:dyDescent="0.25">
      <c r="E29" s="24" t="s">
        <v>273</v>
      </c>
      <c r="F29" s="24" t="s">
        <v>292</v>
      </c>
      <c r="G29">
        <v>20</v>
      </c>
      <c r="H29" t="s">
        <v>275</v>
      </c>
      <c r="I29" s="22" t="s">
        <v>293</v>
      </c>
      <c r="J29" s="22">
        <v>1064789701</v>
      </c>
      <c r="K29" t="s">
        <v>277</v>
      </c>
      <c r="L29" t="s">
        <v>294</v>
      </c>
      <c r="M29">
        <v>9</v>
      </c>
      <c r="N29">
        <v>14</v>
      </c>
      <c r="O29">
        <v>14</v>
      </c>
      <c r="P29" t="s">
        <v>279</v>
      </c>
      <c r="Q29" s="29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280</v>
      </c>
      <c r="X29" t="s">
        <v>281</v>
      </c>
      <c r="AP29" s="41"/>
    </row>
    <row r="30" spans="5:42" x14ac:dyDescent="0.25">
      <c r="E30" s="24" t="s">
        <v>273</v>
      </c>
      <c r="F30" s="24" t="s">
        <v>292</v>
      </c>
      <c r="G30">
        <v>21</v>
      </c>
      <c r="H30" t="s">
        <v>275</v>
      </c>
      <c r="I30" s="22" t="s">
        <v>293</v>
      </c>
      <c r="J30" s="22">
        <v>1067063201</v>
      </c>
      <c r="K30" t="s">
        <v>277</v>
      </c>
      <c r="L30" t="s">
        <v>294</v>
      </c>
      <c r="M30">
        <v>9</v>
      </c>
      <c r="N30">
        <v>8</v>
      </c>
      <c r="O30">
        <v>8</v>
      </c>
      <c r="P30" t="s">
        <v>279</v>
      </c>
      <c r="Q30" s="29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280</v>
      </c>
      <c r="X30" t="s">
        <v>281</v>
      </c>
      <c r="AP30" s="41"/>
    </row>
    <row r="31" spans="5:42" x14ac:dyDescent="0.25">
      <c r="E31" s="24" t="s">
        <v>273</v>
      </c>
      <c r="F31" s="24" t="s">
        <v>292</v>
      </c>
      <c r="G31">
        <v>22</v>
      </c>
      <c r="H31" t="s">
        <v>275</v>
      </c>
      <c r="I31" s="22" t="s">
        <v>293</v>
      </c>
      <c r="J31" s="22">
        <v>1064076401</v>
      </c>
      <c r="K31" t="s">
        <v>277</v>
      </c>
      <c r="L31" t="s">
        <v>294</v>
      </c>
      <c r="M31">
        <v>9</v>
      </c>
      <c r="N31">
        <v>10</v>
      </c>
      <c r="O31">
        <v>10</v>
      </c>
      <c r="P31" t="s">
        <v>279</v>
      </c>
      <c r="Q31" s="29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280</v>
      </c>
      <c r="X31" t="s">
        <v>281</v>
      </c>
      <c r="AP31" s="41"/>
    </row>
    <row r="32" spans="5:42" x14ac:dyDescent="0.25">
      <c r="E32" s="24" t="s">
        <v>273</v>
      </c>
      <c r="F32" s="24" t="s">
        <v>295</v>
      </c>
      <c r="G32">
        <v>1</v>
      </c>
      <c r="H32" t="s">
        <v>275</v>
      </c>
      <c r="I32" s="22" t="s">
        <v>293</v>
      </c>
      <c r="J32" s="22">
        <v>1068685101</v>
      </c>
      <c r="K32" t="s">
        <v>277</v>
      </c>
      <c r="L32" t="s">
        <v>294</v>
      </c>
      <c r="M32">
        <v>9</v>
      </c>
      <c r="N32">
        <v>1</v>
      </c>
      <c r="O32">
        <v>1</v>
      </c>
      <c r="P32" t="s">
        <v>279</v>
      </c>
      <c r="Q32" s="29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280</v>
      </c>
      <c r="X32" t="s">
        <v>281</v>
      </c>
      <c r="Y32">
        <v>3</v>
      </c>
      <c r="Z32">
        <v>679188</v>
      </c>
      <c r="AA32">
        <v>0</v>
      </c>
      <c r="AB32">
        <v>0</v>
      </c>
      <c r="AC32">
        <v>679188</v>
      </c>
      <c r="AP32" s="41"/>
    </row>
    <row r="33" spans="5:42" x14ac:dyDescent="0.25">
      <c r="E33" s="24" t="s">
        <v>273</v>
      </c>
      <c r="F33" s="24" t="s">
        <v>295</v>
      </c>
      <c r="G33">
        <v>2</v>
      </c>
      <c r="H33" t="s">
        <v>275</v>
      </c>
      <c r="I33" s="22" t="s">
        <v>293</v>
      </c>
      <c r="J33" s="22">
        <v>1068856501</v>
      </c>
      <c r="K33" t="s">
        <v>277</v>
      </c>
      <c r="L33" t="s">
        <v>294</v>
      </c>
      <c r="M33">
        <v>9</v>
      </c>
      <c r="N33">
        <v>1</v>
      </c>
      <c r="O33">
        <v>1</v>
      </c>
      <c r="P33" t="s">
        <v>279</v>
      </c>
      <c r="Q33" s="29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280</v>
      </c>
      <c r="X33" t="s">
        <v>281</v>
      </c>
      <c r="AP33" s="41"/>
    </row>
    <row r="34" spans="5:42" x14ac:dyDescent="0.25">
      <c r="E34" s="24" t="s">
        <v>273</v>
      </c>
      <c r="F34" s="24" t="s">
        <v>295</v>
      </c>
      <c r="G34">
        <v>3</v>
      </c>
      <c r="H34" t="s">
        <v>275</v>
      </c>
      <c r="I34" s="22" t="s">
        <v>293</v>
      </c>
      <c r="J34" s="22">
        <v>1068205901</v>
      </c>
      <c r="K34" t="s">
        <v>277</v>
      </c>
      <c r="L34" t="s">
        <v>294</v>
      </c>
      <c r="M34">
        <v>9</v>
      </c>
      <c r="N34">
        <v>1</v>
      </c>
      <c r="O34">
        <v>1</v>
      </c>
      <c r="P34" t="s">
        <v>279</v>
      </c>
      <c r="Q34" s="29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280</v>
      </c>
      <c r="X34" t="s">
        <v>281</v>
      </c>
      <c r="AP34" s="41"/>
    </row>
    <row r="35" spans="5:42" x14ac:dyDescent="0.25">
      <c r="E35" s="24" t="s">
        <v>273</v>
      </c>
      <c r="F35" s="24" t="s">
        <v>295</v>
      </c>
      <c r="G35">
        <v>4</v>
      </c>
      <c r="H35" t="s">
        <v>275</v>
      </c>
      <c r="I35" s="22" t="s">
        <v>293</v>
      </c>
      <c r="J35" s="22">
        <v>1067725501</v>
      </c>
      <c r="K35" t="s">
        <v>277</v>
      </c>
      <c r="L35" t="s">
        <v>294</v>
      </c>
      <c r="M35">
        <v>9</v>
      </c>
      <c r="N35">
        <v>12</v>
      </c>
      <c r="O35">
        <v>12</v>
      </c>
      <c r="P35" t="s">
        <v>279</v>
      </c>
      <c r="Q35" s="29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280</v>
      </c>
      <c r="X35" t="s">
        <v>281</v>
      </c>
      <c r="AP35" s="41"/>
    </row>
    <row r="36" spans="5:42" x14ac:dyDescent="0.25">
      <c r="E36" s="24" t="s">
        <v>273</v>
      </c>
      <c r="F36" s="24" t="s">
        <v>295</v>
      </c>
      <c r="G36">
        <v>5</v>
      </c>
      <c r="H36" t="s">
        <v>275</v>
      </c>
      <c r="I36" s="22" t="s">
        <v>293</v>
      </c>
      <c r="J36" s="22">
        <v>1065511301</v>
      </c>
      <c r="K36" t="s">
        <v>277</v>
      </c>
      <c r="L36" t="s">
        <v>294</v>
      </c>
      <c r="M36">
        <v>9</v>
      </c>
      <c r="N36">
        <v>6</v>
      </c>
      <c r="O36">
        <v>6</v>
      </c>
      <c r="P36" t="s">
        <v>279</v>
      </c>
      <c r="Q36" s="29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280</v>
      </c>
      <c r="X36" t="s">
        <v>281</v>
      </c>
      <c r="AP36" s="41"/>
    </row>
    <row r="37" spans="5:42" x14ac:dyDescent="0.25">
      <c r="E37" s="24" t="s">
        <v>273</v>
      </c>
      <c r="F37" s="24" t="s">
        <v>295</v>
      </c>
      <c r="G37">
        <v>6</v>
      </c>
      <c r="H37" t="s">
        <v>275</v>
      </c>
      <c r="I37" s="22" t="s">
        <v>293</v>
      </c>
      <c r="J37" s="22">
        <v>1065382901</v>
      </c>
      <c r="K37" t="s">
        <v>277</v>
      </c>
      <c r="L37" t="s">
        <v>294</v>
      </c>
      <c r="M37">
        <v>9</v>
      </c>
      <c r="N37">
        <v>15</v>
      </c>
      <c r="O37">
        <v>15</v>
      </c>
      <c r="P37" t="s">
        <v>279</v>
      </c>
      <c r="Q37" s="29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280</v>
      </c>
      <c r="X37" t="s">
        <v>281</v>
      </c>
      <c r="AP37" s="41"/>
    </row>
    <row r="38" spans="5:42" x14ac:dyDescent="0.25">
      <c r="E38" s="24" t="s">
        <v>273</v>
      </c>
      <c r="F38" s="24" t="s">
        <v>295</v>
      </c>
      <c r="G38">
        <v>7</v>
      </c>
      <c r="H38" t="s">
        <v>275</v>
      </c>
      <c r="I38" s="22" t="s">
        <v>293</v>
      </c>
      <c r="J38" s="22">
        <v>1065928401</v>
      </c>
      <c r="K38" t="s">
        <v>277</v>
      </c>
      <c r="L38" t="s">
        <v>294</v>
      </c>
      <c r="M38">
        <v>9</v>
      </c>
      <c r="N38">
        <v>10</v>
      </c>
      <c r="O38">
        <v>10</v>
      </c>
      <c r="P38" t="s">
        <v>279</v>
      </c>
      <c r="Q38" s="29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280</v>
      </c>
      <c r="X38" t="s">
        <v>281</v>
      </c>
      <c r="AP38" s="41"/>
    </row>
    <row r="39" spans="5:42" x14ac:dyDescent="0.25">
      <c r="E39" s="24" t="s">
        <v>273</v>
      </c>
      <c r="F39" s="24" t="s">
        <v>295</v>
      </c>
      <c r="G39">
        <v>8</v>
      </c>
      <c r="H39" t="s">
        <v>275</v>
      </c>
      <c r="I39" s="22" t="s">
        <v>293</v>
      </c>
      <c r="J39" s="22">
        <v>1065795101</v>
      </c>
      <c r="K39" t="s">
        <v>277</v>
      </c>
      <c r="L39" t="s">
        <v>294</v>
      </c>
      <c r="M39">
        <v>9</v>
      </c>
      <c r="N39">
        <v>15</v>
      </c>
      <c r="O39">
        <v>15</v>
      </c>
      <c r="P39" t="s">
        <v>279</v>
      </c>
      <c r="Q39" s="29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280</v>
      </c>
      <c r="X39" t="s">
        <v>281</v>
      </c>
      <c r="AP39" s="41"/>
    </row>
    <row r="40" spans="5:42" x14ac:dyDescent="0.25">
      <c r="E40" s="24" t="s">
        <v>273</v>
      </c>
      <c r="F40" s="24" t="s">
        <v>295</v>
      </c>
      <c r="G40">
        <v>9</v>
      </c>
      <c r="H40" t="s">
        <v>275</v>
      </c>
      <c r="I40" s="22" t="s">
        <v>293</v>
      </c>
      <c r="J40" s="22">
        <v>1066320001</v>
      </c>
      <c r="K40" t="s">
        <v>277</v>
      </c>
      <c r="L40" t="s">
        <v>294</v>
      </c>
      <c r="M40">
        <v>9</v>
      </c>
      <c r="N40">
        <v>12</v>
      </c>
      <c r="O40">
        <v>12</v>
      </c>
      <c r="P40" t="s">
        <v>279</v>
      </c>
      <c r="Q40" s="29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280</v>
      </c>
      <c r="X40" t="s">
        <v>281</v>
      </c>
      <c r="AP40" s="41"/>
    </row>
    <row r="41" spans="5:42" x14ac:dyDescent="0.25">
      <c r="E41" s="24" t="s">
        <v>273</v>
      </c>
      <c r="F41" s="24" t="s">
        <v>295</v>
      </c>
      <c r="G41">
        <v>10</v>
      </c>
      <c r="H41" t="s">
        <v>275</v>
      </c>
      <c r="I41" s="22" t="s">
        <v>293</v>
      </c>
      <c r="J41" s="22">
        <v>1076802801</v>
      </c>
      <c r="K41" t="s">
        <v>277</v>
      </c>
      <c r="L41" t="s">
        <v>294</v>
      </c>
      <c r="M41">
        <v>9</v>
      </c>
      <c r="N41">
        <v>1</v>
      </c>
      <c r="O41">
        <v>1</v>
      </c>
      <c r="P41" t="s">
        <v>279</v>
      </c>
      <c r="Q41" s="29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280</v>
      </c>
      <c r="X41" t="s">
        <v>281</v>
      </c>
      <c r="AP41" s="41"/>
    </row>
    <row r="42" spans="5:42" x14ac:dyDescent="0.25">
      <c r="E42" s="24" t="s">
        <v>273</v>
      </c>
      <c r="F42" s="24" t="s">
        <v>295</v>
      </c>
      <c r="G42">
        <v>11</v>
      </c>
      <c r="H42" t="s">
        <v>275</v>
      </c>
      <c r="I42" s="22" t="s">
        <v>293</v>
      </c>
      <c r="J42" s="22">
        <v>1077628901</v>
      </c>
      <c r="K42" t="s">
        <v>277</v>
      </c>
      <c r="L42" t="s">
        <v>294</v>
      </c>
      <c r="M42">
        <v>9</v>
      </c>
      <c r="N42">
        <v>1</v>
      </c>
      <c r="O42">
        <v>1</v>
      </c>
      <c r="P42" t="s">
        <v>279</v>
      </c>
      <c r="Q42" s="29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280</v>
      </c>
      <c r="X42" t="s">
        <v>281</v>
      </c>
      <c r="AP42" s="41"/>
    </row>
    <row r="43" spans="5:42" x14ac:dyDescent="0.25">
      <c r="E43" s="24" t="s">
        <v>273</v>
      </c>
      <c r="F43" s="24" t="s">
        <v>295</v>
      </c>
      <c r="G43">
        <v>12</v>
      </c>
      <c r="H43" t="s">
        <v>275</v>
      </c>
      <c r="I43" s="22" t="s">
        <v>293</v>
      </c>
      <c r="J43" s="22">
        <v>1077489001</v>
      </c>
      <c r="K43" t="s">
        <v>277</v>
      </c>
      <c r="L43" t="s">
        <v>294</v>
      </c>
      <c r="M43">
        <v>9</v>
      </c>
      <c r="N43">
        <v>5</v>
      </c>
      <c r="O43">
        <v>5</v>
      </c>
      <c r="P43" t="s">
        <v>279</v>
      </c>
      <c r="Q43" s="29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280</v>
      </c>
      <c r="X43" t="s">
        <v>281</v>
      </c>
      <c r="AP43" s="41"/>
    </row>
    <row r="44" spans="5:42" x14ac:dyDescent="0.25">
      <c r="E44" s="24" t="s">
        <v>273</v>
      </c>
      <c r="F44" s="24" t="s">
        <v>295</v>
      </c>
      <c r="G44">
        <v>13</v>
      </c>
      <c r="H44" t="s">
        <v>275</v>
      </c>
      <c r="I44" s="22" t="s">
        <v>293</v>
      </c>
      <c r="J44" s="22">
        <v>1078145001</v>
      </c>
      <c r="K44" t="s">
        <v>277</v>
      </c>
      <c r="L44" t="s">
        <v>294</v>
      </c>
      <c r="M44">
        <v>9</v>
      </c>
      <c r="N44">
        <v>5</v>
      </c>
      <c r="O44">
        <v>5</v>
      </c>
      <c r="P44" t="s">
        <v>279</v>
      </c>
      <c r="Q44" s="29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280</v>
      </c>
      <c r="X44" t="s">
        <v>281</v>
      </c>
      <c r="AP44" s="41"/>
    </row>
    <row r="45" spans="5:42" x14ac:dyDescent="0.25">
      <c r="E45" s="24" t="s">
        <v>273</v>
      </c>
      <c r="F45" s="24" t="s">
        <v>295</v>
      </c>
      <c r="G45">
        <v>14</v>
      </c>
      <c r="H45" t="s">
        <v>275</v>
      </c>
      <c r="I45" s="22" t="s">
        <v>293</v>
      </c>
      <c r="J45" s="22">
        <v>1077845801</v>
      </c>
      <c r="K45" t="s">
        <v>277</v>
      </c>
      <c r="L45" t="s">
        <v>294</v>
      </c>
      <c r="M45">
        <v>9</v>
      </c>
      <c r="N45">
        <v>2</v>
      </c>
      <c r="O45">
        <v>2</v>
      </c>
      <c r="P45" t="s">
        <v>279</v>
      </c>
      <c r="Q45" s="29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280</v>
      </c>
      <c r="X45" t="s">
        <v>281</v>
      </c>
      <c r="AP45" s="41"/>
    </row>
    <row r="46" spans="5:42" x14ac:dyDescent="0.25">
      <c r="E46" s="24" t="s">
        <v>273</v>
      </c>
      <c r="F46" s="24" t="s">
        <v>295</v>
      </c>
      <c r="G46">
        <v>15</v>
      </c>
      <c r="H46" t="s">
        <v>275</v>
      </c>
      <c r="I46" s="22" t="s">
        <v>293</v>
      </c>
      <c r="J46" s="22">
        <v>1072369901</v>
      </c>
      <c r="K46" t="s">
        <v>277</v>
      </c>
      <c r="L46" t="s">
        <v>294</v>
      </c>
      <c r="M46">
        <v>9</v>
      </c>
      <c r="N46">
        <v>5</v>
      </c>
      <c r="O46">
        <v>5</v>
      </c>
      <c r="P46" t="s">
        <v>279</v>
      </c>
      <c r="Q46" s="29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280</v>
      </c>
      <c r="X46" t="s">
        <v>281</v>
      </c>
      <c r="AP46" s="41"/>
    </row>
    <row r="47" spans="5:42" x14ac:dyDescent="0.25">
      <c r="E47" s="24" t="s">
        <v>273</v>
      </c>
      <c r="F47" s="24" t="s">
        <v>295</v>
      </c>
      <c r="G47">
        <v>16</v>
      </c>
      <c r="H47" t="s">
        <v>275</v>
      </c>
      <c r="I47" s="22" t="s">
        <v>293</v>
      </c>
      <c r="J47" s="22">
        <v>1072498701</v>
      </c>
      <c r="K47" t="s">
        <v>277</v>
      </c>
      <c r="L47" t="s">
        <v>294</v>
      </c>
      <c r="M47">
        <v>9</v>
      </c>
      <c r="N47">
        <v>8</v>
      </c>
      <c r="O47">
        <v>8</v>
      </c>
      <c r="P47" t="s">
        <v>279</v>
      </c>
      <c r="Q47" s="29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280</v>
      </c>
      <c r="X47" t="s">
        <v>281</v>
      </c>
      <c r="AP47" s="41"/>
    </row>
    <row r="48" spans="5:42" x14ac:dyDescent="0.25">
      <c r="E48" s="24" t="s">
        <v>273</v>
      </c>
      <c r="F48" s="24" t="s">
        <v>295</v>
      </c>
      <c r="G48">
        <v>17</v>
      </c>
      <c r="H48" t="s">
        <v>275</v>
      </c>
      <c r="I48" s="22" t="s">
        <v>293</v>
      </c>
      <c r="J48" s="22">
        <v>1075173601</v>
      </c>
      <c r="K48" t="s">
        <v>277</v>
      </c>
      <c r="L48" t="s">
        <v>294</v>
      </c>
      <c r="M48">
        <v>9</v>
      </c>
      <c r="N48">
        <v>1</v>
      </c>
      <c r="O48">
        <v>1</v>
      </c>
      <c r="P48" t="s">
        <v>279</v>
      </c>
      <c r="Q48" s="29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280</v>
      </c>
      <c r="X48" t="s">
        <v>281</v>
      </c>
      <c r="AP48" s="41"/>
    </row>
    <row r="49" spans="5:42" x14ac:dyDescent="0.25">
      <c r="E49" s="24" t="s">
        <v>273</v>
      </c>
      <c r="F49" s="24" t="s">
        <v>295</v>
      </c>
      <c r="G49">
        <v>18</v>
      </c>
      <c r="H49" t="s">
        <v>275</v>
      </c>
      <c r="I49" s="22" t="s">
        <v>293</v>
      </c>
      <c r="J49" s="22">
        <v>1073891101</v>
      </c>
      <c r="K49" t="s">
        <v>277</v>
      </c>
      <c r="L49" t="s">
        <v>294</v>
      </c>
      <c r="M49">
        <v>9</v>
      </c>
      <c r="N49">
        <v>2</v>
      </c>
      <c r="O49">
        <v>2</v>
      </c>
      <c r="P49" t="s">
        <v>279</v>
      </c>
      <c r="Q49" s="29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280</v>
      </c>
      <c r="X49" t="s">
        <v>281</v>
      </c>
      <c r="AP49" s="41"/>
    </row>
    <row r="50" spans="5:42" x14ac:dyDescent="0.25">
      <c r="E50" s="24" t="s">
        <v>273</v>
      </c>
      <c r="F50" s="24" t="s">
        <v>295</v>
      </c>
      <c r="G50">
        <v>19</v>
      </c>
      <c r="H50" t="s">
        <v>275</v>
      </c>
      <c r="I50" s="22" t="s">
        <v>293</v>
      </c>
      <c r="J50" s="22">
        <v>1074489901</v>
      </c>
      <c r="K50" t="s">
        <v>277</v>
      </c>
      <c r="L50" t="s">
        <v>294</v>
      </c>
      <c r="M50">
        <v>9</v>
      </c>
      <c r="N50">
        <v>11</v>
      </c>
      <c r="O50">
        <v>11</v>
      </c>
      <c r="P50" t="s">
        <v>279</v>
      </c>
      <c r="Q50" s="29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280</v>
      </c>
      <c r="X50" t="s">
        <v>281</v>
      </c>
      <c r="AP50" s="41"/>
    </row>
    <row r="51" spans="5:42" x14ac:dyDescent="0.25">
      <c r="E51" s="24" t="s">
        <v>273</v>
      </c>
      <c r="F51" s="24" t="s">
        <v>295</v>
      </c>
      <c r="G51">
        <v>20</v>
      </c>
      <c r="H51" t="s">
        <v>275</v>
      </c>
      <c r="I51" s="22" t="s">
        <v>293</v>
      </c>
      <c r="J51" s="22">
        <v>1072017201</v>
      </c>
      <c r="K51" t="s">
        <v>277</v>
      </c>
      <c r="L51" t="s">
        <v>296</v>
      </c>
      <c r="M51">
        <v>9</v>
      </c>
      <c r="N51">
        <v>8</v>
      </c>
      <c r="O51">
        <v>8</v>
      </c>
      <c r="P51" t="s">
        <v>279</v>
      </c>
      <c r="Q51" s="29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280</v>
      </c>
      <c r="X51" t="s">
        <v>281</v>
      </c>
      <c r="AP51" s="41"/>
    </row>
    <row r="52" spans="5:42" x14ac:dyDescent="0.25">
      <c r="E52" s="24" t="s">
        <v>273</v>
      </c>
      <c r="F52" s="24" t="s">
        <v>295</v>
      </c>
      <c r="G52">
        <v>21</v>
      </c>
      <c r="H52" t="s">
        <v>275</v>
      </c>
      <c r="I52" s="22" t="s">
        <v>293</v>
      </c>
      <c r="J52" s="22">
        <v>1072372301</v>
      </c>
      <c r="K52" t="s">
        <v>277</v>
      </c>
      <c r="L52" t="s">
        <v>296</v>
      </c>
      <c r="M52">
        <v>9</v>
      </c>
      <c r="N52">
        <v>2</v>
      </c>
      <c r="O52">
        <v>2</v>
      </c>
      <c r="P52" t="s">
        <v>279</v>
      </c>
      <c r="Q52" s="29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280</v>
      </c>
      <c r="X52" t="s">
        <v>281</v>
      </c>
      <c r="AP52" s="41"/>
    </row>
    <row r="53" spans="5:42" x14ac:dyDescent="0.25">
      <c r="E53" s="24" t="s">
        <v>273</v>
      </c>
      <c r="F53" s="24" t="s">
        <v>295</v>
      </c>
      <c r="G53">
        <v>22</v>
      </c>
      <c r="H53" t="s">
        <v>275</v>
      </c>
      <c r="I53" s="22" t="s">
        <v>293</v>
      </c>
      <c r="J53" s="22">
        <v>1077971301</v>
      </c>
      <c r="K53" t="s">
        <v>277</v>
      </c>
      <c r="L53" t="s">
        <v>296</v>
      </c>
      <c r="M53">
        <v>9</v>
      </c>
      <c r="N53">
        <v>3</v>
      </c>
      <c r="O53">
        <v>3</v>
      </c>
      <c r="P53" t="s">
        <v>279</v>
      </c>
      <c r="Q53" s="29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280</v>
      </c>
      <c r="X53" t="s">
        <v>281</v>
      </c>
      <c r="AP53" s="41"/>
    </row>
    <row r="54" spans="5:42" x14ac:dyDescent="0.25">
      <c r="E54" s="24" t="s">
        <v>273</v>
      </c>
      <c r="F54" s="24" t="s">
        <v>297</v>
      </c>
      <c r="G54">
        <v>1</v>
      </c>
      <c r="H54" t="s">
        <v>275</v>
      </c>
      <c r="I54" s="22" t="s">
        <v>293</v>
      </c>
      <c r="J54" s="22">
        <v>1077486401</v>
      </c>
      <c r="K54" t="s">
        <v>277</v>
      </c>
      <c r="L54" t="s">
        <v>296</v>
      </c>
      <c r="M54">
        <v>9</v>
      </c>
      <c r="N54">
        <v>1</v>
      </c>
      <c r="O54">
        <v>1</v>
      </c>
      <c r="P54" t="s">
        <v>279</v>
      </c>
      <c r="Q54" s="29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280</v>
      </c>
      <c r="X54" t="s">
        <v>281</v>
      </c>
      <c r="Y54">
        <v>3</v>
      </c>
      <c r="Z54">
        <v>709196</v>
      </c>
      <c r="AA54">
        <v>0</v>
      </c>
      <c r="AB54">
        <v>0</v>
      </c>
      <c r="AC54">
        <v>709196</v>
      </c>
      <c r="AP54" s="41"/>
    </row>
    <row r="55" spans="5:42" x14ac:dyDescent="0.25">
      <c r="E55" s="24" t="s">
        <v>273</v>
      </c>
      <c r="F55" s="24" t="s">
        <v>297</v>
      </c>
      <c r="G55">
        <v>2</v>
      </c>
      <c r="H55" t="s">
        <v>275</v>
      </c>
      <c r="I55" s="22" t="s">
        <v>293</v>
      </c>
      <c r="J55" s="22">
        <v>1076803201</v>
      </c>
      <c r="K55" t="s">
        <v>277</v>
      </c>
      <c r="L55" t="s">
        <v>296</v>
      </c>
      <c r="M55">
        <v>9</v>
      </c>
      <c r="N55">
        <v>7</v>
      </c>
      <c r="O55">
        <v>7</v>
      </c>
      <c r="P55" t="s">
        <v>279</v>
      </c>
      <c r="Q55" s="29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280</v>
      </c>
      <c r="X55" t="s">
        <v>281</v>
      </c>
      <c r="AP55" s="41"/>
    </row>
    <row r="56" spans="5:42" x14ac:dyDescent="0.25">
      <c r="E56" s="24" t="s">
        <v>273</v>
      </c>
      <c r="F56" s="24" t="s">
        <v>297</v>
      </c>
      <c r="G56">
        <v>3</v>
      </c>
      <c r="H56" t="s">
        <v>275</v>
      </c>
      <c r="I56" s="22" t="s">
        <v>293</v>
      </c>
      <c r="J56" s="22">
        <v>1076214601</v>
      </c>
      <c r="K56" t="s">
        <v>277</v>
      </c>
      <c r="L56" t="s">
        <v>296</v>
      </c>
      <c r="M56">
        <v>9</v>
      </c>
      <c r="N56">
        <v>3</v>
      </c>
      <c r="O56">
        <v>3</v>
      </c>
      <c r="P56" t="s">
        <v>279</v>
      </c>
      <c r="Q56" s="29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280</v>
      </c>
      <c r="X56" t="s">
        <v>281</v>
      </c>
      <c r="AP56" s="41"/>
    </row>
    <row r="57" spans="5:42" x14ac:dyDescent="0.25">
      <c r="E57" s="24" t="s">
        <v>273</v>
      </c>
      <c r="F57" s="24" t="s">
        <v>297</v>
      </c>
      <c r="G57">
        <v>4</v>
      </c>
      <c r="H57" t="s">
        <v>275</v>
      </c>
      <c r="I57" s="22" t="s">
        <v>293</v>
      </c>
      <c r="J57" s="22">
        <v>1068859001</v>
      </c>
      <c r="K57" t="s">
        <v>277</v>
      </c>
      <c r="L57" t="s">
        <v>296</v>
      </c>
      <c r="M57">
        <v>9</v>
      </c>
      <c r="N57">
        <v>1</v>
      </c>
      <c r="O57">
        <v>1</v>
      </c>
      <c r="P57" t="s">
        <v>279</v>
      </c>
      <c r="Q57" s="29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280</v>
      </c>
      <c r="X57" t="s">
        <v>281</v>
      </c>
      <c r="AP57" s="41"/>
    </row>
    <row r="58" spans="5:42" x14ac:dyDescent="0.25">
      <c r="E58" s="24" t="s">
        <v>273</v>
      </c>
      <c r="F58" s="24" t="s">
        <v>297</v>
      </c>
      <c r="G58">
        <v>5</v>
      </c>
      <c r="H58" t="s">
        <v>275</v>
      </c>
      <c r="I58" s="22" t="s">
        <v>293</v>
      </c>
      <c r="J58" s="22">
        <v>1069405201</v>
      </c>
      <c r="K58" t="s">
        <v>277</v>
      </c>
      <c r="L58" t="s">
        <v>296</v>
      </c>
      <c r="M58">
        <v>9</v>
      </c>
      <c r="N58">
        <v>3</v>
      </c>
      <c r="O58">
        <v>3</v>
      </c>
      <c r="P58" t="s">
        <v>279</v>
      </c>
      <c r="Q58" s="29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280</v>
      </c>
      <c r="X58" t="s">
        <v>281</v>
      </c>
      <c r="AP58" s="41"/>
    </row>
    <row r="59" spans="5:42" x14ac:dyDescent="0.25">
      <c r="E59" s="24" t="s">
        <v>273</v>
      </c>
      <c r="F59" s="24" t="s">
        <v>297</v>
      </c>
      <c r="G59">
        <v>6</v>
      </c>
      <c r="H59" t="s">
        <v>275</v>
      </c>
      <c r="I59" s="22" t="s">
        <v>293</v>
      </c>
      <c r="J59" s="22">
        <v>1070038601</v>
      </c>
      <c r="K59" t="s">
        <v>277</v>
      </c>
      <c r="L59" t="s">
        <v>296</v>
      </c>
      <c r="M59">
        <v>9</v>
      </c>
      <c r="N59">
        <v>1</v>
      </c>
      <c r="O59">
        <v>1</v>
      </c>
      <c r="P59" t="s">
        <v>279</v>
      </c>
      <c r="Q59" s="29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280</v>
      </c>
      <c r="X59" t="s">
        <v>281</v>
      </c>
      <c r="AP59" s="41"/>
    </row>
    <row r="60" spans="5:42" x14ac:dyDescent="0.25">
      <c r="E60" s="24" t="s">
        <v>273</v>
      </c>
      <c r="F60" s="24" t="s">
        <v>297</v>
      </c>
      <c r="G60">
        <v>7</v>
      </c>
      <c r="H60" t="s">
        <v>275</v>
      </c>
      <c r="I60" s="22" t="s">
        <v>293</v>
      </c>
      <c r="J60" s="22">
        <v>1070438501</v>
      </c>
      <c r="K60" t="s">
        <v>277</v>
      </c>
      <c r="L60" t="s">
        <v>296</v>
      </c>
      <c r="M60">
        <v>9</v>
      </c>
      <c r="N60">
        <v>2</v>
      </c>
      <c r="O60">
        <v>2</v>
      </c>
      <c r="P60" t="s">
        <v>279</v>
      </c>
      <c r="Q60" s="29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280</v>
      </c>
      <c r="X60" t="s">
        <v>281</v>
      </c>
      <c r="AP60" s="41"/>
    </row>
    <row r="61" spans="5:42" x14ac:dyDescent="0.25">
      <c r="E61" s="24" t="s">
        <v>273</v>
      </c>
      <c r="F61" s="24" t="s">
        <v>297</v>
      </c>
      <c r="G61">
        <v>8</v>
      </c>
      <c r="H61" t="s">
        <v>275</v>
      </c>
      <c r="I61" s="22" t="s">
        <v>293</v>
      </c>
      <c r="J61" s="22">
        <v>1070836901</v>
      </c>
      <c r="K61" t="s">
        <v>277</v>
      </c>
      <c r="L61" t="s">
        <v>296</v>
      </c>
      <c r="M61">
        <v>9</v>
      </c>
      <c r="N61">
        <v>14</v>
      </c>
      <c r="O61">
        <v>14</v>
      </c>
      <c r="P61" t="s">
        <v>279</v>
      </c>
      <c r="Q61" s="29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280</v>
      </c>
      <c r="X61" t="s">
        <v>281</v>
      </c>
      <c r="AP61" s="41"/>
    </row>
    <row r="62" spans="5:42" x14ac:dyDescent="0.25">
      <c r="E62" s="24" t="s">
        <v>273</v>
      </c>
      <c r="F62" s="24" t="s">
        <v>297</v>
      </c>
      <c r="G62">
        <v>9</v>
      </c>
      <c r="H62" t="s">
        <v>275</v>
      </c>
      <c r="I62" s="22" t="s">
        <v>293</v>
      </c>
      <c r="J62" s="22">
        <v>1071622001</v>
      </c>
      <c r="K62" t="s">
        <v>277</v>
      </c>
      <c r="L62" t="s">
        <v>296</v>
      </c>
      <c r="M62">
        <v>9</v>
      </c>
      <c r="N62">
        <v>10</v>
      </c>
      <c r="O62">
        <v>10</v>
      </c>
      <c r="P62" t="s">
        <v>279</v>
      </c>
      <c r="Q62" s="29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280</v>
      </c>
      <c r="X62" t="s">
        <v>281</v>
      </c>
      <c r="AP62" s="41"/>
    </row>
    <row r="63" spans="5:42" x14ac:dyDescent="0.25">
      <c r="E63" s="24" t="s">
        <v>273</v>
      </c>
      <c r="F63" s="24" t="s">
        <v>297</v>
      </c>
      <c r="G63">
        <v>10</v>
      </c>
      <c r="H63" t="s">
        <v>275</v>
      </c>
      <c r="I63" s="22" t="s">
        <v>293</v>
      </c>
      <c r="J63" s="22">
        <v>1071143801</v>
      </c>
      <c r="K63" t="s">
        <v>277</v>
      </c>
      <c r="L63" t="s">
        <v>296</v>
      </c>
      <c r="M63">
        <v>9</v>
      </c>
      <c r="N63">
        <v>8</v>
      </c>
      <c r="O63">
        <v>8</v>
      </c>
      <c r="P63" t="s">
        <v>279</v>
      </c>
      <c r="Q63" s="29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280</v>
      </c>
      <c r="X63" t="s">
        <v>281</v>
      </c>
      <c r="AP63" s="41"/>
    </row>
    <row r="64" spans="5:42" x14ac:dyDescent="0.25">
      <c r="E64" s="24" t="s">
        <v>273</v>
      </c>
      <c r="F64" s="24" t="s">
        <v>297</v>
      </c>
      <c r="G64">
        <v>11</v>
      </c>
      <c r="H64" t="s">
        <v>275</v>
      </c>
      <c r="I64" s="22" t="s">
        <v>293</v>
      </c>
      <c r="J64" s="22">
        <v>1070684701</v>
      </c>
      <c r="K64" t="s">
        <v>277</v>
      </c>
      <c r="L64" t="s">
        <v>296</v>
      </c>
      <c r="M64">
        <v>9</v>
      </c>
      <c r="N64">
        <v>9</v>
      </c>
      <c r="O64">
        <v>9</v>
      </c>
      <c r="P64" t="s">
        <v>279</v>
      </c>
      <c r="Q64" s="29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280</v>
      </c>
      <c r="X64" t="s">
        <v>281</v>
      </c>
      <c r="AP64" s="41"/>
    </row>
    <row r="65" spans="5:42" x14ac:dyDescent="0.25">
      <c r="E65" s="24" t="s">
        <v>273</v>
      </c>
      <c r="F65" s="24" t="s">
        <v>297</v>
      </c>
      <c r="G65">
        <v>12</v>
      </c>
      <c r="H65" t="s">
        <v>275</v>
      </c>
      <c r="I65" s="22" t="s">
        <v>293</v>
      </c>
      <c r="J65" s="22">
        <v>1070186801</v>
      </c>
      <c r="K65" t="s">
        <v>277</v>
      </c>
      <c r="L65" t="s">
        <v>296</v>
      </c>
      <c r="M65">
        <v>9</v>
      </c>
      <c r="N65">
        <v>8</v>
      </c>
      <c r="O65">
        <v>8</v>
      </c>
      <c r="P65" t="s">
        <v>279</v>
      </c>
      <c r="Q65" s="29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280</v>
      </c>
      <c r="X65" t="s">
        <v>281</v>
      </c>
      <c r="AP65" s="41"/>
    </row>
    <row r="66" spans="5:42" x14ac:dyDescent="0.25">
      <c r="E66" s="24" t="s">
        <v>273</v>
      </c>
      <c r="F66" s="24" t="s">
        <v>297</v>
      </c>
      <c r="G66">
        <v>13</v>
      </c>
      <c r="H66" t="s">
        <v>275</v>
      </c>
      <c r="I66" s="22" t="s">
        <v>293</v>
      </c>
      <c r="J66" s="22">
        <v>1069652401</v>
      </c>
      <c r="K66" t="s">
        <v>277</v>
      </c>
      <c r="L66" t="s">
        <v>296</v>
      </c>
      <c r="M66">
        <v>9</v>
      </c>
      <c r="N66">
        <v>4</v>
      </c>
      <c r="O66">
        <v>4</v>
      </c>
      <c r="P66" t="s">
        <v>279</v>
      </c>
      <c r="Q66" s="29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280</v>
      </c>
      <c r="X66" t="s">
        <v>281</v>
      </c>
      <c r="AP66" s="41"/>
    </row>
    <row r="67" spans="5:42" x14ac:dyDescent="0.25">
      <c r="E67" s="24" t="s">
        <v>273</v>
      </c>
      <c r="F67" s="24" t="s">
        <v>297</v>
      </c>
      <c r="G67">
        <v>14</v>
      </c>
      <c r="H67" t="s">
        <v>275</v>
      </c>
      <c r="I67" s="22" t="s">
        <v>293</v>
      </c>
      <c r="J67" s="22">
        <v>1069154101</v>
      </c>
      <c r="K67" t="s">
        <v>277</v>
      </c>
      <c r="L67" t="s">
        <v>296</v>
      </c>
      <c r="M67">
        <v>9</v>
      </c>
      <c r="N67">
        <v>5</v>
      </c>
      <c r="O67">
        <v>5</v>
      </c>
      <c r="P67" t="s">
        <v>279</v>
      </c>
      <c r="Q67" s="29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280</v>
      </c>
      <c r="X67" t="s">
        <v>281</v>
      </c>
      <c r="AP67" s="41"/>
    </row>
    <row r="68" spans="5:42" x14ac:dyDescent="0.25">
      <c r="E68" s="24" t="s">
        <v>273</v>
      </c>
      <c r="F68" s="24" t="s">
        <v>297</v>
      </c>
      <c r="G68">
        <v>15</v>
      </c>
      <c r="H68" t="s">
        <v>275</v>
      </c>
      <c r="I68" s="22" t="s">
        <v>293</v>
      </c>
      <c r="J68" s="22">
        <v>1068208301</v>
      </c>
      <c r="K68" t="s">
        <v>277</v>
      </c>
      <c r="L68" t="s">
        <v>296</v>
      </c>
      <c r="M68">
        <v>9</v>
      </c>
      <c r="N68">
        <v>1</v>
      </c>
      <c r="O68">
        <v>1</v>
      </c>
      <c r="P68" t="s">
        <v>279</v>
      </c>
      <c r="Q68" s="29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280</v>
      </c>
      <c r="X68" t="s">
        <v>281</v>
      </c>
      <c r="AP68" s="41"/>
    </row>
    <row r="69" spans="5:42" x14ac:dyDescent="0.25">
      <c r="E69" s="24" t="s">
        <v>273</v>
      </c>
      <c r="F69" s="24" t="s">
        <v>297</v>
      </c>
      <c r="G69">
        <v>16</v>
      </c>
      <c r="H69" t="s">
        <v>275</v>
      </c>
      <c r="I69" s="22" t="s">
        <v>293</v>
      </c>
      <c r="J69" s="22">
        <v>1068419001</v>
      </c>
      <c r="K69" t="s">
        <v>277</v>
      </c>
      <c r="L69" t="s">
        <v>296</v>
      </c>
      <c r="M69">
        <v>9</v>
      </c>
      <c r="N69">
        <v>6</v>
      </c>
      <c r="O69">
        <v>6</v>
      </c>
      <c r="P69" t="s">
        <v>279</v>
      </c>
      <c r="Q69" s="29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280</v>
      </c>
      <c r="X69" t="s">
        <v>281</v>
      </c>
      <c r="AP69" s="41"/>
    </row>
    <row r="70" spans="5:42" x14ac:dyDescent="0.25">
      <c r="E70" s="24" t="s">
        <v>273</v>
      </c>
      <c r="F70" s="24" t="s">
        <v>297</v>
      </c>
      <c r="G70">
        <v>17</v>
      </c>
      <c r="H70" t="s">
        <v>275</v>
      </c>
      <c r="I70" s="22" t="s">
        <v>293</v>
      </c>
      <c r="J70" s="22">
        <v>1063943301</v>
      </c>
      <c r="K70" t="s">
        <v>277</v>
      </c>
      <c r="L70" t="s">
        <v>296</v>
      </c>
      <c r="M70">
        <v>9</v>
      </c>
      <c r="N70">
        <v>17</v>
      </c>
      <c r="O70">
        <v>17</v>
      </c>
      <c r="P70" t="s">
        <v>279</v>
      </c>
      <c r="Q70" s="29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280</v>
      </c>
      <c r="X70" t="s">
        <v>281</v>
      </c>
      <c r="AP70" s="41"/>
    </row>
    <row r="71" spans="5:42" x14ac:dyDescent="0.25">
      <c r="E71" s="24" t="s">
        <v>273</v>
      </c>
      <c r="F71" s="24" t="s">
        <v>297</v>
      </c>
      <c r="G71">
        <v>18</v>
      </c>
      <c r="H71" t="s">
        <v>275</v>
      </c>
      <c r="I71" s="22" t="s">
        <v>293</v>
      </c>
      <c r="J71" s="22">
        <v>1064526301</v>
      </c>
      <c r="K71" t="s">
        <v>277</v>
      </c>
      <c r="L71" t="s">
        <v>296</v>
      </c>
      <c r="M71">
        <v>9</v>
      </c>
      <c r="N71">
        <v>7</v>
      </c>
      <c r="O71">
        <v>7</v>
      </c>
      <c r="P71" t="s">
        <v>279</v>
      </c>
      <c r="Q71" s="29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280</v>
      </c>
      <c r="X71" t="s">
        <v>281</v>
      </c>
      <c r="AP71" s="41"/>
    </row>
    <row r="72" spans="5:42" x14ac:dyDescent="0.25">
      <c r="E72" s="24" t="s">
        <v>273</v>
      </c>
      <c r="F72" s="24" t="s">
        <v>297</v>
      </c>
      <c r="G72">
        <v>19</v>
      </c>
      <c r="H72" t="s">
        <v>275</v>
      </c>
      <c r="I72" s="22" t="s">
        <v>293</v>
      </c>
      <c r="J72" s="22">
        <v>1065097301</v>
      </c>
      <c r="K72" t="s">
        <v>277</v>
      </c>
      <c r="L72" t="s">
        <v>296</v>
      </c>
      <c r="M72">
        <v>9</v>
      </c>
      <c r="N72">
        <v>2</v>
      </c>
      <c r="O72">
        <v>2</v>
      </c>
      <c r="P72" t="s">
        <v>279</v>
      </c>
      <c r="Q72" s="29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280</v>
      </c>
      <c r="X72" t="s">
        <v>281</v>
      </c>
      <c r="AP72" s="41"/>
    </row>
    <row r="73" spans="5:42" x14ac:dyDescent="0.25">
      <c r="E73" s="24" t="s">
        <v>273</v>
      </c>
      <c r="F73" s="24" t="s">
        <v>297</v>
      </c>
      <c r="G73">
        <v>20</v>
      </c>
      <c r="H73" t="s">
        <v>275</v>
      </c>
      <c r="I73" s="22" t="s">
        <v>293</v>
      </c>
      <c r="J73" s="22">
        <v>1065385001</v>
      </c>
      <c r="K73" t="s">
        <v>277</v>
      </c>
      <c r="L73" t="s">
        <v>296</v>
      </c>
      <c r="M73">
        <v>9</v>
      </c>
      <c r="N73">
        <v>1</v>
      </c>
      <c r="O73">
        <v>1</v>
      </c>
      <c r="P73" t="s">
        <v>279</v>
      </c>
      <c r="Q73" s="29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280</v>
      </c>
      <c r="X73" t="s">
        <v>281</v>
      </c>
      <c r="AP73" s="41"/>
    </row>
    <row r="74" spans="5:42" x14ac:dyDescent="0.25">
      <c r="E74" s="24" t="s">
        <v>273</v>
      </c>
      <c r="F74" s="24" t="s">
        <v>297</v>
      </c>
      <c r="G74">
        <v>21</v>
      </c>
      <c r="H74" t="s">
        <v>275</v>
      </c>
      <c r="I74" s="22" t="s">
        <v>293</v>
      </c>
      <c r="J74" s="22">
        <v>1064074601</v>
      </c>
      <c r="K74" t="s">
        <v>277</v>
      </c>
      <c r="L74" t="s">
        <v>296</v>
      </c>
      <c r="M74">
        <v>9</v>
      </c>
      <c r="N74">
        <v>4</v>
      </c>
      <c r="O74">
        <v>4</v>
      </c>
      <c r="P74" t="s">
        <v>279</v>
      </c>
      <c r="Q74" s="29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280</v>
      </c>
      <c r="X74" t="s">
        <v>281</v>
      </c>
      <c r="AP74" s="41"/>
    </row>
    <row r="75" spans="5:42" x14ac:dyDescent="0.25">
      <c r="E75" s="24" t="s">
        <v>273</v>
      </c>
      <c r="F75" s="24" t="s">
        <v>297</v>
      </c>
      <c r="G75">
        <v>22</v>
      </c>
      <c r="H75" t="s">
        <v>275</v>
      </c>
      <c r="I75" s="22" t="s">
        <v>293</v>
      </c>
      <c r="J75" s="22">
        <v>1061892701</v>
      </c>
      <c r="K75" t="s">
        <v>277</v>
      </c>
      <c r="L75" t="s">
        <v>296</v>
      </c>
      <c r="M75">
        <v>9</v>
      </c>
      <c r="N75">
        <v>10</v>
      </c>
      <c r="O75">
        <v>10</v>
      </c>
      <c r="P75" t="s">
        <v>279</v>
      </c>
      <c r="Q75" s="29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280</v>
      </c>
      <c r="X75" t="s">
        <v>281</v>
      </c>
      <c r="AP75" s="41"/>
    </row>
    <row r="76" spans="5:42" x14ac:dyDescent="0.25">
      <c r="E76" s="24" t="s">
        <v>273</v>
      </c>
      <c r="F76" s="24" t="s">
        <v>298</v>
      </c>
      <c r="G76">
        <v>1</v>
      </c>
      <c r="H76" t="s">
        <v>275</v>
      </c>
      <c r="I76" s="22" t="s">
        <v>293</v>
      </c>
      <c r="J76" s="22">
        <v>1072507601</v>
      </c>
      <c r="K76" t="s">
        <v>277</v>
      </c>
      <c r="L76" t="s">
        <v>296</v>
      </c>
      <c r="M76">
        <v>9</v>
      </c>
      <c r="N76">
        <v>4</v>
      </c>
      <c r="O76">
        <v>4</v>
      </c>
      <c r="P76" t="s">
        <v>279</v>
      </c>
      <c r="Q76" s="29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280</v>
      </c>
      <c r="X76" t="s">
        <v>281</v>
      </c>
      <c r="Y76">
        <v>3</v>
      </c>
      <c r="Z76">
        <v>743621</v>
      </c>
      <c r="AA76">
        <v>0</v>
      </c>
      <c r="AB76">
        <v>0</v>
      </c>
      <c r="AC76">
        <v>743621</v>
      </c>
      <c r="AP76" s="41"/>
    </row>
    <row r="77" spans="5:42" x14ac:dyDescent="0.25">
      <c r="E77" s="24" t="s">
        <v>273</v>
      </c>
      <c r="F77" s="24" t="s">
        <v>298</v>
      </c>
      <c r="G77">
        <v>2</v>
      </c>
      <c r="H77" t="s">
        <v>275</v>
      </c>
      <c r="I77" s="22" t="s">
        <v>293</v>
      </c>
      <c r="J77" s="22">
        <v>1073500501</v>
      </c>
      <c r="K77" t="s">
        <v>277</v>
      </c>
      <c r="L77" t="s">
        <v>296</v>
      </c>
      <c r="M77">
        <v>9</v>
      </c>
      <c r="N77">
        <v>2</v>
      </c>
      <c r="O77">
        <v>2</v>
      </c>
      <c r="P77" t="s">
        <v>279</v>
      </c>
      <c r="Q77" s="29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280</v>
      </c>
      <c r="X77" t="s">
        <v>281</v>
      </c>
      <c r="AP77" s="41"/>
    </row>
    <row r="78" spans="5:42" x14ac:dyDescent="0.25">
      <c r="E78" s="24" t="s">
        <v>273</v>
      </c>
      <c r="F78" s="24" t="s">
        <v>298</v>
      </c>
      <c r="G78">
        <v>3</v>
      </c>
      <c r="H78" t="s">
        <v>275</v>
      </c>
      <c r="I78" s="22" t="s">
        <v>293</v>
      </c>
      <c r="J78" s="22">
        <v>1073221801</v>
      </c>
      <c r="K78" t="s">
        <v>277</v>
      </c>
      <c r="L78" t="s">
        <v>296</v>
      </c>
      <c r="M78">
        <v>9</v>
      </c>
      <c r="N78">
        <v>2</v>
      </c>
      <c r="O78">
        <v>2</v>
      </c>
      <c r="P78" t="s">
        <v>279</v>
      </c>
      <c r="Q78" s="29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280</v>
      </c>
      <c r="X78" t="s">
        <v>281</v>
      </c>
      <c r="AP78" s="41"/>
    </row>
    <row r="79" spans="5:42" x14ac:dyDescent="0.25">
      <c r="E79" s="24" t="s">
        <v>273</v>
      </c>
      <c r="F79" s="24" t="s">
        <v>298</v>
      </c>
      <c r="G79">
        <v>4</v>
      </c>
      <c r="H79" t="s">
        <v>275</v>
      </c>
      <c r="I79" s="22" t="s">
        <v>293</v>
      </c>
      <c r="J79" s="22">
        <v>1074018801</v>
      </c>
      <c r="K79" t="s">
        <v>277</v>
      </c>
      <c r="L79" t="s">
        <v>296</v>
      </c>
      <c r="M79">
        <v>9</v>
      </c>
      <c r="N79">
        <v>2</v>
      </c>
      <c r="O79">
        <v>2</v>
      </c>
      <c r="P79" t="s">
        <v>279</v>
      </c>
      <c r="Q79" s="29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280</v>
      </c>
      <c r="X79" t="s">
        <v>281</v>
      </c>
      <c r="AP79" s="41"/>
    </row>
    <row r="80" spans="5:42" x14ac:dyDescent="0.25">
      <c r="E80" s="24" t="s">
        <v>273</v>
      </c>
      <c r="F80" s="24" t="s">
        <v>298</v>
      </c>
      <c r="G80">
        <v>5</v>
      </c>
      <c r="H80" t="s">
        <v>275</v>
      </c>
      <c r="I80" s="22" t="s">
        <v>293</v>
      </c>
      <c r="J80" s="22">
        <v>1074810801</v>
      </c>
      <c r="K80" t="s">
        <v>277</v>
      </c>
      <c r="L80" t="s">
        <v>296</v>
      </c>
      <c r="M80">
        <v>9</v>
      </c>
      <c r="N80">
        <v>3</v>
      </c>
      <c r="O80">
        <v>3</v>
      </c>
      <c r="P80" t="s">
        <v>279</v>
      </c>
      <c r="Q80" s="29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280</v>
      </c>
      <c r="X80" t="s">
        <v>281</v>
      </c>
      <c r="AP80" s="41"/>
    </row>
    <row r="81" spans="5:42" x14ac:dyDescent="0.25">
      <c r="E81" s="24" t="s">
        <v>273</v>
      </c>
      <c r="F81" s="24" t="s">
        <v>298</v>
      </c>
      <c r="G81">
        <v>6</v>
      </c>
      <c r="H81" t="s">
        <v>275</v>
      </c>
      <c r="I81" s="22" t="s">
        <v>293</v>
      </c>
      <c r="J81" s="22">
        <v>1075350101</v>
      </c>
      <c r="K81" t="s">
        <v>277</v>
      </c>
      <c r="L81" t="s">
        <v>296</v>
      </c>
      <c r="M81">
        <v>9</v>
      </c>
      <c r="N81">
        <v>8</v>
      </c>
      <c r="O81">
        <v>8</v>
      </c>
      <c r="P81" t="s">
        <v>279</v>
      </c>
      <c r="Q81" s="29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280</v>
      </c>
      <c r="X81" t="s">
        <v>281</v>
      </c>
      <c r="AP81" s="41"/>
    </row>
    <row r="82" spans="5:42" x14ac:dyDescent="0.25">
      <c r="E82" s="24" t="s">
        <v>273</v>
      </c>
      <c r="F82" s="24" t="s">
        <v>298</v>
      </c>
      <c r="G82">
        <v>7</v>
      </c>
      <c r="H82" t="s">
        <v>275</v>
      </c>
      <c r="I82" s="22" t="s">
        <v>293</v>
      </c>
      <c r="J82" s="22">
        <v>1075886401</v>
      </c>
      <c r="K82" t="s">
        <v>277</v>
      </c>
      <c r="L82" t="s">
        <v>296</v>
      </c>
      <c r="M82">
        <v>9</v>
      </c>
      <c r="N82">
        <v>2</v>
      </c>
      <c r="O82">
        <v>2</v>
      </c>
      <c r="P82" t="s">
        <v>279</v>
      </c>
      <c r="Q82" s="29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280</v>
      </c>
      <c r="X82" t="s">
        <v>281</v>
      </c>
      <c r="AP82" s="41"/>
    </row>
    <row r="83" spans="5:42" x14ac:dyDescent="0.25">
      <c r="E83" s="24" t="s">
        <v>273</v>
      </c>
      <c r="F83" s="24" t="s">
        <v>298</v>
      </c>
      <c r="G83">
        <v>8</v>
      </c>
      <c r="H83" t="s">
        <v>275</v>
      </c>
      <c r="I83" s="22" t="s">
        <v>293</v>
      </c>
      <c r="J83" s="22">
        <v>1076435901</v>
      </c>
      <c r="K83" t="s">
        <v>277</v>
      </c>
      <c r="L83" t="s">
        <v>296</v>
      </c>
      <c r="M83">
        <v>9</v>
      </c>
      <c r="N83">
        <v>3</v>
      </c>
      <c r="O83">
        <v>3</v>
      </c>
      <c r="P83" t="s">
        <v>279</v>
      </c>
      <c r="Q83" s="29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280</v>
      </c>
      <c r="X83" t="s">
        <v>281</v>
      </c>
      <c r="AP83" s="41"/>
    </row>
    <row r="84" spans="5:42" x14ac:dyDescent="0.25">
      <c r="E84" s="24" t="s">
        <v>273</v>
      </c>
      <c r="F84" s="24" t="s">
        <v>298</v>
      </c>
      <c r="G84">
        <v>9</v>
      </c>
      <c r="H84" t="s">
        <v>275</v>
      </c>
      <c r="I84" s="22" t="s">
        <v>293</v>
      </c>
      <c r="J84" s="22">
        <v>1076974601</v>
      </c>
      <c r="K84" t="s">
        <v>277</v>
      </c>
      <c r="L84" t="s">
        <v>296</v>
      </c>
      <c r="M84">
        <v>9</v>
      </c>
      <c r="N84">
        <v>4</v>
      </c>
      <c r="O84">
        <v>4</v>
      </c>
      <c r="P84" t="s">
        <v>279</v>
      </c>
      <c r="Q84" s="29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280</v>
      </c>
      <c r="X84" t="s">
        <v>281</v>
      </c>
      <c r="AP84" s="41"/>
    </row>
    <row r="85" spans="5:42" x14ac:dyDescent="0.25">
      <c r="E85" s="24" t="s">
        <v>273</v>
      </c>
      <c r="F85" s="24" t="s">
        <v>298</v>
      </c>
      <c r="G85">
        <v>10</v>
      </c>
      <c r="H85" t="s">
        <v>275</v>
      </c>
      <c r="I85" s="22" t="s">
        <v>293</v>
      </c>
      <c r="J85" s="22">
        <v>1077647001</v>
      </c>
      <c r="K85" t="s">
        <v>277</v>
      </c>
      <c r="L85" t="s">
        <v>296</v>
      </c>
      <c r="M85">
        <v>9</v>
      </c>
      <c r="N85">
        <v>11</v>
      </c>
      <c r="O85">
        <v>11</v>
      </c>
      <c r="P85" t="s">
        <v>279</v>
      </c>
      <c r="Q85" s="29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280</v>
      </c>
      <c r="X85" t="s">
        <v>281</v>
      </c>
      <c r="AP85" s="41"/>
    </row>
    <row r="86" spans="5:42" x14ac:dyDescent="0.25">
      <c r="E86" s="24" t="s">
        <v>273</v>
      </c>
      <c r="F86" s="24" t="s">
        <v>298</v>
      </c>
      <c r="G86">
        <v>11</v>
      </c>
      <c r="H86" t="s">
        <v>275</v>
      </c>
      <c r="I86" s="22" t="s">
        <v>293</v>
      </c>
      <c r="J86" s="22">
        <v>1078146001</v>
      </c>
      <c r="K86" t="s">
        <v>277</v>
      </c>
      <c r="L86" t="s">
        <v>296</v>
      </c>
      <c r="M86">
        <v>9</v>
      </c>
      <c r="N86">
        <v>11</v>
      </c>
      <c r="O86">
        <v>11</v>
      </c>
      <c r="P86" t="s">
        <v>279</v>
      </c>
      <c r="Q86" s="29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280</v>
      </c>
      <c r="X86" t="s">
        <v>281</v>
      </c>
      <c r="AP86" s="41"/>
    </row>
    <row r="87" spans="5:42" x14ac:dyDescent="0.25">
      <c r="E87" s="24" t="s">
        <v>273</v>
      </c>
      <c r="F87" s="24" t="s">
        <v>298</v>
      </c>
      <c r="G87">
        <v>12</v>
      </c>
      <c r="H87" t="s">
        <v>275</v>
      </c>
      <c r="I87" s="22" t="s">
        <v>293</v>
      </c>
      <c r="J87" s="22">
        <v>1074489801</v>
      </c>
      <c r="K87" t="s">
        <v>277</v>
      </c>
      <c r="L87" t="s">
        <v>296</v>
      </c>
      <c r="M87">
        <v>9</v>
      </c>
      <c r="N87">
        <v>4</v>
      </c>
      <c r="O87">
        <v>4</v>
      </c>
      <c r="P87" t="s">
        <v>279</v>
      </c>
      <c r="Q87" s="29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280</v>
      </c>
      <c r="X87" t="s">
        <v>281</v>
      </c>
      <c r="AP87" s="41"/>
    </row>
    <row r="88" spans="5:42" x14ac:dyDescent="0.25">
      <c r="E88" s="24" t="s">
        <v>273</v>
      </c>
      <c r="F88" s="24" t="s">
        <v>298</v>
      </c>
      <c r="G88">
        <v>13</v>
      </c>
      <c r="H88" t="s">
        <v>275</v>
      </c>
      <c r="I88" s="22" t="s">
        <v>276</v>
      </c>
      <c r="J88" s="22">
        <v>1071814201</v>
      </c>
      <c r="K88" t="s">
        <v>277</v>
      </c>
      <c r="L88" t="s">
        <v>299</v>
      </c>
      <c r="M88">
        <v>9</v>
      </c>
      <c r="N88">
        <v>18</v>
      </c>
      <c r="O88">
        <v>18</v>
      </c>
      <c r="P88" t="s">
        <v>279</v>
      </c>
      <c r="Q88" s="29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280</v>
      </c>
      <c r="X88" t="s">
        <v>281</v>
      </c>
      <c r="AP88" s="41"/>
    </row>
    <row r="89" spans="5:42" x14ac:dyDescent="0.25">
      <c r="E89" s="24" t="s">
        <v>273</v>
      </c>
      <c r="F89" s="24" t="s">
        <v>298</v>
      </c>
      <c r="G89">
        <v>14</v>
      </c>
      <c r="H89" t="s">
        <v>275</v>
      </c>
      <c r="I89" s="22" t="s">
        <v>276</v>
      </c>
      <c r="J89" s="22">
        <v>1077403601</v>
      </c>
      <c r="K89" t="s">
        <v>277</v>
      </c>
      <c r="L89" t="s">
        <v>299</v>
      </c>
      <c r="M89">
        <v>9</v>
      </c>
      <c r="N89">
        <v>8</v>
      </c>
      <c r="O89">
        <v>8</v>
      </c>
      <c r="P89" t="s">
        <v>279</v>
      </c>
      <c r="Q89" s="29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280</v>
      </c>
      <c r="X89" t="s">
        <v>281</v>
      </c>
      <c r="AP89" s="41"/>
    </row>
    <row r="90" spans="5:42" x14ac:dyDescent="0.25">
      <c r="E90" s="24" t="s">
        <v>273</v>
      </c>
      <c r="F90" s="24" t="s">
        <v>298</v>
      </c>
      <c r="G90">
        <v>15</v>
      </c>
      <c r="H90" t="s">
        <v>275</v>
      </c>
      <c r="I90" s="22" t="s">
        <v>276</v>
      </c>
      <c r="J90" s="22">
        <v>1075076001</v>
      </c>
      <c r="K90" t="s">
        <v>277</v>
      </c>
      <c r="L90" t="s">
        <v>299</v>
      </c>
      <c r="M90">
        <v>9</v>
      </c>
      <c r="N90">
        <v>4</v>
      </c>
      <c r="O90">
        <v>4</v>
      </c>
      <c r="P90" t="s">
        <v>279</v>
      </c>
      <c r="Q90" s="29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280</v>
      </c>
      <c r="X90" t="s">
        <v>281</v>
      </c>
      <c r="AP90" s="41"/>
    </row>
    <row r="91" spans="5:42" x14ac:dyDescent="0.25">
      <c r="E91" s="24" t="s">
        <v>273</v>
      </c>
      <c r="F91" s="24" t="s">
        <v>298</v>
      </c>
      <c r="G91">
        <v>16</v>
      </c>
      <c r="H91" t="s">
        <v>275</v>
      </c>
      <c r="I91" s="22" t="s">
        <v>276</v>
      </c>
      <c r="J91" s="22">
        <v>1072759201</v>
      </c>
      <c r="K91" t="s">
        <v>277</v>
      </c>
      <c r="L91" t="s">
        <v>299</v>
      </c>
      <c r="M91">
        <v>9</v>
      </c>
      <c r="N91">
        <v>4</v>
      </c>
      <c r="O91">
        <v>4</v>
      </c>
      <c r="P91" t="s">
        <v>279</v>
      </c>
      <c r="Q91" s="29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280</v>
      </c>
      <c r="X91" t="s">
        <v>281</v>
      </c>
      <c r="AP91" s="41"/>
    </row>
    <row r="92" spans="5:42" x14ac:dyDescent="0.25">
      <c r="E92" s="24" t="s">
        <v>273</v>
      </c>
      <c r="F92" s="24" t="s">
        <v>298</v>
      </c>
      <c r="G92">
        <v>17</v>
      </c>
      <c r="H92" t="s">
        <v>275</v>
      </c>
      <c r="I92" s="22" t="s">
        <v>276</v>
      </c>
      <c r="J92" s="22">
        <v>1076698601</v>
      </c>
      <c r="K92" t="s">
        <v>277</v>
      </c>
      <c r="L92" t="s">
        <v>299</v>
      </c>
      <c r="M92">
        <v>9</v>
      </c>
      <c r="N92">
        <v>14</v>
      </c>
      <c r="O92">
        <v>14</v>
      </c>
      <c r="P92" t="s">
        <v>279</v>
      </c>
      <c r="Q92" s="29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280</v>
      </c>
      <c r="X92" t="s">
        <v>281</v>
      </c>
      <c r="AP92" s="41"/>
    </row>
    <row r="93" spans="5:42" x14ac:dyDescent="0.25">
      <c r="E93" s="24" t="s">
        <v>273</v>
      </c>
      <c r="F93" s="24" t="s">
        <v>298</v>
      </c>
      <c r="G93">
        <v>18</v>
      </c>
      <c r="H93" t="s">
        <v>275</v>
      </c>
      <c r="I93" s="22" t="s">
        <v>276</v>
      </c>
      <c r="J93" s="22">
        <v>1075616501</v>
      </c>
      <c r="K93" t="s">
        <v>277</v>
      </c>
      <c r="L93" t="s">
        <v>299</v>
      </c>
      <c r="M93">
        <v>9</v>
      </c>
      <c r="N93">
        <v>12</v>
      </c>
      <c r="O93">
        <v>12</v>
      </c>
      <c r="P93" t="s">
        <v>279</v>
      </c>
      <c r="Q93" s="29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280</v>
      </c>
      <c r="X93" t="s">
        <v>281</v>
      </c>
      <c r="AP93" s="41"/>
    </row>
    <row r="94" spans="5:42" x14ac:dyDescent="0.25">
      <c r="E94" s="24" t="s">
        <v>273</v>
      </c>
      <c r="F94" s="24" t="s">
        <v>298</v>
      </c>
      <c r="G94">
        <v>19</v>
      </c>
      <c r="H94" t="s">
        <v>275</v>
      </c>
      <c r="I94" s="22" t="s">
        <v>276</v>
      </c>
      <c r="J94" s="22">
        <v>1072265901</v>
      </c>
      <c r="K94" t="s">
        <v>277</v>
      </c>
      <c r="L94" t="s">
        <v>299</v>
      </c>
      <c r="M94">
        <v>9</v>
      </c>
      <c r="N94">
        <v>8</v>
      </c>
      <c r="O94">
        <v>8</v>
      </c>
      <c r="P94" t="s">
        <v>279</v>
      </c>
      <c r="Q94" s="29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280</v>
      </c>
      <c r="X94" t="s">
        <v>281</v>
      </c>
      <c r="AP94" s="41"/>
    </row>
    <row r="95" spans="5:42" x14ac:dyDescent="0.25">
      <c r="E95" s="24" t="s">
        <v>273</v>
      </c>
      <c r="F95" s="24" t="s">
        <v>298</v>
      </c>
      <c r="G95">
        <v>20</v>
      </c>
      <c r="H95" t="s">
        <v>275</v>
      </c>
      <c r="I95" s="22" t="s">
        <v>276</v>
      </c>
      <c r="J95" s="22">
        <v>1071814101</v>
      </c>
      <c r="K95" t="s">
        <v>277</v>
      </c>
      <c r="L95" t="s">
        <v>300</v>
      </c>
      <c r="M95">
        <v>9</v>
      </c>
      <c r="N95">
        <v>4</v>
      </c>
      <c r="O95">
        <v>4</v>
      </c>
      <c r="P95" t="s">
        <v>279</v>
      </c>
      <c r="Q95" s="29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280</v>
      </c>
      <c r="X95" t="s">
        <v>281</v>
      </c>
      <c r="AP95" s="41"/>
    </row>
    <row r="96" spans="5:42" x14ac:dyDescent="0.25">
      <c r="E96" s="24" t="s">
        <v>273</v>
      </c>
      <c r="F96" s="24" t="s">
        <v>298</v>
      </c>
      <c r="G96">
        <v>21</v>
      </c>
      <c r="H96" t="s">
        <v>275</v>
      </c>
      <c r="I96" s="22" t="s">
        <v>276</v>
      </c>
      <c r="J96" s="22">
        <v>1075616801</v>
      </c>
      <c r="K96" t="s">
        <v>277</v>
      </c>
      <c r="L96" t="s">
        <v>301</v>
      </c>
      <c r="M96">
        <v>9</v>
      </c>
      <c r="N96">
        <v>8</v>
      </c>
      <c r="O96">
        <v>8</v>
      </c>
      <c r="P96" t="s">
        <v>279</v>
      </c>
      <c r="Q96" s="29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280</v>
      </c>
      <c r="X96" t="s">
        <v>281</v>
      </c>
      <c r="AP96" s="41"/>
    </row>
    <row r="97" spans="5:42" x14ac:dyDescent="0.25">
      <c r="E97" s="24" t="s">
        <v>273</v>
      </c>
      <c r="F97" s="24" t="s">
        <v>298</v>
      </c>
      <c r="G97">
        <v>22</v>
      </c>
      <c r="H97" t="s">
        <v>275</v>
      </c>
      <c r="I97" s="22" t="s">
        <v>276</v>
      </c>
      <c r="J97" s="22">
        <v>1073792401</v>
      </c>
      <c r="K97" t="s">
        <v>277</v>
      </c>
      <c r="L97" t="s">
        <v>301</v>
      </c>
      <c r="M97">
        <v>9</v>
      </c>
      <c r="N97">
        <v>8</v>
      </c>
      <c r="O97">
        <v>8</v>
      </c>
      <c r="P97" t="s">
        <v>279</v>
      </c>
      <c r="Q97" s="29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280</v>
      </c>
      <c r="X97" t="s">
        <v>281</v>
      </c>
      <c r="AD97" s="15"/>
      <c r="AE97" s="37"/>
      <c r="AF97" s="37"/>
      <c r="AG97" s="37"/>
      <c r="AH97" s="37"/>
      <c r="AI97" s="15"/>
      <c r="AJ97" s="38"/>
      <c r="AK97" s="37"/>
      <c r="AL97" s="37"/>
      <c r="AM97" s="37"/>
      <c r="AN97" s="37"/>
      <c r="AO97" s="37"/>
      <c r="AP97" s="41"/>
    </row>
    <row r="98" spans="5:42" x14ac:dyDescent="0.25">
      <c r="E98" s="24" t="s">
        <v>273</v>
      </c>
      <c r="F98" s="24" t="s">
        <v>302</v>
      </c>
      <c r="G98">
        <v>1</v>
      </c>
      <c r="H98" t="s">
        <v>275</v>
      </c>
      <c r="I98" s="22" t="s">
        <v>276</v>
      </c>
      <c r="J98" s="22">
        <v>1072265401</v>
      </c>
      <c r="K98" t="s">
        <v>277</v>
      </c>
      <c r="L98" t="s">
        <v>301</v>
      </c>
      <c r="M98">
        <v>9</v>
      </c>
      <c r="N98">
        <v>6</v>
      </c>
      <c r="O98">
        <v>6</v>
      </c>
      <c r="P98" t="s">
        <v>279</v>
      </c>
      <c r="Q98" s="29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280</v>
      </c>
      <c r="X98" t="s">
        <v>281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5"/>
      <c r="AE98" s="37"/>
      <c r="AF98" s="37"/>
      <c r="AG98" s="37"/>
      <c r="AH98" s="37"/>
      <c r="AI98" s="15"/>
      <c r="AJ98" s="38"/>
      <c r="AK98" s="37"/>
      <c r="AL98" s="37"/>
      <c r="AM98" s="37"/>
      <c r="AN98" s="37"/>
      <c r="AO98" s="37"/>
      <c r="AP98" s="41"/>
    </row>
    <row r="99" spans="5:42" x14ac:dyDescent="0.25">
      <c r="E99" s="24" t="s">
        <v>273</v>
      </c>
      <c r="F99" s="24" t="s">
        <v>302</v>
      </c>
      <c r="G99">
        <v>2</v>
      </c>
      <c r="H99" t="s">
        <v>275</v>
      </c>
      <c r="I99" s="22" t="s">
        <v>276</v>
      </c>
      <c r="J99" s="22">
        <v>1072760101</v>
      </c>
      <c r="K99" t="s">
        <v>277</v>
      </c>
      <c r="L99" t="s">
        <v>301</v>
      </c>
      <c r="M99">
        <v>9</v>
      </c>
      <c r="N99">
        <v>6</v>
      </c>
      <c r="O99">
        <v>6</v>
      </c>
      <c r="P99" t="s">
        <v>279</v>
      </c>
      <c r="Q99" s="29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280</v>
      </c>
      <c r="X99" t="s">
        <v>281</v>
      </c>
      <c r="AP99" s="41"/>
    </row>
    <row r="100" spans="5:42" x14ac:dyDescent="0.25">
      <c r="E100" s="24" t="s">
        <v>273</v>
      </c>
      <c r="F100" s="24" t="s">
        <v>302</v>
      </c>
      <c r="G100">
        <v>3</v>
      </c>
      <c r="H100" t="s">
        <v>275</v>
      </c>
      <c r="I100" s="22" t="s">
        <v>276</v>
      </c>
      <c r="J100" s="22">
        <v>1076698501</v>
      </c>
      <c r="K100" t="s">
        <v>277</v>
      </c>
      <c r="L100" t="s">
        <v>301</v>
      </c>
      <c r="M100">
        <v>9</v>
      </c>
      <c r="N100">
        <v>14</v>
      </c>
      <c r="O100">
        <v>14</v>
      </c>
      <c r="P100" t="s">
        <v>279</v>
      </c>
      <c r="Q100" s="29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280</v>
      </c>
      <c r="X100" t="s">
        <v>281</v>
      </c>
      <c r="AP100" s="41"/>
    </row>
    <row r="101" spans="5:42" x14ac:dyDescent="0.25">
      <c r="E101" s="24" t="s">
        <v>273</v>
      </c>
      <c r="F101" s="24" t="s">
        <v>302</v>
      </c>
      <c r="G101">
        <v>4</v>
      </c>
      <c r="H101" t="s">
        <v>275</v>
      </c>
      <c r="I101" s="22" t="s">
        <v>276</v>
      </c>
      <c r="J101" s="22">
        <v>1077403401</v>
      </c>
      <c r="K101" t="s">
        <v>277</v>
      </c>
      <c r="L101" t="s">
        <v>301</v>
      </c>
      <c r="M101">
        <v>9</v>
      </c>
      <c r="N101">
        <v>10</v>
      </c>
      <c r="O101">
        <v>10</v>
      </c>
      <c r="P101" t="s">
        <v>279</v>
      </c>
      <c r="Q101" s="29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280</v>
      </c>
      <c r="X101" t="s">
        <v>281</v>
      </c>
      <c r="AP101" s="41"/>
    </row>
    <row r="102" spans="5:42" x14ac:dyDescent="0.25">
      <c r="E102" s="24" t="s">
        <v>273</v>
      </c>
      <c r="F102" s="24" t="s">
        <v>302</v>
      </c>
      <c r="G102">
        <v>5</v>
      </c>
      <c r="H102" t="s">
        <v>275</v>
      </c>
      <c r="I102" s="22" t="s">
        <v>276</v>
      </c>
      <c r="J102" s="22">
        <v>1071046601</v>
      </c>
      <c r="K102" t="s">
        <v>277</v>
      </c>
      <c r="L102" t="s">
        <v>301</v>
      </c>
      <c r="M102">
        <v>9</v>
      </c>
      <c r="N102">
        <v>8</v>
      </c>
      <c r="O102">
        <v>8</v>
      </c>
      <c r="P102" t="s">
        <v>279</v>
      </c>
      <c r="Q102" s="29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280</v>
      </c>
      <c r="X102" t="s">
        <v>281</v>
      </c>
      <c r="AP102" s="41"/>
    </row>
    <row r="103" spans="5:42" x14ac:dyDescent="0.25">
      <c r="E103" s="24" t="s">
        <v>273</v>
      </c>
      <c r="F103" s="24" t="s">
        <v>302</v>
      </c>
      <c r="G103">
        <v>6</v>
      </c>
      <c r="H103" t="s">
        <v>275</v>
      </c>
      <c r="I103" s="22" t="s">
        <v>276</v>
      </c>
      <c r="J103" s="22">
        <v>1076138401</v>
      </c>
      <c r="K103" t="s">
        <v>277</v>
      </c>
      <c r="L103" t="s">
        <v>301</v>
      </c>
      <c r="M103">
        <v>9</v>
      </c>
      <c r="N103">
        <v>6</v>
      </c>
      <c r="O103">
        <v>6</v>
      </c>
      <c r="P103" t="s">
        <v>279</v>
      </c>
      <c r="Q103" s="29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280</v>
      </c>
      <c r="X103" t="s">
        <v>281</v>
      </c>
      <c r="AP103" s="41"/>
    </row>
    <row r="104" spans="5:42" x14ac:dyDescent="0.25">
      <c r="E104" s="24" t="s">
        <v>273</v>
      </c>
      <c r="F104" s="24" t="s">
        <v>302</v>
      </c>
      <c r="G104">
        <v>7</v>
      </c>
      <c r="H104" t="s">
        <v>275</v>
      </c>
      <c r="I104" s="22" t="s">
        <v>276</v>
      </c>
      <c r="J104" s="22">
        <v>1074548001</v>
      </c>
      <c r="K104" t="s">
        <v>277</v>
      </c>
      <c r="L104" t="s">
        <v>301</v>
      </c>
      <c r="M104">
        <v>9</v>
      </c>
      <c r="N104">
        <v>6</v>
      </c>
      <c r="O104">
        <v>6</v>
      </c>
      <c r="P104" t="s">
        <v>279</v>
      </c>
      <c r="Q104" s="29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280</v>
      </c>
      <c r="X104" t="s">
        <v>281</v>
      </c>
      <c r="AP104" s="41"/>
    </row>
    <row r="105" spans="5:42" x14ac:dyDescent="0.25">
      <c r="E105" s="24" t="s">
        <v>273</v>
      </c>
      <c r="F105" s="24" t="s">
        <v>302</v>
      </c>
      <c r="G105">
        <v>8</v>
      </c>
      <c r="H105" t="s">
        <v>275</v>
      </c>
      <c r="I105" s="22" t="s">
        <v>276</v>
      </c>
      <c r="J105" s="22">
        <v>1075075501</v>
      </c>
      <c r="K105" t="s">
        <v>277</v>
      </c>
      <c r="L105" t="s">
        <v>301</v>
      </c>
      <c r="M105">
        <v>9</v>
      </c>
      <c r="N105">
        <v>10</v>
      </c>
      <c r="O105">
        <v>10</v>
      </c>
      <c r="P105" t="s">
        <v>279</v>
      </c>
      <c r="Q105" s="29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280</v>
      </c>
      <c r="X105" t="s">
        <v>281</v>
      </c>
      <c r="AP105" s="41"/>
    </row>
    <row r="106" spans="5:42" x14ac:dyDescent="0.25">
      <c r="E106" s="24" t="s">
        <v>273</v>
      </c>
      <c r="F106" s="24" t="s">
        <v>302</v>
      </c>
      <c r="G106">
        <v>9</v>
      </c>
      <c r="H106" t="s">
        <v>275</v>
      </c>
      <c r="I106" s="22" t="s">
        <v>276</v>
      </c>
      <c r="J106" s="22">
        <v>1073270401</v>
      </c>
      <c r="K106" t="s">
        <v>277</v>
      </c>
      <c r="L106" t="s">
        <v>303</v>
      </c>
      <c r="M106">
        <v>9</v>
      </c>
      <c r="N106">
        <v>2</v>
      </c>
      <c r="O106">
        <v>2</v>
      </c>
      <c r="P106" t="s">
        <v>279</v>
      </c>
      <c r="Q106" s="29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280</v>
      </c>
      <c r="X106" t="s">
        <v>281</v>
      </c>
      <c r="AP106" s="41"/>
    </row>
    <row r="107" spans="5:42" x14ac:dyDescent="0.25">
      <c r="E107" s="24" t="s">
        <v>273</v>
      </c>
      <c r="F107" s="24" t="s">
        <v>302</v>
      </c>
      <c r="G107">
        <v>10</v>
      </c>
      <c r="H107" t="s">
        <v>275</v>
      </c>
      <c r="I107" s="22" t="s">
        <v>276</v>
      </c>
      <c r="J107" s="22">
        <v>1075075601</v>
      </c>
      <c r="K107" t="s">
        <v>277</v>
      </c>
      <c r="L107" t="s">
        <v>303</v>
      </c>
      <c r="M107">
        <v>9</v>
      </c>
      <c r="N107">
        <v>6</v>
      </c>
      <c r="O107">
        <v>6</v>
      </c>
      <c r="P107" t="s">
        <v>279</v>
      </c>
      <c r="Q107" s="29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280</v>
      </c>
      <c r="X107" t="s">
        <v>281</v>
      </c>
      <c r="AP107" s="41"/>
    </row>
    <row r="108" spans="5:42" x14ac:dyDescent="0.25">
      <c r="E108" s="24" t="s">
        <v>273</v>
      </c>
      <c r="F108" s="24" t="s">
        <v>302</v>
      </c>
      <c r="G108">
        <v>11</v>
      </c>
      <c r="H108" t="s">
        <v>275</v>
      </c>
      <c r="I108" s="22" t="s">
        <v>304</v>
      </c>
      <c r="J108" s="22">
        <v>1072265801</v>
      </c>
      <c r="K108" t="s">
        <v>277</v>
      </c>
      <c r="L108" t="s">
        <v>305</v>
      </c>
      <c r="M108">
        <v>9</v>
      </c>
      <c r="N108">
        <v>10</v>
      </c>
      <c r="O108">
        <v>10</v>
      </c>
      <c r="P108" t="s">
        <v>279</v>
      </c>
      <c r="Q108" s="29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280</v>
      </c>
      <c r="X108" t="s">
        <v>281</v>
      </c>
      <c r="AP108" s="41"/>
    </row>
    <row r="109" spans="5:42" x14ac:dyDescent="0.25">
      <c r="E109" s="24" t="s">
        <v>273</v>
      </c>
      <c r="F109" s="24" t="s">
        <v>302</v>
      </c>
      <c r="G109">
        <v>12</v>
      </c>
      <c r="H109" t="s">
        <v>275</v>
      </c>
      <c r="I109" s="22" t="s">
        <v>304</v>
      </c>
      <c r="J109" s="22">
        <v>1072759501</v>
      </c>
      <c r="K109" t="s">
        <v>277</v>
      </c>
      <c r="L109" t="s">
        <v>305</v>
      </c>
      <c r="M109">
        <v>9</v>
      </c>
      <c r="N109">
        <v>8</v>
      </c>
      <c r="O109">
        <v>8</v>
      </c>
      <c r="P109" t="s">
        <v>279</v>
      </c>
      <c r="Q109" s="29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280</v>
      </c>
      <c r="X109" t="s">
        <v>281</v>
      </c>
      <c r="AP109" s="41"/>
    </row>
    <row r="110" spans="5:42" x14ac:dyDescent="0.25">
      <c r="E110" s="24" t="s">
        <v>273</v>
      </c>
      <c r="F110" s="24" t="s">
        <v>302</v>
      </c>
      <c r="G110">
        <v>13</v>
      </c>
      <c r="H110" t="s">
        <v>275</v>
      </c>
      <c r="I110" s="22" t="s">
        <v>304</v>
      </c>
      <c r="J110" s="22">
        <v>1073270601</v>
      </c>
      <c r="K110" t="s">
        <v>277</v>
      </c>
      <c r="L110" t="s">
        <v>305</v>
      </c>
      <c r="M110">
        <v>9</v>
      </c>
      <c r="N110">
        <v>8</v>
      </c>
      <c r="O110">
        <v>8</v>
      </c>
      <c r="P110" t="s">
        <v>279</v>
      </c>
      <c r="Q110" s="29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280</v>
      </c>
      <c r="X110" t="s">
        <v>281</v>
      </c>
      <c r="AP110" s="41"/>
    </row>
    <row r="111" spans="5:42" x14ac:dyDescent="0.25">
      <c r="E111" s="24" t="s">
        <v>273</v>
      </c>
      <c r="F111" s="24" t="s">
        <v>302</v>
      </c>
      <c r="G111">
        <v>14</v>
      </c>
      <c r="H111" t="s">
        <v>275</v>
      </c>
      <c r="I111" s="22" t="s">
        <v>304</v>
      </c>
      <c r="J111" s="22">
        <v>1075616601</v>
      </c>
      <c r="K111" t="s">
        <v>277</v>
      </c>
      <c r="L111" t="s">
        <v>305</v>
      </c>
      <c r="M111">
        <v>9</v>
      </c>
      <c r="N111">
        <v>2</v>
      </c>
      <c r="O111">
        <v>2</v>
      </c>
      <c r="P111" t="s">
        <v>279</v>
      </c>
      <c r="Q111" s="29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280</v>
      </c>
      <c r="X111" t="s">
        <v>281</v>
      </c>
      <c r="AP111" s="41"/>
    </row>
    <row r="112" spans="5:42" x14ac:dyDescent="0.25">
      <c r="E112" s="24" t="s">
        <v>273</v>
      </c>
      <c r="F112" s="24" t="s">
        <v>302</v>
      </c>
      <c r="G112">
        <v>15</v>
      </c>
      <c r="H112" t="s">
        <v>275</v>
      </c>
      <c r="I112" s="22" t="s">
        <v>304</v>
      </c>
      <c r="J112" s="22">
        <v>1071046101</v>
      </c>
      <c r="K112" t="s">
        <v>277</v>
      </c>
      <c r="L112" t="s">
        <v>306</v>
      </c>
      <c r="M112">
        <v>9</v>
      </c>
      <c r="N112">
        <v>4</v>
      </c>
      <c r="O112">
        <v>4</v>
      </c>
      <c r="P112" t="s">
        <v>279</v>
      </c>
      <c r="Q112" s="29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280</v>
      </c>
      <c r="X112" t="s">
        <v>281</v>
      </c>
      <c r="AP112" s="41"/>
    </row>
    <row r="113" spans="5:42" x14ac:dyDescent="0.25">
      <c r="E113" s="24" t="s">
        <v>273</v>
      </c>
      <c r="F113" s="24" t="s">
        <v>302</v>
      </c>
      <c r="G113">
        <v>16</v>
      </c>
      <c r="H113" t="s">
        <v>275</v>
      </c>
      <c r="I113" s="22" t="s">
        <v>304</v>
      </c>
      <c r="J113" s="22">
        <v>1076698701</v>
      </c>
      <c r="K113" t="s">
        <v>277</v>
      </c>
      <c r="L113" t="s">
        <v>306</v>
      </c>
      <c r="M113">
        <v>9</v>
      </c>
      <c r="N113">
        <v>8</v>
      </c>
      <c r="O113">
        <v>8</v>
      </c>
      <c r="P113" t="s">
        <v>279</v>
      </c>
      <c r="Q113" s="29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280</v>
      </c>
      <c r="X113" t="s">
        <v>281</v>
      </c>
      <c r="AP113" s="41"/>
    </row>
    <row r="114" spans="5:42" x14ac:dyDescent="0.25">
      <c r="E114" s="24" t="s">
        <v>273</v>
      </c>
      <c r="F114" s="24" t="s">
        <v>302</v>
      </c>
      <c r="G114">
        <v>17</v>
      </c>
      <c r="H114" t="s">
        <v>275</v>
      </c>
      <c r="I114" s="22" t="s">
        <v>304</v>
      </c>
      <c r="J114" s="22">
        <v>1072759601</v>
      </c>
      <c r="K114" t="s">
        <v>277</v>
      </c>
      <c r="L114" t="s">
        <v>306</v>
      </c>
      <c r="M114">
        <v>9</v>
      </c>
      <c r="N114">
        <v>18</v>
      </c>
      <c r="O114">
        <v>18</v>
      </c>
      <c r="P114" t="s">
        <v>279</v>
      </c>
      <c r="Q114" s="29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280</v>
      </c>
      <c r="X114" t="s">
        <v>281</v>
      </c>
      <c r="AP114" s="41"/>
    </row>
    <row r="115" spans="5:42" x14ac:dyDescent="0.25">
      <c r="E115" s="24" t="s">
        <v>273</v>
      </c>
      <c r="F115" s="24" t="s">
        <v>302</v>
      </c>
      <c r="G115">
        <v>18</v>
      </c>
      <c r="H115" t="s">
        <v>275</v>
      </c>
      <c r="I115" s="22" t="s">
        <v>304</v>
      </c>
      <c r="J115" s="22">
        <v>1076138201</v>
      </c>
      <c r="K115" t="s">
        <v>277</v>
      </c>
      <c r="L115" t="s">
        <v>306</v>
      </c>
      <c r="M115">
        <v>9</v>
      </c>
      <c r="N115">
        <v>6</v>
      </c>
      <c r="O115">
        <v>6</v>
      </c>
      <c r="P115" t="s">
        <v>279</v>
      </c>
      <c r="Q115" s="29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280</v>
      </c>
      <c r="X115" t="s">
        <v>281</v>
      </c>
      <c r="AP115" s="41"/>
    </row>
    <row r="116" spans="5:42" x14ac:dyDescent="0.25">
      <c r="E116" s="24" t="s">
        <v>273</v>
      </c>
      <c r="F116" s="24" t="s">
        <v>302</v>
      </c>
      <c r="G116">
        <v>19</v>
      </c>
      <c r="H116" t="s">
        <v>275</v>
      </c>
      <c r="I116" s="22" t="s">
        <v>304</v>
      </c>
      <c r="J116" s="22">
        <v>1075076101</v>
      </c>
      <c r="K116" t="s">
        <v>277</v>
      </c>
      <c r="L116" t="s">
        <v>306</v>
      </c>
      <c r="M116">
        <v>9</v>
      </c>
      <c r="N116">
        <v>8</v>
      </c>
      <c r="O116">
        <v>8</v>
      </c>
      <c r="P116" t="s">
        <v>279</v>
      </c>
      <c r="Q116" s="29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280</v>
      </c>
      <c r="X116" t="s">
        <v>281</v>
      </c>
      <c r="AP116" s="41"/>
    </row>
    <row r="117" spans="5:42" x14ac:dyDescent="0.25">
      <c r="E117" s="24" t="s">
        <v>273</v>
      </c>
      <c r="F117" s="24" t="s">
        <v>302</v>
      </c>
      <c r="G117">
        <v>20</v>
      </c>
      <c r="H117" t="s">
        <v>275</v>
      </c>
      <c r="I117" s="22" t="s">
        <v>304</v>
      </c>
      <c r="J117" s="22">
        <v>1073270501</v>
      </c>
      <c r="K117" t="s">
        <v>277</v>
      </c>
      <c r="L117" t="s">
        <v>306</v>
      </c>
      <c r="M117">
        <v>9</v>
      </c>
      <c r="N117">
        <v>10</v>
      </c>
      <c r="O117">
        <v>10</v>
      </c>
      <c r="P117" t="s">
        <v>279</v>
      </c>
      <c r="Q117" s="29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280</v>
      </c>
      <c r="X117" t="s">
        <v>281</v>
      </c>
      <c r="AP117" s="41"/>
    </row>
    <row r="118" spans="5:42" x14ac:dyDescent="0.25">
      <c r="E118" s="24" t="s">
        <v>273</v>
      </c>
      <c r="F118" s="24" t="s">
        <v>302</v>
      </c>
      <c r="G118">
        <v>21</v>
      </c>
      <c r="H118" t="s">
        <v>275</v>
      </c>
      <c r="I118" s="22" t="s">
        <v>304</v>
      </c>
      <c r="J118" s="22">
        <v>1072265301</v>
      </c>
      <c r="K118" t="s">
        <v>277</v>
      </c>
      <c r="L118" t="s">
        <v>306</v>
      </c>
      <c r="M118">
        <v>9</v>
      </c>
      <c r="N118">
        <v>6</v>
      </c>
      <c r="O118">
        <v>6</v>
      </c>
      <c r="P118" t="s">
        <v>279</v>
      </c>
      <c r="Q118" s="29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280</v>
      </c>
      <c r="X118" t="s">
        <v>281</v>
      </c>
      <c r="AP118" s="41"/>
    </row>
    <row r="119" spans="5:42" x14ac:dyDescent="0.25">
      <c r="E119" s="24" t="s">
        <v>273</v>
      </c>
      <c r="F119" s="24" t="s">
        <v>302</v>
      </c>
      <c r="G119">
        <v>22</v>
      </c>
      <c r="H119" t="s">
        <v>275</v>
      </c>
      <c r="I119" s="22" t="s">
        <v>304</v>
      </c>
      <c r="J119" s="22">
        <v>1073792201</v>
      </c>
      <c r="K119" t="s">
        <v>277</v>
      </c>
      <c r="L119" t="s">
        <v>306</v>
      </c>
      <c r="M119">
        <v>9</v>
      </c>
      <c r="N119">
        <v>6</v>
      </c>
      <c r="O119">
        <v>6</v>
      </c>
      <c r="P119" t="s">
        <v>279</v>
      </c>
      <c r="Q119" s="29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280</v>
      </c>
      <c r="X119" t="s">
        <v>281</v>
      </c>
      <c r="AP119" s="41"/>
    </row>
    <row r="120" spans="5:42" x14ac:dyDescent="0.25">
      <c r="E120" s="24" t="s">
        <v>273</v>
      </c>
      <c r="F120" s="24" t="s">
        <v>307</v>
      </c>
      <c r="G120">
        <v>1</v>
      </c>
      <c r="H120" t="s">
        <v>275</v>
      </c>
      <c r="I120" s="22" t="s">
        <v>304</v>
      </c>
      <c r="J120" s="22">
        <v>1075616701</v>
      </c>
      <c r="K120" t="s">
        <v>277</v>
      </c>
      <c r="L120" t="s">
        <v>306</v>
      </c>
      <c r="M120">
        <v>9</v>
      </c>
      <c r="N120">
        <v>10</v>
      </c>
      <c r="O120">
        <v>10</v>
      </c>
      <c r="P120" t="s">
        <v>279</v>
      </c>
      <c r="Q120" s="29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280</v>
      </c>
      <c r="X120" t="s">
        <v>281</v>
      </c>
      <c r="Y120">
        <v>3</v>
      </c>
      <c r="Z120">
        <v>661055</v>
      </c>
      <c r="AA120">
        <v>0</v>
      </c>
      <c r="AB120">
        <v>0</v>
      </c>
      <c r="AC120">
        <v>661055</v>
      </c>
      <c r="AP120" s="41"/>
    </row>
    <row r="121" spans="5:42" x14ac:dyDescent="0.25">
      <c r="E121" s="24" t="s">
        <v>273</v>
      </c>
      <c r="F121" s="24" t="s">
        <v>307</v>
      </c>
      <c r="G121">
        <v>2</v>
      </c>
      <c r="H121" t="s">
        <v>275</v>
      </c>
      <c r="I121" s="22" t="s">
        <v>308</v>
      </c>
      <c r="J121" s="22">
        <v>1071813501</v>
      </c>
      <c r="K121" t="s">
        <v>277</v>
      </c>
      <c r="L121" t="s">
        <v>309</v>
      </c>
      <c r="M121">
        <v>9</v>
      </c>
      <c r="N121">
        <v>2</v>
      </c>
      <c r="O121">
        <v>2</v>
      </c>
      <c r="P121" t="s">
        <v>279</v>
      </c>
      <c r="Q121" s="29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280</v>
      </c>
      <c r="X121" t="s">
        <v>281</v>
      </c>
      <c r="AP121" s="41"/>
    </row>
    <row r="122" spans="5:42" x14ac:dyDescent="0.25">
      <c r="E122" s="24" t="s">
        <v>273</v>
      </c>
      <c r="F122" s="24" t="s">
        <v>307</v>
      </c>
      <c r="G122">
        <v>3</v>
      </c>
      <c r="H122" t="s">
        <v>275</v>
      </c>
      <c r="I122" s="22" t="s">
        <v>308</v>
      </c>
      <c r="J122" s="22">
        <v>1075616901</v>
      </c>
      <c r="K122" t="s">
        <v>277</v>
      </c>
      <c r="L122" t="s">
        <v>309</v>
      </c>
      <c r="M122">
        <v>9</v>
      </c>
      <c r="N122">
        <v>6</v>
      </c>
      <c r="O122">
        <v>6</v>
      </c>
      <c r="P122" t="s">
        <v>279</v>
      </c>
      <c r="Q122" s="29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280</v>
      </c>
      <c r="X122" t="s">
        <v>281</v>
      </c>
      <c r="AP122" s="41"/>
    </row>
    <row r="123" spans="5:42" x14ac:dyDescent="0.25">
      <c r="E123" s="24" t="s">
        <v>273</v>
      </c>
      <c r="F123" s="24" t="s">
        <v>307</v>
      </c>
      <c r="G123">
        <v>4</v>
      </c>
      <c r="H123" t="s">
        <v>275</v>
      </c>
      <c r="I123" s="22" t="s">
        <v>308</v>
      </c>
      <c r="J123" s="22">
        <v>1073271001</v>
      </c>
      <c r="K123" t="s">
        <v>277</v>
      </c>
      <c r="L123" t="s">
        <v>309</v>
      </c>
      <c r="M123">
        <v>9</v>
      </c>
      <c r="N123">
        <v>2</v>
      </c>
      <c r="O123">
        <v>2</v>
      </c>
      <c r="P123" t="s">
        <v>279</v>
      </c>
      <c r="Q123" s="29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280</v>
      </c>
      <c r="X123" t="s">
        <v>281</v>
      </c>
      <c r="AP123" s="41"/>
    </row>
    <row r="124" spans="5:42" x14ac:dyDescent="0.25">
      <c r="E124" s="24" t="s">
        <v>273</v>
      </c>
      <c r="F124" s="24" t="s">
        <v>307</v>
      </c>
      <c r="G124">
        <v>5</v>
      </c>
      <c r="H124" t="s">
        <v>275</v>
      </c>
      <c r="I124" s="22" t="s">
        <v>308</v>
      </c>
      <c r="J124" s="22">
        <v>1072265501</v>
      </c>
      <c r="K124" t="s">
        <v>277</v>
      </c>
      <c r="L124" t="s">
        <v>309</v>
      </c>
      <c r="M124">
        <v>9</v>
      </c>
      <c r="N124">
        <v>2</v>
      </c>
      <c r="O124">
        <v>2</v>
      </c>
      <c r="P124" t="s">
        <v>279</v>
      </c>
      <c r="Q124" s="29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280</v>
      </c>
      <c r="X124" t="s">
        <v>281</v>
      </c>
      <c r="AP124" s="41"/>
    </row>
    <row r="125" spans="5:42" x14ac:dyDescent="0.25">
      <c r="E125" s="24" t="s">
        <v>273</v>
      </c>
      <c r="F125" s="24" t="s">
        <v>307</v>
      </c>
      <c r="G125">
        <v>6</v>
      </c>
      <c r="H125" t="s">
        <v>275</v>
      </c>
      <c r="I125" s="22" t="s">
        <v>308</v>
      </c>
      <c r="J125" s="22">
        <v>1071046401</v>
      </c>
      <c r="K125" t="s">
        <v>277</v>
      </c>
      <c r="L125" t="s">
        <v>310</v>
      </c>
      <c r="M125">
        <v>9</v>
      </c>
      <c r="N125">
        <v>22</v>
      </c>
      <c r="O125">
        <v>22</v>
      </c>
      <c r="P125" t="s">
        <v>279</v>
      </c>
      <c r="Q125" s="29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280</v>
      </c>
      <c r="X125" t="s">
        <v>281</v>
      </c>
      <c r="AP125" s="41"/>
    </row>
    <row r="126" spans="5:42" x14ac:dyDescent="0.25">
      <c r="E126" s="24" t="s">
        <v>273</v>
      </c>
      <c r="F126" s="24" t="s">
        <v>307</v>
      </c>
      <c r="G126">
        <v>7</v>
      </c>
      <c r="H126" t="s">
        <v>275</v>
      </c>
      <c r="I126" s="22" t="s">
        <v>308</v>
      </c>
      <c r="J126" s="22">
        <v>1075617101</v>
      </c>
      <c r="K126" t="s">
        <v>277</v>
      </c>
      <c r="L126" t="s">
        <v>310</v>
      </c>
      <c r="M126">
        <v>9</v>
      </c>
      <c r="N126">
        <v>10</v>
      </c>
      <c r="O126">
        <v>10</v>
      </c>
      <c r="P126" t="s">
        <v>279</v>
      </c>
      <c r="Q126" s="29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280</v>
      </c>
      <c r="X126" t="s">
        <v>281</v>
      </c>
      <c r="AD126" s="39"/>
      <c r="AP126" s="41"/>
    </row>
    <row r="127" spans="5:42" x14ac:dyDescent="0.25">
      <c r="E127" s="24" t="s">
        <v>273</v>
      </c>
      <c r="F127" s="24" t="s">
        <v>307</v>
      </c>
      <c r="G127">
        <v>8</v>
      </c>
      <c r="H127" t="s">
        <v>275</v>
      </c>
      <c r="I127" s="22" t="s">
        <v>308</v>
      </c>
      <c r="J127" s="22">
        <v>1072760001</v>
      </c>
      <c r="K127" t="s">
        <v>277</v>
      </c>
      <c r="L127" t="s">
        <v>310</v>
      </c>
      <c r="M127">
        <v>9</v>
      </c>
      <c r="N127">
        <v>4</v>
      </c>
      <c r="O127">
        <v>4</v>
      </c>
      <c r="P127" t="s">
        <v>279</v>
      </c>
      <c r="Q127" s="29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280</v>
      </c>
      <c r="X127" t="s">
        <v>281</v>
      </c>
      <c r="AD127" s="39"/>
      <c r="AP127" s="41"/>
    </row>
    <row r="128" spans="5:42" x14ac:dyDescent="0.25">
      <c r="E128" s="24" t="s">
        <v>273</v>
      </c>
      <c r="F128" s="24" t="s">
        <v>307</v>
      </c>
      <c r="G128">
        <v>9</v>
      </c>
      <c r="H128" t="s">
        <v>275</v>
      </c>
      <c r="I128" s="22" t="s">
        <v>308</v>
      </c>
      <c r="J128" s="22">
        <v>1075075701</v>
      </c>
      <c r="K128" t="s">
        <v>277</v>
      </c>
      <c r="L128" t="s">
        <v>310</v>
      </c>
      <c r="M128">
        <v>9</v>
      </c>
      <c r="N128">
        <v>8</v>
      </c>
      <c r="O128">
        <v>8</v>
      </c>
      <c r="P128" t="s">
        <v>279</v>
      </c>
      <c r="Q128" s="29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280</v>
      </c>
      <c r="X128" t="s">
        <v>281</v>
      </c>
      <c r="AD128" s="15"/>
      <c r="AP128" s="41"/>
    </row>
    <row r="129" spans="5:42" x14ac:dyDescent="0.25">
      <c r="E129" s="24" t="s">
        <v>273</v>
      </c>
      <c r="F129" s="24" t="s">
        <v>307</v>
      </c>
      <c r="G129">
        <v>10</v>
      </c>
      <c r="H129" t="s">
        <v>275</v>
      </c>
      <c r="I129" s="22" t="s">
        <v>308</v>
      </c>
      <c r="J129" s="22">
        <v>1071813701</v>
      </c>
      <c r="K129" t="s">
        <v>277</v>
      </c>
      <c r="L129" t="s">
        <v>310</v>
      </c>
      <c r="M129">
        <v>9</v>
      </c>
      <c r="N129">
        <v>6</v>
      </c>
      <c r="O129">
        <v>6</v>
      </c>
      <c r="P129" t="s">
        <v>279</v>
      </c>
      <c r="Q129" s="29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280</v>
      </c>
      <c r="X129" t="s">
        <v>281</v>
      </c>
      <c r="AP129" s="41"/>
    </row>
    <row r="130" spans="5:42" x14ac:dyDescent="0.25">
      <c r="E130" s="24" t="s">
        <v>273</v>
      </c>
      <c r="F130" s="24" t="s">
        <v>307</v>
      </c>
      <c r="G130">
        <v>11</v>
      </c>
      <c r="H130" t="s">
        <v>275</v>
      </c>
      <c r="I130" s="22" t="s">
        <v>308</v>
      </c>
      <c r="J130" s="22">
        <v>1074547901</v>
      </c>
      <c r="K130" t="s">
        <v>277</v>
      </c>
      <c r="L130" t="s">
        <v>310</v>
      </c>
      <c r="M130">
        <v>9</v>
      </c>
      <c r="N130">
        <v>4</v>
      </c>
      <c r="O130">
        <v>4</v>
      </c>
      <c r="P130" t="s">
        <v>279</v>
      </c>
      <c r="Q130" s="29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280</v>
      </c>
      <c r="X130" t="s">
        <v>281</v>
      </c>
      <c r="AP130" s="41"/>
    </row>
    <row r="131" spans="5:42" x14ac:dyDescent="0.25">
      <c r="E131" s="24" t="s">
        <v>273</v>
      </c>
      <c r="F131" s="24" t="s">
        <v>307</v>
      </c>
      <c r="G131">
        <v>12</v>
      </c>
      <c r="H131" t="s">
        <v>275</v>
      </c>
      <c r="I131" s="22" t="s">
        <v>308</v>
      </c>
      <c r="J131" s="22">
        <v>1072759901</v>
      </c>
      <c r="K131" t="s">
        <v>277</v>
      </c>
      <c r="L131" t="s">
        <v>311</v>
      </c>
      <c r="M131">
        <v>9</v>
      </c>
      <c r="N131">
        <v>14</v>
      </c>
      <c r="O131">
        <v>14</v>
      </c>
      <c r="P131" t="s">
        <v>279</v>
      </c>
      <c r="Q131" s="29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280</v>
      </c>
      <c r="X131" t="s">
        <v>281</v>
      </c>
      <c r="AP131" s="41"/>
    </row>
    <row r="132" spans="5:42" x14ac:dyDescent="0.25">
      <c r="E132" s="24" t="s">
        <v>273</v>
      </c>
      <c r="F132" s="24" t="s">
        <v>307</v>
      </c>
      <c r="G132">
        <v>13</v>
      </c>
      <c r="H132" t="s">
        <v>275</v>
      </c>
      <c r="I132" s="22" t="s">
        <v>308</v>
      </c>
      <c r="J132" s="22">
        <v>1073792301</v>
      </c>
      <c r="K132" t="s">
        <v>277</v>
      </c>
      <c r="L132" t="s">
        <v>311</v>
      </c>
      <c r="M132">
        <v>9</v>
      </c>
      <c r="N132">
        <v>12</v>
      </c>
      <c r="O132">
        <v>12</v>
      </c>
      <c r="P132" t="s">
        <v>279</v>
      </c>
      <c r="Q132" s="29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280</v>
      </c>
      <c r="X132" t="s">
        <v>281</v>
      </c>
      <c r="AD132" s="39"/>
      <c r="AP132" s="41"/>
    </row>
    <row r="133" spans="5:42" x14ac:dyDescent="0.25">
      <c r="E133" s="24" t="s">
        <v>273</v>
      </c>
      <c r="F133" s="24" t="s">
        <v>307</v>
      </c>
      <c r="G133">
        <v>14</v>
      </c>
      <c r="H133" t="s">
        <v>275</v>
      </c>
      <c r="I133" s="22" t="s">
        <v>308</v>
      </c>
      <c r="J133" s="22">
        <v>1075075801</v>
      </c>
      <c r="K133" t="s">
        <v>277</v>
      </c>
      <c r="L133" t="s">
        <v>311</v>
      </c>
      <c r="M133">
        <v>9</v>
      </c>
      <c r="N133">
        <v>6</v>
      </c>
      <c r="O133">
        <v>6</v>
      </c>
      <c r="P133" t="s">
        <v>279</v>
      </c>
      <c r="Q133" s="29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280</v>
      </c>
      <c r="X133" t="s">
        <v>281</v>
      </c>
      <c r="AD133" s="39"/>
      <c r="AP133" s="41"/>
    </row>
    <row r="134" spans="5:42" x14ac:dyDescent="0.25">
      <c r="E134" s="24" t="s">
        <v>273</v>
      </c>
      <c r="F134" s="24" t="s">
        <v>307</v>
      </c>
      <c r="G134">
        <v>15</v>
      </c>
      <c r="H134" t="s">
        <v>275</v>
      </c>
      <c r="I134" s="22" t="s">
        <v>308</v>
      </c>
      <c r="J134" s="22">
        <v>1073270901</v>
      </c>
      <c r="K134" t="s">
        <v>277</v>
      </c>
      <c r="L134" t="s">
        <v>311</v>
      </c>
      <c r="M134">
        <v>9</v>
      </c>
      <c r="N134">
        <v>2</v>
      </c>
      <c r="O134">
        <v>2</v>
      </c>
      <c r="P134" t="s">
        <v>279</v>
      </c>
      <c r="Q134" s="29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280</v>
      </c>
      <c r="X134" t="s">
        <v>281</v>
      </c>
      <c r="AD134" s="39"/>
      <c r="AP134" s="41"/>
    </row>
    <row r="135" spans="5:42" x14ac:dyDescent="0.25">
      <c r="E135" s="24" t="s">
        <v>273</v>
      </c>
      <c r="F135" s="24" t="s">
        <v>307</v>
      </c>
      <c r="G135">
        <v>16</v>
      </c>
      <c r="H135" t="s">
        <v>275</v>
      </c>
      <c r="I135" s="22" t="s">
        <v>308</v>
      </c>
      <c r="J135" s="22">
        <v>1074547801</v>
      </c>
      <c r="K135" t="s">
        <v>277</v>
      </c>
      <c r="L135" t="s">
        <v>311</v>
      </c>
      <c r="M135">
        <v>9</v>
      </c>
      <c r="N135">
        <v>6</v>
      </c>
      <c r="O135">
        <v>6</v>
      </c>
      <c r="P135" t="s">
        <v>279</v>
      </c>
      <c r="Q135" s="29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280</v>
      </c>
      <c r="X135" t="s">
        <v>281</v>
      </c>
      <c r="AP135" s="41"/>
    </row>
    <row r="136" spans="5:42" x14ac:dyDescent="0.25">
      <c r="E136" s="24" t="s">
        <v>273</v>
      </c>
      <c r="F136" s="24" t="s">
        <v>307</v>
      </c>
      <c r="G136">
        <v>17</v>
      </c>
      <c r="H136" t="s">
        <v>275</v>
      </c>
      <c r="I136" s="22" t="s">
        <v>308</v>
      </c>
      <c r="J136" s="22">
        <v>1074547701</v>
      </c>
      <c r="K136" t="s">
        <v>277</v>
      </c>
      <c r="L136" t="s">
        <v>312</v>
      </c>
      <c r="M136">
        <v>9</v>
      </c>
      <c r="N136">
        <v>4</v>
      </c>
      <c r="O136">
        <v>4</v>
      </c>
      <c r="P136" t="s">
        <v>279</v>
      </c>
      <c r="Q136" s="29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280</v>
      </c>
      <c r="X136" t="s">
        <v>281</v>
      </c>
      <c r="AP136" s="41"/>
    </row>
    <row r="137" spans="5:42" x14ac:dyDescent="0.25">
      <c r="E137" s="24" t="s">
        <v>273</v>
      </c>
      <c r="F137" s="24" t="s">
        <v>307</v>
      </c>
      <c r="G137">
        <v>18</v>
      </c>
      <c r="H137" t="s">
        <v>275</v>
      </c>
      <c r="I137" s="22" t="s">
        <v>308</v>
      </c>
      <c r="J137" s="22">
        <v>1075617201</v>
      </c>
      <c r="K137" t="s">
        <v>277</v>
      </c>
      <c r="L137" t="s">
        <v>312</v>
      </c>
      <c r="M137">
        <v>9</v>
      </c>
      <c r="N137">
        <v>18</v>
      </c>
      <c r="O137">
        <v>18</v>
      </c>
      <c r="P137" t="s">
        <v>279</v>
      </c>
      <c r="Q137" s="29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280</v>
      </c>
      <c r="X137" t="s">
        <v>281</v>
      </c>
      <c r="AP137" s="41"/>
    </row>
    <row r="138" spans="5:42" x14ac:dyDescent="0.25">
      <c r="E138" s="24" t="s">
        <v>273</v>
      </c>
      <c r="F138" s="24" t="s">
        <v>307</v>
      </c>
      <c r="G138">
        <v>19</v>
      </c>
      <c r="H138" t="s">
        <v>275</v>
      </c>
      <c r="I138" s="22" t="s">
        <v>308</v>
      </c>
      <c r="J138" s="22">
        <v>1071046301</v>
      </c>
      <c r="K138" t="s">
        <v>277</v>
      </c>
      <c r="L138" t="s">
        <v>313</v>
      </c>
      <c r="M138">
        <v>9</v>
      </c>
      <c r="N138">
        <v>12</v>
      </c>
      <c r="O138">
        <v>12</v>
      </c>
      <c r="P138" t="s">
        <v>279</v>
      </c>
      <c r="Q138" s="29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280</v>
      </c>
      <c r="X138" t="s">
        <v>281</v>
      </c>
      <c r="AP138" s="41"/>
    </row>
    <row r="139" spans="5:42" x14ac:dyDescent="0.25">
      <c r="E139" s="24" t="s">
        <v>273</v>
      </c>
      <c r="F139" s="24" t="s">
        <v>307</v>
      </c>
      <c r="G139">
        <v>20</v>
      </c>
      <c r="H139" t="s">
        <v>275</v>
      </c>
      <c r="I139" s="22" t="s">
        <v>308</v>
      </c>
      <c r="J139" s="22">
        <v>1074547601</v>
      </c>
      <c r="K139" t="s">
        <v>277</v>
      </c>
      <c r="L139" t="s">
        <v>313</v>
      </c>
      <c r="M139">
        <v>9</v>
      </c>
      <c r="N139">
        <v>2</v>
      </c>
      <c r="O139">
        <v>2</v>
      </c>
      <c r="P139" t="s">
        <v>279</v>
      </c>
      <c r="Q139" s="29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280</v>
      </c>
      <c r="X139" t="s">
        <v>281</v>
      </c>
      <c r="AP139" s="41"/>
    </row>
    <row r="140" spans="5:42" x14ac:dyDescent="0.25">
      <c r="E140" s="24" t="s">
        <v>273</v>
      </c>
      <c r="F140" s="24" t="s">
        <v>307</v>
      </c>
      <c r="G140">
        <v>21</v>
      </c>
      <c r="H140" t="s">
        <v>275</v>
      </c>
      <c r="I140" s="22" t="s">
        <v>308</v>
      </c>
      <c r="J140" s="22">
        <v>1071813801</v>
      </c>
      <c r="K140" t="s">
        <v>277</v>
      </c>
      <c r="L140" t="s">
        <v>313</v>
      </c>
      <c r="M140">
        <v>9</v>
      </c>
      <c r="N140">
        <v>4</v>
      </c>
      <c r="O140">
        <v>4</v>
      </c>
      <c r="P140" t="s">
        <v>279</v>
      </c>
      <c r="Q140" s="29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280</v>
      </c>
      <c r="X140" t="s">
        <v>281</v>
      </c>
      <c r="AD140" s="39"/>
      <c r="AP140" s="41"/>
    </row>
    <row r="141" spans="5:42" x14ac:dyDescent="0.25">
      <c r="E141" s="24" t="s">
        <v>273</v>
      </c>
      <c r="F141" s="24" t="s">
        <v>307</v>
      </c>
      <c r="G141">
        <v>22</v>
      </c>
      <c r="H141" t="s">
        <v>275</v>
      </c>
      <c r="I141" s="22" t="s">
        <v>287</v>
      </c>
      <c r="J141" s="22">
        <v>1071046201</v>
      </c>
      <c r="K141" t="s">
        <v>277</v>
      </c>
      <c r="L141" t="s">
        <v>314</v>
      </c>
      <c r="M141">
        <v>9</v>
      </c>
      <c r="N141">
        <v>32</v>
      </c>
      <c r="O141">
        <v>32</v>
      </c>
      <c r="P141" t="s">
        <v>279</v>
      </c>
      <c r="Q141" s="29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280</v>
      </c>
      <c r="X141" t="s">
        <v>281</v>
      </c>
      <c r="AD141" s="39"/>
      <c r="AP141" s="41"/>
    </row>
    <row r="142" spans="5:42" x14ac:dyDescent="0.25">
      <c r="E142" s="24" t="s">
        <v>273</v>
      </c>
      <c r="F142" s="24" t="s">
        <v>315</v>
      </c>
      <c r="G142">
        <v>1</v>
      </c>
      <c r="H142" t="s">
        <v>275</v>
      </c>
      <c r="I142" s="22" t="s">
        <v>287</v>
      </c>
      <c r="J142" s="22">
        <v>1075617401</v>
      </c>
      <c r="K142" t="s">
        <v>277</v>
      </c>
      <c r="L142" t="s">
        <v>314</v>
      </c>
      <c r="M142">
        <v>9</v>
      </c>
      <c r="N142">
        <v>32</v>
      </c>
      <c r="O142">
        <v>32</v>
      </c>
      <c r="P142" t="s">
        <v>279</v>
      </c>
      <c r="Q142" s="29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280</v>
      </c>
      <c r="X142" t="s">
        <v>281</v>
      </c>
      <c r="Y142">
        <v>3</v>
      </c>
      <c r="Z142">
        <v>272986</v>
      </c>
      <c r="AA142">
        <v>0</v>
      </c>
      <c r="AB142">
        <v>0</v>
      </c>
      <c r="AC142">
        <v>272986</v>
      </c>
      <c r="AP142" s="41"/>
    </row>
    <row r="143" spans="5:42" x14ac:dyDescent="0.25">
      <c r="E143" s="24" t="s">
        <v>273</v>
      </c>
      <c r="F143" s="24" t="s">
        <v>315</v>
      </c>
      <c r="G143">
        <v>2</v>
      </c>
      <c r="H143" t="s">
        <v>275</v>
      </c>
      <c r="I143" s="22" t="s">
        <v>287</v>
      </c>
      <c r="J143" s="22">
        <v>1074547501</v>
      </c>
      <c r="K143" t="s">
        <v>277</v>
      </c>
      <c r="L143" t="s">
        <v>314</v>
      </c>
      <c r="M143">
        <v>9</v>
      </c>
      <c r="N143">
        <v>32</v>
      </c>
      <c r="O143">
        <v>32</v>
      </c>
      <c r="P143" t="s">
        <v>279</v>
      </c>
      <c r="Q143" s="29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280</v>
      </c>
      <c r="X143" t="s">
        <v>281</v>
      </c>
      <c r="AP143" s="41"/>
    </row>
    <row r="144" spans="5:42" x14ac:dyDescent="0.25">
      <c r="E144" s="24" t="s">
        <v>273</v>
      </c>
      <c r="F144" s="24" t="s">
        <v>315</v>
      </c>
      <c r="G144">
        <v>3</v>
      </c>
      <c r="H144" t="s">
        <v>275</v>
      </c>
      <c r="I144" s="22" t="s">
        <v>287</v>
      </c>
      <c r="J144" s="22">
        <v>1072759401</v>
      </c>
      <c r="K144" t="s">
        <v>277</v>
      </c>
      <c r="L144" t="s">
        <v>314</v>
      </c>
      <c r="M144">
        <v>9</v>
      </c>
      <c r="N144">
        <v>32</v>
      </c>
      <c r="O144">
        <v>32</v>
      </c>
      <c r="P144" t="s">
        <v>279</v>
      </c>
      <c r="Q144" s="29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280</v>
      </c>
      <c r="X144" t="s">
        <v>281</v>
      </c>
      <c r="AP144" s="41"/>
    </row>
    <row r="145" spans="5:42" x14ac:dyDescent="0.25">
      <c r="E145" s="24" t="s">
        <v>273</v>
      </c>
      <c r="F145" s="24" t="s">
        <v>315</v>
      </c>
      <c r="G145">
        <v>4</v>
      </c>
      <c r="H145" t="s">
        <v>275</v>
      </c>
      <c r="I145" s="22" t="s">
        <v>287</v>
      </c>
      <c r="J145" s="22">
        <v>1071813901</v>
      </c>
      <c r="K145" t="s">
        <v>277</v>
      </c>
      <c r="L145" t="s">
        <v>314</v>
      </c>
      <c r="M145">
        <v>9</v>
      </c>
      <c r="N145">
        <v>32</v>
      </c>
      <c r="O145">
        <v>32</v>
      </c>
      <c r="P145" t="s">
        <v>279</v>
      </c>
      <c r="Q145" s="29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280</v>
      </c>
      <c r="X145" t="s">
        <v>281</v>
      </c>
      <c r="AP145" s="41"/>
    </row>
    <row r="146" spans="5:42" x14ac:dyDescent="0.25">
      <c r="E146" s="24" t="s">
        <v>273</v>
      </c>
      <c r="F146" s="24" t="s">
        <v>315</v>
      </c>
      <c r="G146">
        <v>5</v>
      </c>
      <c r="H146" t="s">
        <v>275</v>
      </c>
      <c r="I146" s="22" t="s">
        <v>287</v>
      </c>
      <c r="J146" s="22">
        <v>1072759301</v>
      </c>
      <c r="K146" t="s">
        <v>277</v>
      </c>
      <c r="L146" t="s">
        <v>314</v>
      </c>
      <c r="M146">
        <v>9</v>
      </c>
      <c r="N146">
        <v>32</v>
      </c>
      <c r="O146">
        <v>32</v>
      </c>
      <c r="P146" t="s">
        <v>279</v>
      </c>
      <c r="Q146" s="29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280</v>
      </c>
      <c r="X146" t="s">
        <v>281</v>
      </c>
      <c r="AP146" s="41"/>
    </row>
    <row r="147" spans="5:42" x14ac:dyDescent="0.25">
      <c r="E147" s="24" t="s">
        <v>273</v>
      </c>
      <c r="F147" s="24" t="s">
        <v>315</v>
      </c>
      <c r="G147">
        <v>6</v>
      </c>
      <c r="H147" t="s">
        <v>275</v>
      </c>
      <c r="I147" s="22" t="s">
        <v>287</v>
      </c>
      <c r="J147" s="22">
        <v>1075076201</v>
      </c>
      <c r="K147" t="s">
        <v>277</v>
      </c>
      <c r="L147" t="s">
        <v>314</v>
      </c>
      <c r="M147">
        <v>9</v>
      </c>
      <c r="N147">
        <v>32</v>
      </c>
      <c r="O147">
        <v>32</v>
      </c>
      <c r="P147" t="s">
        <v>279</v>
      </c>
      <c r="Q147" s="29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280</v>
      </c>
      <c r="X147" t="s">
        <v>281</v>
      </c>
      <c r="AP147" s="41"/>
    </row>
    <row r="148" spans="5:42" x14ac:dyDescent="0.25">
      <c r="E148" s="24" t="s">
        <v>273</v>
      </c>
      <c r="F148" s="24" t="s">
        <v>315</v>
      </c>
      <c r="G148">
        <v>7</v>
      </c>
      <c r="H148" t="s">
        <v>275</v>
      </c>
      <c r="I148" s="22" t="s">
        <v>287</v>
      </c>
      <c r="J148" s="22">
        <v>1077403701</v>
      </c>
      <c r="K148" t="s">
        <v>277</v>
      </c>
      <c r="L148" t="s">
        <v>314</v>
      </c>
      <c r="M148">
        <v>9</v>
      </c>
      <c r="N148">
        <v>32</v>
      </c>
      <c r="O148">
        <v>32</v>
      </c>
      <c r="P148" t="s">
        <v>279</v>
      </c>
      <c r="Q148" s="29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280</v>
      </c>
      <c r="X148" t="s">
        <v>281</v>
      </c>
      <c r="AP148" s="41"/>
    </row>
    <row r="149" spans="5:42" x14ac:dyDescent="0.25">
      <c r="E149" s="24" t="s">
        <v>273</v>
      </c>
      <c r="F149" s="24" t="s">
        <v>315</v>
      </c>
      <c r="G149">
        <v>8</v>
      </c>
      <c r="H149" t="s">
        <v>275</v>
      </c>
      <c r="I149" s="22" t="s">
        <v>287</v>
      </c>
      <c r="J149" s="22">
        <v>1074548101</v>
      </c>
      <c r="K149" t="s">
        <v>277</v>
      </c>
      <c r="L149" t="s">
        <v>314</v>
      </c>
      <c r="M149">
        <v>9</v>
      </c>
      <c r="N149">
        <v>32</v>
      </c>
      <c r="O149">
        <v>32</v>
      </c>
      <c r="P149" t="s">
        <v>279</v>
      </c>
      <c r="Q149" s="29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280</v>
      </c>
      <c r="X149" t="s">
        <v>281</v>
      </c>
      <c r="AP149" s="41"/>
    </row>
    <row r="150" spans="5:42" x14ac:dyDescent="0.25">
      <c r="E150" s="24" t="s">
        <v>273</v>
      </c>
      <c r="F150" s="24" t="s">
        <v>315</v>
      </c>
      <c r="G150">
        <v>9</v>
      </c>
      <c r="H150" t="s">
        <v>275</v>
      </c>
      <c r="I150" s="22" t="s">
        <v>287</v>
      </c>
      <c r="J150" s="22">
        <v>1076698801</v>
      </c>
      <c r="K150" t="s">
        <v>277</v>
      </c>
      <c r="L150" t="s">
        <v>314</v>
      </c>
      <c r="M150">
        <v>9</v>
      </c>
      <c r="N150">
        <v>32</v>
      </c>
      <c r="O150">
        <v>32</v>
      </c>
      <c r="P150" t="s">
        <v>279</v>
      </c>
      <c r="Q150" s="29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280</v>
      </c>
      <c r="X150" t="s">
        <v>281</v>
      </c>
      <c r="AP150" s="41"/>
    </row>
    <row r="151" spans="5:42" x14ac:dyDescent="0.25">
      <c r="E151" s="24" t="s">
        <v>273</v>
      </c>
      <c r="F151" s="24" t="s">
        <v>315</v>
      </c>
      <c r="G151">
        <v>10</v>
      </c>
      <c r="H151" t="s">
        <v>275</v>
      </c>
      <c r="I151" s="22" t="s">
        <v>287</v>
      </c>
      <c r="J151" s="22">
        <v>1071046501</v>
      </c>
      <c r="K151" t="s">
        <v>277</v>
      </c>
      <c r="L151" t="s">
        <v>288</v>
      </c>
      <c r="M151">
        <v>9</v>
      </c>
      <c r="N151">
        <v>32</v>
      </c>
      <c r="O151">
        <v>32</v>
      </c>
      <c r="P151" t="s">
        <v>279</v>
      </c>
      <c r="Q151" s="29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280</v>
      </c>
      <c r="X151" t="s">
        <v>281</v>
      </c>
      <c r="AP151" s="41"/>
    </row>
    <row r="152" spans="5:42" x14ac:dyDescent="0.25">
      <c r="E152" s="24" t="s">
        <v>273</v>
      </c>
      <c r="F152" s="24" t="s">
        <v>315</v>
      </c>
      <c r="G152">
        <v>11</v>
      </c>
      <c r="H152" t="s">
        <v>275</v>
      </c>
      <c r="I152" s="22" t="s">
        <v>287</v>
      </c>
      <c r="J152" s="22">
        <v>1073270701</v>
      </c>
      <c r="K152" t="s">
        <v>277</v>
      </c>
      <c r="L152" t="s">
        <v>288</v>
      </c>
      <c r="M152">
        <v>9</v>
      </c>
      <c r="N152">
        <v>32</v>
      </c>
      <c r="O152">
        <v>32</v>
      </c>
      <c r="P152" t="s">
        <v>279</v>
      </c>
      <c r="Q152" s="29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280</v>
      </c>
      <c r="X152" t="s">
        <v>281</v>
      </c>
      <c r="AP152" s="41"/>
    </row>
    <row r="153" spans="5:42" x14ac:dyDescent="0.25">
      <c r="E153" s="24" t="s">
        <v>273</v>
      </c>
      <c r="F153" s="24" t="s">
        <v>315</v>
      </c>
      <c r="G153">
        <v>12</v>
      </c>
      <c r="H153" t="s">
        <v>275</v>
      </c>
      <c r="I153" s="22" t="s">
        <v>287</v>
      </c>
      <c r="J153" s="22">
        <v>1075075901</v>
      </c>
      <c r="K153" t="s">
        <v>277</v>
      </c>
      <c r="L153" t="s">
        <v>288</v>
      </c>
      <c r="M153">
        <v>9</v>
      </c>
      <c r="N153">
        <v>32</v>
      </c>
      <c r="O153">
        <v>32</v>
      </c>
      <c r="P153" t="s">
        <v>279</v>
      </c>
      <c r="Q153" s="29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280</v>
      </c>
      <c r="X153" t="s">
        <v>281</v>
      </c>
      <c r="AP153" s="41"/>
    </row>
    <row r="154" spans="5:42" x14ac:dyDescent="0.25">
      <c r="E154" s="24" t="s">
        <v>273</v>
      </c>
      <c r="F154" s="24" t="s">
        <v>315</v>
      </c>
      <c r="G154">
        <v>13</v>
      </c>
      <c r="H154" t="s">
        <v>275</v>
      </c>
      <c r="I154" s="22" t="s">
        <v>287</v>
      </c>
      <c r="J154" s="22">
        <v>1072265601</v>
      </c>
      <c r="K154" t="s">
        <v>277</v>
      </c>
      <c r="L154" t="s">
        <v>288</v>
      </c>
      <c r="M154">
        <v>9</v>
      </c>
      <c r="N154">
        <v>32</v>
      </c>
      <c r="O154">
        <v>32</v>
      </c>
      <c r="P154" t="s">
        <v>279</v>
      </c>
      <c r="Q154" s="29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280</v>
      </c>
      <c r="X154" t="s">
        <v>281</v>
      </c>
      <c r="AP154" s="41"/>
    </row>
    <row r="155" spans="5:42" x14ac:dyDescent="0.25">
      <c r="E155" s="24" t="s">
        <v>273</v>
      </c>
      <c r="F155" s="24" t="s">
        <v>315</v>
      </c>
      <c r="G155">
        <v>14</v>
      </c>
      <c r="H155" t="s">
        <v>275</v>
      </c>
      <c r="I155" s="22" t="s">
        <v>287</v>
      </c>
      <c r="J155" s="22">
        <v>1077403501</v>
      </c>
      <c r="K155" t="s">
        <v>277</v>
      </c>
      <c r="L155" t="s">
        <v>288</v>
      </c>
      <c r="M155">
        <v>9</v>
      </c>
      <c r="N155">
        <v>32</v>
      </c>
      <c r="O155">
        <v>32</v>
      </c>
      <c r="P155" t="s">
        <v>279</v>
      </c>
      <c r="Q155" s="29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280</v>
      </c>
      <c r="X155" t="s">
        <v>281</v>
      </c>
      <c r="AP155" s="41"/>
    </row>
    <row r="156" spans="5:42" x14ac:dyDescent="0.25">
      <c r="E156" s="24" t="s">
        <v>273</v>
      </c>
      <c r="F156" s="24" t="s">
        <v>315</v>
      </c>
      <c r="G156">
        <v>15</v>
      </c>
      <c r="H156" t="s">
        <v>275</v>
      </c>
      <c r="I156" s="22" t="s">
        <v>287</v>
      </c>
      <c r="J156" s="22">
        <v>1076138301</v>
      </c>
      <c r="K156" t="s">
        <v>277</v>
      </c>
      <c r="L156" t="s">
        <v>288</v>
      </c>
      <c r="M156">
        <v>9</v>
      </c>
      <c r="N156">
        <v>32</v>
      </c>
      <c r="O156">
        <v>32</v>
      </c>
      <c r="P156" t="s">
        <v>279</v>
      </c>
      <c r="Q156" s="29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280</v>
      </c>
      <c r="X156" t="s">
        <v>281</v>
      </c>
      <c r="AP156" s="41"/>
    </row>
    <row r="157" spans="5:42" x14ac:dyDescent="0.25">
      <c r="E157" s="24" t="s">
        <v>273</v>
      </c>
      <c r="F157" s="24" t="s">
        <v>315</v>
      </c>
      <c r="G157">
        <v>16</v>
      </c>
      <c r="H157" t="s">
        <v>275</v>
      </c>
      <c r="I157" s="22" t="s">
        <v>287</v>
      </c>
      <c r="J157" s="22">
        <v>1075617301</v>
      </c>
      <c r="K157" t="s">
        <v>277</v>
      </c>
      <c r="L157" t="s">
        <v>288</v>
      </c>
      <c r="M157">
        <v>9</v>
      </c>
      <c r="N157">
        <v>32</v>
      </c>
      <c r="O157">
        <v>32</v>
      </c>
      <c r="P157" t="s">
        <v>279</v>
      </c>
      <c r="Q157" s="29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280</v>
      </c>
      <c r="X157" t="s">
        <v>281</v>
      </c>
      <c r="AP157" s="41"/>
    </row>
    <row r="158" spans="5:42" x14ac:dyDescent="0.25">
      <c r="E158" s="24" t="s">
        <v>273</v>
      </c>
      <c r="F158" s="24" t="s">
        <v>315</v>
      </c>
      <c r="G158">
        <v>17</v>
      </c>
      <c r="H158" t="s">
        <v>275</v>
      </c>
      <c r="I158" s="22" t="s">
        <v>282</v>
      </c>
      <c r="J158" s="22">
        <v>1071813601</v>
      </c>
      <c r="K158" t="s">
        <v>277</v>
      </c>
      <c r="L158" t="s">
        <v>283</v>
      </c>
      <c r="M158">
        <v>9</v>
      </c>
      <c r="N158">
        <v>12</v>
      </c>
      <c r="O158">
        <v>12</v>
      </c>
      <c r="P158" t="s">
        <v>279</v>
      </c>
      <c r="Q158" s="29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280</v>
      </c>
      <c r="X158" t="s">
        <v>281</v>
      </c>
      <c r="AP158" s="41"/>
    </row>
    <row r="159" spans="5:42" x14ac:dyDescent="0.25">
      <c r="E159" s="24" t="s">
        <v>273</v>
      </c>
      <c r="F159" s="24" t="s">
        <v>315</v>
      </c>
      <c r="G159">
        <v>18</v>
      </c>
      <c r="H159" t="s">
        <v>275</v>
      </c>
      <c r="I159" s="22" t="s">
        <v>282</v>
      </c>
      <c r="J159" s="22">
        <v>1075617501</v>
      </c>
      <c r="K159" t="s">
        <v>277</v>
      </c>
      <c r="L159" t="s">
        <v>283</v>
      </c>
      <c r="M159">
        <v>9</v>
      </c>
      <c r="N159">
        <v>12</v>
      </c>
      <c r="O159">
        <v>12</v>
      </c>
      <c r="P159" t="s">
        <v>279</v>
      </c>
      <c r="Q159" s="29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280</v>
      </c>
      <c r="X159" t="s">
        <v>281</v>
      </c>
      <c r="AP159" s="41"/>
    </row>
    <row r="160" spans="5:42" x14ac:dyDescent="0.25">
      <c r="E160" s="24" t="s">
        <v>273</v>
      </c>
      <c r="F160" s="24" t="s">
        <v>315</v>
      </c>
      <c r="G160">
        <v>19</v>
      </c>
      <c r="H160" t="s">
        <v>275</v>
      </c>
      <c r="I160" s="22" t="s">
        <v>282</v>
      </c>
      <c r="J160" s="22">
        <v>1072759101</v>
      </c>
      <c r="K160" t="s">
        <v>277</v>
      </c>
      <c r="L160" t="s">
        <v>283</v>
      </c>
      <c r="M160">
        <v>9</v>
      </c>
      <c r="N160">
        <v>24</v>
      </c>
      <c r="O160">
        <v>24</v>
      </c>
      <c r="P160" t="s">
        <v>279</v>
      </c>
      <c r="Q160" s="29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280</v>
      </c>
      <c r="X160" t="s">
        <v>281</v>
      </c>
      <c r="AP160" s="41"/>
    </row>
    <row r="161" spans="5:42" x14ac:dyDescent="0.25">
      <c r="E161" s="24" t="s">
        <v>273</v>
      </c>
      <c r="F161" s="24" t="s">
        <v>315</v>
      </c>
      <c r="G161">
        <v>20</v>
      </c>
      <c r="H161" t="s">
        <v>275</v>
      </c>
      <c r="I161" s="22" t="s">
        <v>282</v>
      </c>
      <c r="J161" s="22">
        <v>1072265701</v>
      </c>
      <c r="K161" t="s">
        <v>277</v>
      </c>
      <c r="L161" t="s">
        <v>283</v>
      </c>
      <c r="M161">
        <v>9</v>
      </c>
      <c r="N161">
        <v>12</v>
      </c>
      <c r="O161">
        <v>12</v>
      </c>
      <c r="P161" t="s">
        <v>279</v>
      </c>
      <c r="Q161" s="29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280</v>
      </c>
      <c r="X161" t="s">
        <v>281</v>
      </c>
      <c r="AP161" s="41"/>
    </row>
    <row r="162" spans="5:42" x14ac:dyDescent="0.25">
      <c r="E162" s="24" t="s">
        <v>273</v>
      </c>
      <c r="F162" s="24" t="s">
        <v>315</v>
      </c>
      <c r="G162">
        <v>21</v>
      </c>
      <c r="H162" t="s">
        <v>275</v>
      </c>
      <c r="I162" s="22" t="s">
        <v>282</v>
      </c>
      <c r="J162" s="22">
        <v>1075076301</v>
      </c>
      <c r="K162" t="s">
        <v>277</v>
      </c>
      <c r="L162" t="s">
        <v>283</v>
      </c>
      <c r="M162">
        <v>9</v>
      </c>
      <c r="N162">
        <v>12</v>
      </c>
      <c r="O162">
        <v>12</v>
      </c>
      <c r="P162" t="s">
        <v>279</v>
      </c>
      <c r="Q162" s="29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280</v>
      </c>
      <c r="X162" t="s">
        <v>281</v>
      </c>
      <c r="AP162" s="41"/>
    </row>
    <row r="163" spans="5:42" x14ac:dyDescent="0.25">
      <c r="E163" s="24" t="s">
        <v>273</v>
      </c>
      <c r="F163" s="24" t="s">
        <v>315</v>
      </c>
      <c r="G163">
        <v>22</v>
      </c>
      <c r="H163" t="s">
        <v>275</v>
      </c>
      <c r="I163" s="22" t="s">
        <v>282</v>
      </c>
      <c r="J163" s="22">
        <v>1076698901</v>
      </c>
      <c r="K163" t="s">
        <v>277</v>
      </c>
      <c r="L163" t="s">
        <v>283</v>
      </c>
      <c r="M163">
        <v>9</v>
      </c>
      <c r="N163">
        <v>12</v>
      </c>
      <c r="O163">
        <v>12</v>
      </c>
      <c r="P163" t="s">
        <v>279</v>
      </c>
      <c r="Q163" s="29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280</v>
      </c>
      <c r="X163" t="s">
        <v>281</v>
      </c>
      <c r="AP163" s="41"/>
    </row>
    <row r="164" spans="5:42" x14ac:dyDescent="0.25">
      <c r="E164" s="24" t="s">
        <v>273</v>
      </c>
      <c r="F164" s="24" t="s">
        <v>316</v>
      </c>
      <c r="G164">
        <v>1</v>
      </c>
      <c r="H164" t="s">
        <v>275</v>
      </c>
      <c r="I164" s="22" t="s">
        <v>282</v>
      </c>
      <c r="J164" s="22">
        <v>1077403801</v>
      </c>
      <c r="K164" t="s">
        <v>277</v>
      </c>
      <c r="L164" t="s">
        <v>283</v>
      </c>
      <c r="M164">
        <v>9</v>
      </c>
      <c r="N164">
        <v>12</v>
      </c>
      <c r="O164">
        <v>12</v>
      </c>
      <c r="P164" t="s">
        <v>279</v>
      </c>
      <c r="Q164" s="29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280</v>
      </c>
      <c r="X164" t="s">
        <v>281</v>
      </c>
      <c r="Y164">
        <v>3</v>
      </c>
      <c r="Z164">
        <v>467804</v>
      </c>
      <c r="AA164">
        <v>0</v>
      </c>
      <c r="AB164">
        <v>0</v>
      </c>
      <c r="AC164">
        <v>467804</v>
      </c>
      <c r="AP164" s="41"/>
    </row>
    <row r="165" spans="5:42" x14ac:dyDescent="0.25">
      <c r="E165" s="24" t="s">
        <v>273</v>
      </c>
      <c r="F165" s="24" t="s">
        <v>316</v>
      </c>
      <c r="G165">
        <v>2</v>
      </c>
      <c r="H165" t="s">
        <v>275</v>
      </c>
      <c r="I165" s="22" t="s">
        <v>317</v>
      </c>
      <c r="J165" s="22">
        <v>1073270801</v>
      </c>
      <c r="K165" t="s">
        <v>277</v>
      </c>
      <c r="L165" t="s">
        <v>318</v>
      </c>
      <c r="M165">
        <v>9</v>
      </c>
      <c r="N165">
        <v>16</v>
      </c>
      <c r="O165">
        <v>16</v>
      </c>
      <c r="P165" t="s">
        <v>279</v>
      </c>
      <c r="Q165" s="29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280</v>
      </c>
      <c r="X165" t="s">
        <v>281</v>
      </c>
      <c r="AP165" s="41"/>
    </row>
    <row r="166" spans="5:42" x14ac:dyDescent="0.25">
      <c r="E166" s="24" t="s">
        <v>273</v>
      </c>
      <c r="F166" s="24" t="s">
        <v>316</v>
      </c>
      <c r="G166">
        <v>3</v>
      </c>
      <c r="H166" t="s">
        <v>275</v>
      </c>
      <c r="I166" s="22" t="s">
        <v>317</v>
      </c>
      <c r="J166" s="22">
        <v>1075076401</v>
      </c>
      <c r="K166" t="s">
        <v>277</v>
      </c>
      <c r="L166" t="s">
        <v>318</v>
      </c>
      <c r="M166">
        <v>9</v>
      </c>
      <c r="N166">
        <v>16</v>
      </c>
      <c r="O166">
        <v>16</v>
      </c>
      <c r="P166" t="s">
        <v>279</v>
      </c>
      <c r="Q166" s="29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280</v>
      </c>
      <c r="X166" t="s">
        <v>281</v>
      </c>
      <c r="AP166" s="41"/>
    </row>
    <row r="167" spans="5:42" x14ac:dyDescent="0.25">
      <c r="E167" s="24" t="s">
        <v>273</v>
      </c>
      <c r="F167" s="24" t="s">
        <v>316</v>
      </c>
      <c r="G167">
        <v>4</v>
      </c>
      <c r="H167" t="s">
        <v>275</v>
      </c>
      <c r="I167" s="22" t="s">
        <v>317</v>
      </c>
      <c r="J167" s="22">
        <v>1073792001</v>
      </c>
      <c r="K167" t="s">
        <v>277</v>
      </c>
      <c r="L167" t="s">
        <v>318</v>
      </c>
      <c r="M167">
        <v>9</v>
      </c>
      <c r="N167">
        <v>16</v>
      </c>
      <c r="O167">
        <v>16</v>
      </c>
      <c r="P167" t="s">
        <v>279</v>
      </c>
      <c r="Q167" s="29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280</v>
      </c>
      <c r="X167" t="s">
        <v>281</v>
      </c>
    </row>
    <row r="168" spans="5:42" x14ac:dyDescent="0.25">
      <c r="E168" s="24" t="s">
        <v>273</v>
      </c>
      <c r="F168" s="24" t="s">
        <v>316</v>
      </c>
      <c r="G168">
        <v>5</v>
      </c>
      <c r="H168" t="s">
        <v>275</v>
      </c>
      <c r="I168" s="22" t="s">
        <v>319</v>
      </c>
      <c r="J168" s="22">
        <v>1000138801</v>
      </c>
      <c r="K168" t="s">
        <v>277</v>
      </c>
      <c r="L168" t="s">
        <v>320</v>
      </c>
      <c r="M168">
        <v>9</v>
      </c>
      <c r="N168">
        <v>1</v>
      </c>
      <c r="O168">
        <v>1</v>
      </c>
      <c r="P168" t="s">
        <v>279</v>
      </c>
      <c r="Q168" s="29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280</v>
      </c>
      <c r="X168" t="s">
        <v>281</v>
      </c>
    </row>
    <row r="169" spans="5:42" x14ac:dyDescent="0.25">
      <c r="E169" s="24" t="s">
        <v>273</v>
      </c>
      <c r="F169" s="24" t="s">
        <v>316</v>
      </c>
      <c r="G169">
        <v>6</v>
      </c>
      <c r="H169" t="s">
        <v>275</v>
      </c>
      <c r="I169" s="22" t="s">
        <v>319</v>
      </c>
      <c r="J169" s="22">
        <v>1000138901</v>
      </c>
      <c r="K169" t="s">
        <v>277</v>
      </c>
      <c r="L169" t="s">
        <v>321</v>
      </c>
      <c r="M169">
        <v>9</v>
      </c>
      <c r="N169">
        <v>1</v>
      </c>
      <c r="O169">
        <v>1</v>
      </c>
      <c r="P169" t="s">
        <v>279</v>
      </c>
      <c r="Q169" s="29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280</v>
      </c>
      <c r="X169" t="s">
        <v>281</v>
      </c>
    </row>
    <row r="170" spans="5:42" x14ac:dyDescent="0.25">
      <c r="E170" s="24" t="s">
        <v>273</v>
      </c>
      <c r="F170" s="24" t="s">
        <v>316</v>
      </c>
      <c r="G170">
        <v>7</v>
      </c>
      <c r="H170" t="s">
        <v>275</v>
      </c>
      <c r="I170" s="22" t="s">
        <v>289</v>
      </c>
      <c r="J170" s="22">
        <v>1071814001</v>
      </c>
      <c r="K170" t="s">
        <v>277</v>
      </c>
      <c r="L170" t="s">
        <v>290</v>
      </c>
      <c r="M170">
        <v>9</v>
      </c>
      <c r="N170">
        <v>40</v>
      </c>
      <c r="O170">
        <v>40</v>
      </c>
      <c r="P170" t="s">
        <v>279</v>
      </c>
      <c r="Q170" s="29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280</v>
      </c>
      <c r="X170" t="s">
        <v>281</v>
      </c>
    </row>
    <row r="171" spans="5:42" x14ac:dyDescent="0.25">
      <c r="E171" s="24" t="s">
        <v>273</v>
      </c>
      <c r="F171" s="24" t="s">
        <v>316</v>
      </c>
      <c r="G171">
        <v>8</v>
      </c>
      <c r="H171" t="s">
        <v>275</v>
      </c>
      <c r="I171" s="22" t="s">
        <v>289</v>
      </c>
      <c r="J171" s="22">
        <v>1075617701</v>
      </c>
      <c r="K171" t="s">
        <v>277</v>
      </c>
      <c r="L171" t="s">
        <v>290</v>
      </c>
      <c r="M171">
        <v>9</v>
      </c>
      <c r="N171">
        <v>40</v>
      </c>
      <c r="O171">
        <v>40</v>
      </c>
      <c r="P171" t="s">
        <v>279</v>
      </c>
      <c r="Q171" s="29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280</v>
      </c>
      <c r="X171" t="s">
        <v>281</v>
      </c>
    </row>
    <row r="172" spans="5:42" x14ac:dyDescent="0.25">
      <c r="E172" s="24" t="s">
        <v>273</v>
      </c>
      <c r="F172" s="24" t="s">
        <v>316</v>
      </c>
      <c r="G172">
        <v>9</v>
      </c>
      <c r="H172" t="s">
        <v>275</v>
      </c>
      <c r="I172" s="22" t="s">
        <v>322</v>
      </c>
      <c r="J172" s="22">
        <v>1073792101</v>
      </c>
      <c r="K172" t="s">
        <v>277</v>
      </c>
      <c r="L172" t="s">
        <v>323</v>
      </c>
      <c r="M172">
        <v>9</v>
      </c>
      <c r="N172">
        <v>52</v>
      </c>
      <c r="O172">
        <v>52</v>
      </c>
      <c r="P172" t="s">
        <v>279</v>
      </c>
      <c r="Q172" s="29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280</v>
      </c>
      <c r="X172" t="s">
        <v>281</v>
      </c>
    </row>
    <row r="173" spans="5:42" x14ac:dyDescent="0.25">
      <c r="E173" s="24" t="s">
        <v>273</v>
      </c>
      <c r="F173" s="24" t="s">
        <v>316</v>
      </c>
      <c r="G173">
        <v>10</v>
      </c>
      <c r="H173" t="s">
        <v>275</v>
      </c>
      <c r="I173" s="22" t="s">
        <v>322</v>
      </c>
      <c r="J173" s="22">
        <v>1072266001</v>
      </c>
      <c r="K173" t="s">
        <v>277</v>
      </c>
      <c r="L173" t="s">
        <v>324</v>
      </c>
      <c r="M173">
        <v>9</v>
      </c>
      <c r="N173">
        <v>52</v>
      </c>
      <c r="O173">
        <v>52</v>
      </c>
      <c r="P173" t="s">
        <v>279</v>
      </c>
      <c r="Q173" s="29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280</v>
      </c>
      <c r="X173" t="s">
        <v>281</v>
      </c>
    </row>
    <row r="174" spans="5:42" x14ac:dyDescent="0.25">
      <c r="E174" s="24" t="s">
        <v>273</v>
      </c>
      <c r="F174" s="24" t="s">
        <v>316</v>
      </c>
      <c r="G174">
        <v>11</v>
      </c>
      <c r="H174" t="s">
        <v>275</v>
      </c>
      <c r="I174" s="22" t="s">
        <v>322</v>
      </c>
      <c r="J174" s="22">
        <v>1075617901</v>
      </c>
      <c r="K174" t="s">
        <v>277</v>
      </c>
      <c r="L174" t="s">
        <v>324</v>
      </c>
      <c r="M174">
        <v>9</v>
      </c>
      <c r="N174">
        <v>52</v>
      </c>
      <c r="O174">
        <v>52</v>
      </c>
      <c r="P174" t="s">
        <v>279</v>
      </c>
      <c r="Q174" s="29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280</v>
      </c>
      <c r="X174" t="s">
        <v>281</v>
      </c>
    </row>
    <row r="175" spans="5:42" x14ac:dyDescent="0.25">
      <c r="E175" s="24" t="s">
        <v>273</v>
      </c>
      <c r="F175" s="24" t="s">
        <v>316</v>
      </c>
      <c r="G175">
        <v>12</v>
      </c>
      <c r="H175" t="s">
        <v>275</v>
      </c>
      <c r="I175" s="22" t="s">
        <v>325</v>
      </c>
      <c r="J175" s="22">
        <v>1075617801</v>
      </c>
      <c r="K175" t="s">
        <v>277</v>
      </c>
      <c r="L175" t="s">
        <v>326</v>
      </c>
      <c r="M175">
        <v>9</v>
      </c>
      <c r="N175">
        <v>1</v>
      </c>
      <c r="O175">
        <v>1</v>
      </c>
      <c r="P175" t="s">
        <v>279</v>
      </c>
      <c r="Q175" s="29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280</v>
      </c>
      <c r="X175" t="s">
        <v>281</v>
      </c>
    </row>
    <row r="176" spans="5:42" x14ac:dyDescent="0.25">
      <c r="E176" s="24" t="s">
        <v>273</v>
      </c>
      <c r="F176" s="24" t="s">
        <v>316</v>
      </c>
      <c r="G176">
        <v>13</v>
      </c>
      <c r="H176" t="s">
        <v>275</v>
      </c>
      <c r="I176" s="22" t="s">
        <v>325</v>
      </c>
      <c r="J176" s="22">
        <v>1076138501</v>
      </c>
      <c r="K176" t="s">
        <v>277</v>
      </c>
      <c r="L176" t="s">
        <v>326</v>
      </c>
      <c r="M176">
        <v>9</v>
      </c>
      <c r="N176">
        <v>4</v>
      </c>
      <c r="O176">
        <v>4</v>
      </c>
      <c r="P176" t="s">
        <v>279</v>
      </c>
      <c r="Q176" s="29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280</v>
      </c>
      <c r="X176" t="s">
        <v>281</v>
      </c>
    </row>
    <row r="177" spans="5:29" x14ac:dyDescent="0.25">
      <c r="E177" s="24" t="s">
        <v>273</v>
      </c>
      <c r="F177" s="24" t="s">
        <v>316</v>
      </c>
      <c r="G177">
        <v>14</v>
      </c>
      <c r="H177" t="s">
        <v>275</v>
      </c>
      <c r="I177" s="22" t="s">
        <v>319</v>
      </c>
      <c r="J177" s="22">
        <v>1067227301</v>
      </c>
      <c r="K177" t="s">
        <v>277</v>
      </c>
      <c r="L177" t="s">
        <v>327</v>
      </c>
      <c r="M177">
        <v>9</v>
      </c>
      <c r="N177">
        <v>3</v>
      </c>
      <c r="O177">
        <v>3</v>
      </c>
      <c r="P177" t="s">
        <v>279</v>
      </c>
      <c r="Q177" s="29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280</v>
      </c>
      <c r="X177" t="s">
        <v>281</v>
      </c>
    </row>
    <row r="178" spans="5:29" x14ac:dyDescent="0.25">
      <c r="E178" s="24" t="s">
        <v>273</v>
      </c>
      <c r="F178" s="24" t="s">
        <v>316</v>
      </c>
      <c r="G178">
        <v>15</v>
      </c>
      <c r="H178" t="s">
        <v>275</v>
      </c>
      <c r="I178" s="22" t="s">
        <v>319</v>
      </c>
      <c r="J178" s="22">
        <v>1034396501</v>
      </c>
      <c r="K178" t="s">
        <v>277</v>
      </c>
      <c r="L178" t="s">
        <v>327</v>
      </c>
      <c r="M178">
        <v>9</v>
      </c>
      <c r="N178">
        <v>1</v>
      </c>
      <c r="O178">
        <v>1</v>
      </c>
      <c r="P178" t="s">
        <v>279</v>
      </c>
      <c r="Q178" s="29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280</v>
      </c>
      <c r="X178" t="s">
        <v>281</v>
      </c>
    </row>
    <row r="179" spans="5:29" x14ac:dyDescent="0.25">
      <c r="E179" s="24" t="s">
        <v>273</v>
      </c>
      <c r="F179" s="24" t="s">
        <v>316</v>
      </c>
      <c r="G179">
        <v>16</v>
      </c>
      <c r="H179" t="s">
        <v>275</v>
      </c>
      <c r="I179" s="22" t="s">
        <v>319</v>
      </c>
      <c r="J179" s="22">
        <v>1000167701</v>
      </c>
      <c r="K179" t="s">
        <v>277</v>
      </c>
      <c r="L179" t="s">
        <v>327</v>
      </c>
      <c r="M179">
        <v>9</v>
      </c>
      <c r="N179">
        <v>4</v>
      </c>
      <c r="O179">
        <v>4</v>
      </c>
      <c r="P179" t="s">
        <v>279</v>
      </c>
      <c r="Q179" s="29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280</v>
      </c>
      <c r="X179" t="s">
        <v>281</v>
      </c>
    </row>
    <row r="180" spans="5:29" x14ac:dyDescent="0.25">
      <c r="E180" s="24" t="s">
        <v>273</v>
      </c>
      <c r="F180" s="24" t="s">
        <v>316</v>
      </c>
      <c r="G180">
        <v>17</v>
      </c>
      <c r="H180" t="s">
        <v>275</v>
      </c>
      <c r="I180" s="22" t="s">
        <v>328</v>
      </c>
      <c r="J180" s="22">
        <v>1071326001</v>
      </c>
      <c r="K180" t="s">
        <v>277</v>
      </c>
      <c r="L180" t="s">
        <v>329</v>
      </c>
      <c r="M180">
        <v>9</v>
      </c>
      <c r="N180">
        <v>40</v>
      </c>
      <c r="O180">
        <v>40</v>
      </c>
      <c r="P180" t="s">
        <v>279</v>
      </c>
      <c r="Q180" s="29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280</v>
      </c>
      <c r="X180" t="s">
        <v>281</v>
      </c>
    </row>
    <row r="181" spans="5:29" x14ac:dyDescent="0.25">
      <c r="E181" s="24" t="s">
        <v>273</v>
      </c>
      <c r="F181" s="24" t="s">
        <v>316</v>
      </c>
      <c r="G181">
        <v>18</v>
      </c>
      <c r="H181" t="s">
        <v>275</v>
      </c>
      <c r="I181" s="22" t="s">
        <v>328</v>
      </c>
      <c r="J181" s="22">
        <v>1071326101</v>
      </c>
      <c r="K181" t="s">
        <v>277</v>
      </c>
      <c r="L181" t="s">
        <v>329</v>
      </c>
      <c r="M181">
        <v>9</v>
      </c>
      <c r="N181">
        <v>40</v>
      </c>
      <c r="O181">
        <v>40</v>
      </c>
      <c r="P181" t="s">
        <v>279</v>
      </c>
      <c r="Q181" s="29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280</v>
      </c>
      <c r="X181" t="s">
        <v>281</v>
      </c>
    </row>
    <row r="182" spans="5:29" x14ac:dyDescent="0.25">
      <c r="E182" s="24" t="s">
        <v>273</v>
      </c>
      <c r="F182" s="24" t="s">
        <v>316</v>
      </c>
      <c r="G182">
        <v>19</v>
      </c>
      <c r="H182" t="s">
        <v>275</v>
      </c>
      <c r="I182" s="22" t="s">
        <v>328</v>
      </c>
      <c r="J182" s="22">
        <v>1071326201</v>
      </c>
      <c r="K182" t="s">
        <v>277</v>
      </c>
      <c r="L182" t="s">
        <v>330</v>
      </c>
      <c r="M182">
        <v>9</v>
      </c>
      <c r="N182">
        <v>40</v>
      </c>
      <c r="O182">
        <v>40</v>
      </c>
      <c r="P182" t="s">
        <v>279</v>
      </c>
      <c r="Q182" s="29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280</v>
      </c>
      <c r="X182" t="s">
        <v>281</v>
      </c>
    </row>
    <row r="183" spans="5:29" x14ac:dyDescent="0.25">
      <c r="E183" s="24" t="s">
        <v>273</v>
      </c>
      <c r="F183" s="24" t="s">
        <v>316</v>
      </c>
      <c r="G183">
        <v>20</v>
      </c>
      <c r="H183" t="s">
        <v>275</v>
      </c>
      <c r="I183" s="22" t="s">
        <v>328</v>
      </c>
      <c r="J183" s="22">
        <v>1071326301</v>
      </c>
      <c r="K183" t="s">
        <v>277</v>
      </c>
      <c r="L183" t="s">
        <v>330</v>
      </c>
      <c r="M183">
        <v>9</v>
      </c>
      <c r="N183">
        <v>40</v>
      </c>
      <c r="O183">
        <v>40</v>
      </c>
      <c r="P183" t="s">
        <v>279</v>
      </c>
      <c r="Q183" s="29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280</v>
      </c>
      <c r="X183" t="s">
        <v>281</v>
      </c>
    </row>
    <row r="184" spans="5:29" x14ac:dyDescent="0.25">
      <c r="E184" s="24" t="s">
        <v>273</v>
      </c>
      <c r="F184" s="24" t="s">
        <v>316</v>
      </c>
      <c r="G184">
        <v>21</v>
      </c>
      <c r="H184" t="s">
        <v>275</v>
      </c>
      <c r="I184" s="22" t="s">
        <v>331</v>
      </c>
      <c r="J184" s="22">
        <v>1072504101</v>
      </c>
      <c r="K184" t="s">
        <v>277</v>
      </c>
      <c r="L184" t="s">
        <v>332</v>
      </c>
      <c r="M184">
        <v>9</v>
      </c>
      <c r="N184">
        <v>3</v>
      </c>
      <c r="O184">
        <v>3</v>
      </c>
      <c r="P184" t="s">
        <v>279</v>
      </c>
      <c r="Q184" s="29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280</v>
      </c>
      <c r="X184" t="s">
        <v>281</v>
      </c>
    </row>
    <row r="185" spans="5:29" x14ac:dyDescent="0.25">
      <c r="E185" s="24" t="s">
        <v>273</v>
      </c>
      <c r="F185" s="24" t="s">
        <v>316</v>
      </c>
      <c r="G185">
        <v>22</v>
      </c>
      <c r="H185" t="s">
        <v>275</v>
      </c>
      <c r="I185" s="22" t="s">
        <v>331</v>
      </c>
      <c r="J185" s="22">
        <v>1072504201</v>
      </c>
      <c r="K185" t="s">
        <v>277</v>
      </c>
      <c r="L185" t="s">
        <v>333</v>
      </c>
      <c r="M185">
        <v>9</v>
      </c>
      <c r="N185">
        <v>3</v>
      </c>
      <c r="O185">
        <v>3</v>
      </c>
      <c r="P185" t="s">
        <v>279</v>
      </c>
      <c r="Q185" s="29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280</v>
      </c>
      <c r="X185" t="s">
        <v>281</v>
      </c>
    </row>
    <row r="186" spans="5:29" x14ac:dyDescent="0.25">
      <c r="E186" s="24" t="s">
        <v>273</v>
      </c>
      <c r="F186" s="24" t="s">
        <v>334</v>
      </c>
      <c r="G186">
        <v>1</v>
      </c>
      <c r="H186" t="s">
        <v>275</v>
      </c>
      <c r="I186" s="22" t="s">
        <v>287</v>
      </c>
      <c r="J186" s="22">
        <v>1072759701</v>
      </c>
      <c r="K186" t="s">
        <v>277</v>
      </c>
      <c r="L186" t="s">
        <v>291</v>
      </c>
      <c r="M186">
        <v>9</v>
      </c>
      <c r="N186">
        <v>100</v>
      </c>
      <c r="O186">
        <v>100</v>
      </c>
      <c r="P186" t="s">
        <v>279</v>
      </c>
      <c r="Q186" s="29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280</v>
      </c>
      <c r="X186" t="s">
        <v>281</v>
      </c>
      <c r="Y186">
        <v>3</v>
      </c>
      <c r="Z186">
        <v>9370</v>
      </c>
      <c r="AA186">
        <v>0</v>
      </c>
      <c r="AB186">
        <v>0</v>
      </c>
      <c r="AC186">
        <v>9370</v>
      </c>
    </row>
    <row r="187" spans="5:29" x14ac:dyDescent="0.25">
      <c r="E187" s="24" t="s">
        <v>273</v>
      </c>
      <c r="F187" s="24" t="s">
        <v>334</v>
      </c>
      <c r="G187">
        <v>2</v>
      </c>
      <c r="H187" t="s">
        <v>275</v>
      </c>
      <c r="I187" s="22" t="s">
        <v>287</v>
      </c>
      <c r="J187" s="22">
        <v>1075617601</v>
      </c>
      <c r="K187" t="s">
        <v>277</v>
      </c>
      <c r="L187" t="s">
        <v>291</v>
      </c>
      <c r="M187">
        <v>9</v>
      </c>
      <c r="N187">
        <v>100</v>
      </c>
      <c r="O187">
        <v>100</v>
      </c>
      <c r="P187" t="s">
        <v>279</v>
      </c>
      <c r="Q187" s="29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280</v>
      </c>
      <c r="X187" t="s">
        <v>281</v>
      </c>
    </row>
    <row r="188" spans="5:29" x14ac:dyDescent="0.25">
      <c r="E188" s="24" t="s">
        <v>273</v>
      </c>
      <c r="F188" s="24" t="s">
        <v>334</v>
      </c>
      <c r="G188">
        <v>3</v>
      </c>
      <c r="H188" t="s">
        <v>275</v>
      </c>
      <c r="I188" s="22" t="s">
        <v>287</v>
      </c>
      <c r="J188" s="22">
        <v>1077403901</v>
      </c>
      <c r="K188" t="s">
        <v>277</v>
      </c>
      <c r="L188" t="s">
        <v>291</v>
      </c>
      <c r="M188">
        <v>9</v>
      </c>
      <c r="N188">
        <v>100</v>
      </c>
      <c r="O188">
        <v>100</v>
      </c>
      <c r="P188" t="s">
        <v>279</v>
      </c>
      <c r="Q188" s="29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280</v>
      </c>
      <c r="X188" t="s">
        <v>281</v>
      </c>
    </row>
    <row r="189" spans="5:29" x14ac:dyDescent="0.25">
      <c r="E189" s="24" t="s">
        <v>273</v>
      </c>
      <c r="F189" s="24" t="s">
        <v>334</v>
      </c>
      <c r="G189">
        <v>4</v>
      </c>
      <c r="H189" t="s">
        <v>275</v>
      </c>
      <c r="I189" s="22" t="s">
        <v>287</v>
      </c>
      <c r="J189" s="22">
        <v>1072759801</v>
      </c>
      <c r="K189" t="s">
        <v>277</v>
      </c>
      <c r="L189" t="s">
        <v>291</v>
      </c>
      <c r="M189">
        <v>9</v>
      </c>
      <c r="N189">
        <v>100</v>
      </c>
      <c r="O189">
        <v>100</v>
      </c>
      <c r="P189" t="s">
        <v>279</v>
      </c>
      <c r="Q189" s="29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280</v>
      </c>
      <c r="X189" t="s">
        <v>281</v>
      </c>
    </row>
    <row r="190" spans="5:29" x14ac:dyDescent="0.25">
      <c r="E190" s="24" t="s">
        <v>273</v>
      </c>
      <c r="F190" s="24" t="s">
        <v>334</v>
      </c>
      <c r="G190">
        <v>5</v>
      </c>
      <c r="H190" t="s">
        <v>275</v>
      </c>
      <c r="I190" s="22" t="s">
        <v>287</v>
      </c>
      <c r="J190" s="22">
        <v>1075617001</v>
      </c>
      <c r="K190" t="s">
        <v>277</v>
      </c>
      <c r="L190" t="s">
        <v>291</v>
      </c>
      <c r="M190">
        <v>9</v>
      </c>
      <c r="N190">
        <v>100</v>
      </c>
      <c r="O190">
        <v>100</v>
      </c>
      <c r="P190" t="s">
        <v>279</v>
      </c>
      <c r="Q190" s="29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280</v>
      </c>
      <c r="X190" t="s">
        <v>281</v>
      </c>
    </row>
    <row r="191" spans="5:29" x14ac:dyDescent="0.25">
      <c r="E191" s="24" t="s">
        <v>273</v>
      </c>
      <c r="F191" s="24" t="s">
        <v>335</v>
      </c>
      <c r="G191">
        <v>1</v>
      </c>
      <c r="H191" t="s">
        <v>275</v>
      </c>
      <c r="I191" s="22">
        <v>412027</v>
      </c>
      <c r="J191" s="22" t="s">
        <v>98</v>
      </c>
      <c r="K191" t="s">
        <v>133</v>
      </c>
      <c r="L191" t="s">
        <v>98</v>
      </c>
      <c r="M191" t="s">
        <v>336</v>
      </c>
      <c r="N191">
        <v>0</v>
      </c>
      <c r="O191">
        <v>0</v>
      </c>
      <c r="P191" t="s">
        <v>132</v>
      </c>
      <c r="Q191" s="29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</row>
    <row r="192" spans="5:29" x14ac:dyDescent="0.25">
      <c r="E192" s="24" t="s">
        <v>273</v>
      </c>
      <c r="F192" s="24" t="s">
        <v>335</v>
      </c>
      <c r="G192">
        <v>2</v>
      </c>
      <c r="H192" t="s">
        <v>275</v>
      </c>
      <c r="I192" s="22" t="s">
        <v>337</v>
      </c>
      <c r="J192" s="22" t="s">
        <v>98</v>
      </c>
      <c r="K192" t="s">
        <v>277</v>
      </c>
      <c r="L192" t="s">
        <v>306</v>
      </c>
      <c r="M192">
        <v>9</v>
      </c>
      <c r="N192">
        <v>0</v>
      </c>
      <c r="O192">
        <v>0</v>
      </c>
      <c r="P192" t="s">
        <v>132</v>
      </c>
      <c r="Q192" s="29">
        <v>0</v>
      </c>
      <c r="R192">
        <v>0</v>
      </c>
      <c r="S192">
        <v>20150115</v>
      </c>
      <c r="T192">
        <v>0</v>
      </c>
      <c r="U192">
        <v>138</v>
      </c>
      <c r="V192">
        <v>0</v>
      </c>
    </row>
    <row r="193" spans="5:29" x14ac:dyDescent="0.25">
      <c r="E193" s="24" t="s">
        <v>273</v>
      </c>
      <c r="F193" s="24" t="s">
        <v>335</v>
      </c>
      <c r="G193">
        <v>3</v>
      </c>
      <c r="H193" t="s">
        <v>275</v>
      </c>
      <c r="I193" s="22" t="s">
        <v>338</v>
      </c>
      <c r="J193" s="22" t="s">
        <v>98</v>
      </c>
      <c r="K193" t="s">
        <v>277</v>
      </c>
      <c r="L193" t="s">
        <v>339</v>
      </c>
      <c r="M193">
        <v>9</v>
      </c>
      <c r="N193">
        <v>0</v>
      </c>
      <c r="O193">
        <v>0</v>
      </c>
      <c r="P193" t="s">
        <v>132</v>
      </c>
      <c r="Q193" s="29">
        <v>0</v>
      </c>
      <c r="R193">
        <v>0</v>
      </c>
      <c r="S193">
        <v>20150115</v>
      </c>
      <c r="T193">
        <v>0</v>
      </c>
      <c r="U193">
        <v>138</v>
      </c>
      <c r="V193">
        <v>0</v>
      </c>
    </row>
    <row r="194" spans="5:29" x14ac:dyDescent="0.25">
      <c r="E194" s="24" t="s">
        <v>273</v>
      </c>
      <c r="F194" s="24" t="s">
        <v>340</v>
      </c>
      <c r="G194">
        <v>1</v>
      </c>
      <c r="H194" t="s">
        <v>275</v>
      </c>
      <c r="I194" s="22" t="s">
        <v>293</v>
      </c>
      <c r="J194" s="22">
        <v>1078488501</v>
      </c>
      <c r="K194" t="s">
        <v>277</v>
      </c>
      <c r="L194" t="s">
        <v>294</v>
      </c>
      <c r="M194">
        <v>9</v>
      </c>
      <c r="N194">
        <v>4</v>
      </c>
      <c r="O194">
        <v>4</v>
      </c>
      <c r="P194" t="s">
        <v>279</v>
      </c>
      <c r="Q194" s="29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280</v>
      </c>
      <c r="X194" t="s">
        <v>281</v>
      </c>
      <c r="Y194">
        <v>3</v>
      </c>
      <c r="Z194">
        <v>1253554</v>
      </c>
      <c r="AA194">
        <v>0</v>
      </c>
      <c r="AB194">
        <v>0</v>
      </c>
      <c r="AC194">
        <v>1253554</v>
      </c>
    </row>
    <row r="195" spans="5:29" x14ac:dyDescent="0.25">
      <c r="E195" s="24" t="s">
        <v>273</v>
      </c>
      <c r="F195" s="24" t="s">
        <v>340</v>
      </c>
      <c r="G195">
        <v>2</v>
      </c>
      <c r="H195" t="s">
        <v>275</v>
      </c>
      <c r="I195" s="22" t="s">
        <v>293</v>
      </c>
      <c r="J195" s="22">
        <v>1080261801</v>
      </c>
      <c r="K195" t="s">
        <v>277</v>
      </c>
      <c r="L195" t="s">
        <v>294</v>
      </c>
      <c r="M195">
        <v>9</v>
      </c>
      <c r="N195">
        <v>1</v>
      </c>
      <c r="O195">
        <v>1</v>
      </c>
      <c r="P195" t="s">
        <v>279</v>
      </c>
      <c r="Q195" s="29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280</v>
      </c>
      <c r="X195" t="s">
        <v>281</v>
      </c>
    </row>
    <row r="196" spans="5:29" x14ac:dyDescent="0.25">
      <c r="E196" s="24" t="s">
        <v>273</v>
      </c>
      <c r="F196" s="24" t="s">
        <v>340</v>
      </c>
      <c r="G196">
        <v>3</v>
      </c>
      <c r="H196" t="s">
        <v>275</v>
      </c>
      <c r="I196" s="22" t="s">
        <v>293</v>
      </c>
      <c r="J196" s="22">
        <v>1079423401</v>
      </c>
      <c r="K196" t="s">
        <v>277</v>
      </c>
      <c r="L196" t="s">
        <v>296</v>
      </c>
      <c r="M196">
        <v>9</v>
      </c>
      <c r="N196">
        <v>2</v>
      </c>
      <c r="O196">
        <v>2</v>
      </c>
      <c r="P196" t="s">
        <v>279</v>
      </c>
      <c r="Q196" s="29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280</v>
      </c>
      <c r="X196" t="s">
        <v>281</v>
      </c>
    </row>
    <row r="197" spans="5:29" x14ac:dyDescent="0.25">
      <c r="E197" s="24" t="s">
        <v>273</v>
      </c>
      <c r="F197" s="24" t="s">
        <v>340</v>
      </c>
      <c r="G197">
        <v>4</v>
      </c>
      <c r="H197" t="s">
        <v>275</v>
      </c>
      <c r="I197" s="22" t="s">
        <v>293</v>
      </c>
      <c r="J197" s="22">
        <v>1080882401</v>
      </c>
      <c r="K197" t="s">
        <v>277</v>
      </c>
      <c r="L197" t="s">
        <v>296</v>
      </c>
      <c r="M197">
        <v>9</v>
      </c>
      <c r="N197">
        <v>11</v>
      </c>
      <c r="O197">
        <v>11</v>
      </c>
      <c r="P197" t="s">
        <v>279</v>
      </c>
      <c r="Q197" s="29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280</v>
      </c>
      <c r="X197" t="s">
        <v>281</v>
      </c>
    </row>
    <row r="198" spans="5:29" x14ac:dyDescent="0.25">
      <c r="E198" s="24" t="s">
        <v>273</v>
      </c>
      <c r="F198" s="24" t="s">
        <v>340</v>
      </c>
      <c r="G198">
        <v>5</v>
      </c>
      <c r="H198" t="s">
        <v>275</v>
      </c>
      <c r="I198" s="22" t="s">
        <v>293</v>
      </c>
      <c r="J198" s="22">
        <v>1079911401</v>
      </c>
      <c r="K198" t="s">
        <v>277</v>
      </c>
      <c r="L198" t="s">
        <v>296</v>
      </c>
      <c r="M198">
        <v>9</v>
      </c>
      <c r="N198">
        <v>2</v>
      </c>
      <c r="O198">
        <v>2</v>
      </c>
      <c r="P198" t="s">
        <v>279</v>
      </c>
      <c r="Q198" s="29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280</v>
      </c>
      <c r="X198" t="s">
        <v>281</v>
      </c>
    </row>
    <row r="199" spans="5:29" x14ac:dyDescent="0.25">
      <c r="E199" s="24" t="s">
        <v>273</v>
      </c>
      <c r="F199" s="24" t="s">
        <v>340</v>
      </c>
      <c r="G199">
        <v>6</v>
      </c>
      <c r="H199" t="s">
        <v>275</v>
      </c>
      <c r="I199" s="22" t="s">
        <v>293</v>
      </c>
      <c r="J199" s="22">
        <v>1078654701</v>
      </c>
      <c r="K199" t="s">
        <v>277</v>
      </c>
      <c r="L199" t="s">
        <v>296</v>
      </c>
      <c r="M199">
        <v>9</v>
      </c>
      <c r="N199">
        <v>3</v>
      </c>
      <c r="O199">
        <v>3</v>
      </c>
      <c r="P199" t="s">
        <v>279</v>
      </c>
      <c r="Q199" s="29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280</v>
      </c>
      <c r="X199" t="s">
        <v>281</v>
      </c>
    </row>
    <row r="200" spans="5:29" x14ac:dyDescent="0.25">
      <c r="E200" s="24" t="s">
        <v>273</v>
      </c>
      <c r="F200" s="24" t="s">
        <v>340</v>
      </c>
      <c r="G200">
        <v>7</v>
      </c>
      <c r="H200" t="s">
        <v>275</v>
      </c>
      <c r="I200" s="22" t="s">
        <v>293</v>
      </c>
      <c r="J200" s="22">
        <v>1078958701</v>
      </c>
      <c r="K200" t="s">
        <v>277</v>
      </c>
      <c r="L200" t="s">
        <v>296</v>
      </c>
      <c r="M200">
        <v>9</v>
      </c>
      <c r="N200">
        <v>1</v>
      </c>
      <c r="O200">
        <v>1</v>
      </c>
      <c r="P200" t="s">
        <v>279</v>
      </c>
      <c r="Q200" s="29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280</v>
      </c>
      <c r="X200" t="s">
        <v>281</v>
      </c>
    </row>
    <row r="201" spans="5:29" x14ac:dyDescent="0.25">
      <c r="E201" s="24" t="s">
        <v>273</v>
      </c>
      <c r="F201" s="24" t="s">
        <v>340</v>
      </c>
      <c r="G201">
        <v>8</v>
      </c>
      <c r="H201" t="s">
        <v>275</v>
      </c>
      <c r="I201" s="22" t="s">
        <v>293</v>
      </c>
      <c r="J201" s="22">
        <v>1081178801</v>
      </c>
      <c r="K201" t="s">
        <v>277</v>
      </c>
      <c r="L201" t="s">
        <v>296</v>
      </c>
      <c r="M201">
        <v>9</v>
      </c>
      <c r="N201">
        <v>14</v>
      </c>
      <c r="O201">
        <v>14</v>
      </c>
      <c r="P201" t="s">
        <v>279</v>
      </c>
      <c r="Q201" s="29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280</v>
      </c>
      <c r="X201" t="s">
        <v>281</v>
      </c>
    </row>
    <row r="202" spans="5:29" x14ac:dyDescent="0.25">
      <c r="E202" s="24" t="s">
        <v>273</v>
      </c>
      <c r="F202" s="24" t="s">
        <v>340</v>
      </c>
      <c r="G202">
        <v>9</v>
      </c>
      <c r="H202" t="s">
        <v>275</v>
      </c>
      <c r="I202" s="22" t="s">
        <v>293</v>
      </c>
      <c r="J202" s="22">
        <v>1081633201</v>
      </c>
      <c r="K202" t="s">
        <v>277</v>
      </c>
      <c r="L202" t="s">
        <v>296</v>
      </c>
      <c r="M202">
        <v>9</v>
      </c>
      <c r="N202">
        <v>14</v>
      </c>
      <c r="O202">
        <v>14</v>
      </c>
      <c r="P202" t="s">
        <v>279</v>
      </c>
      <c r="Q202" s="29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280</v>
      </c>
      <c r="X202" t="s">
        <v>281</v>
      </c>
    </row>
    <row r="203" spans="5:29" x14ac:dyDescent="0.25">
      <c r="E203" s="24" t="s">
        <v>273</v>
      </c>
      <c r="F203" s="24" t="s">
        <v>340</v>
      </c>
      <c r="G203">
        <v>10</v>
      </c>
      <c r="H203" t="s">
        <v>275</v>
      </c>
      <c r="I203" s="22" t="s">
        <v>293</v>
      </c>
      <c r="J203" s="22">
        <v>1081334201</v>
      </c>
      <c r="K203" t="s">
        <v>277</v>
      </c>
      <c r="L203" t="s">
        <v>296</v>
      </c>
      <c r="M203">
        <v>9</v>
      </c>
      <c r="N203">
        <v>8</v>
      </c>
      <c r="O203">
        <v>8</v>
      </c>
      <c r="P203" t="s">
        <v>279</v>
      </c>
      <c r="Q203" s="29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280</v>
      </c>
      <c r="X203" t="s">
        <v>281</v>
      </c>
    </row>
    <row r="204" spans="5:29" x14ac:dyDescent="0.25">
      <c r="E204" s="24" t="s">
        <v>273</v>
      </c>
      <c r="F204" s="24" t="s">
        <v>340</v>
      </c>
      <c r="G204">
        <v>11</v>
      </c>
      <c r="H204" t="s">
        <v>275</v>
      </c>
      <c r="I204" s="22" t="s">
        <v>293</v>
      </c>
      <c r="J204" s="22">
        <v>1078488601</v>
      </c>
      <c r="K204" t="s">
        <v>277</v>
      </c>
      <c r="L204" t="s">
        <v>296</v>
      </c>
      <c r="M204">
        <v>9</v>
      </c>
      <c r="N204">
        <v>3</v>
      </c>
      <c r="O204">
        <v>3</v>
      </c>
      <c r="P204" t="s">
        <v>279</v>
      </c>
      <c r="Q204" s="29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280</v>
      </c>
      <c r="X204" t="s">
        <v>281</v>
      </c>
    </row>
    <row r="205" spans="5:29" x14ac:dyDescent="0.25">
      <c r="E205" s="24" t="s">
        <v>273</v>
      </c>
      <c r="F205" s="24" t="s">
        <v>340</v>
      </c>
      <c r="G205">
        <v>12</v>
      </c>
      <c r="H205" t="s">
        <v>275</v>
      </c>
      <c r="I205" s="22" t="s">
        <v>276</v>
      </c>
      <c r="J205" s="22">
        <v>1077885901</v>
      </c>
      <c r="K205" t="s">
        <v>277</v>
      </c>
      <c r="L205" t="s">
        <v>299</v>
      </c>
      <c r="M205">
        <v>9</v>
      </c>
      <c r="N205">
        <v>20</v>
      </c>
      <c r="O205">
        <v>20</v>
      </c>
      <c r="P205" t="s">
        <v>279</v>
      </c>
      <c r="Q205" s="29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280</v>
      </c>
      <c r="X205" t="s">
        <v>281</v>
      </c>
    </row>
    <row r="206" spans="5:29" x14ac:dyDescent="0.25">
      <c r="E206" s="24" t="s">
        <v>273</v>
      </c>
      <c r="F206" s="24" t="s">
        <v>340</v>
      </c>
      <c r="G206">
        <v>13</v>
      </c>
      <c r="H206" t="s">
        <v>275</v>
      </c>
      <c r="I206" s="22" t="s">
        <v>276</v>
      </c>
      <c r="J206" s="22">
        <v>1080138201</v>
      </c>
      <c r="K206" t="s">
        <v>277</v>
      </c>
      <c r="L206" t="s">
        <v>299</v>
      </c>
      <c r="M206">
        <v>9</v>
      </c>
      <c r="N206">
        <v>5</v>
      </c>
      <c r="O206">
        <v>5</v>
      </c>
      <c r="P206" t="s">
        <v>279</v>
      </c>
      <c r="Q206" s="29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280</v>
      </c>
      <c r="X206" t="s">
        <v>281</v>
      </c>
    </row>
    <row r="207" spans="5:29" x14ac:dyDescent="0.25">
      <c r="E207" s="24" t="s">
        <v>273</v>
      </c>
      <c r="F207" s="24" t="s">
        <v>340</v>
      </c>
      <c r="G207">
        <v>14</v>
      </c>
      <c r="H207" t="s">
        <v>275</v>
      </c>
      <c r="I207" s="22" t="s">
        <v>276</v>
      </c>
      <c r="J207" s="22">
        <v>1081097811</v>
      </c>
      <c r="K207" t="s">
        <v>277</v>
      </c>
      <c r="L207" t="s">
        <v>299</v>
      </c>
      <c r="M207">
        <v>9</v>
      </c>
      <c r="N207">
        <v>22</v>
      </c>
      <c r="O207">
        <v>22</v>
      </c>
      <c r="P207" t="s">
        <v>279</v>
      </c>
      <c r="Q207" s="29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280</v>
      </c>
      <c r="X207" t="s">
        <v>281</v>
      </c>
    </row>
    <row r="208" spans="5:29" x14ac:dyDescent="0.25">
      <c r="E208" s="24" t="s">
        <v>273</v>
      </c>
      <c r="F208" s="24" t="s">
        <v>340</v>
      </c>
      <c r="G208">
        <v>15</v>
      </c>
      <c r="H208" t="s">
        <v>275</v>
      </c>
      <c r="I208" s="22" t="s">
        <v>276</v>
      </c>
      <c r="J208" s="22">
        <v>1080655801</v>
      </c>
      <c r="K208" t="s">
        <v>277</v>
      </c>
      <c r="L208" t="s">
        <v>299</v>
      </c>
      <c r="M208">
        <v>9</v>
      </c>
      <c r="N208">
        <v>14</v>
      </c>
      <c r="O208">
        <v>14</v>
      </c>
      <c r="P208" t="s">
        <v>279</v>
      </c>
      <c r="Q208" s="29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280</v>
      </c>
      <c r="X208" t="s">
        <v>281</v>
      </c>
    </row>
    <row r="209" spans="5:29" x14ac:dyDescent="0.25">
      <c r="E209" s="24" t="s">
        <v>273</v>
      </c>
      <c r="F209" s="24" t="s">
        <v>340</v>
      </c>
      <c r="G209">
        <v>16</v>
      </c>
      <c r="H209" t="s">
        <v>275</v>
      </c>
      <c r="I209" s="22" t="s">
        <v>276</v>
      </c>
      <c r="J209" s="22">
        <v>1079346901</v>
      </c>
      <c r="K209" t="s">
        <v>277</v>
      </c>
      <c r="L209" t="s">
        <v>299</v>
      </c>
      <c r="M209">
        <v>9</v>
      </c>
      <c r="N209">
        <v>30</v>
      </c>
      <c r="O209">
        <v>30</v>
      </c>
      <c r="P209" t="s">
        <v>279</v>
      </c>
      <c r="Q209" s="29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280</v>
      </c>
      <c r="X209" t="s">
        <v>281</v>
      </c>
    </row>
    <row r="210" spans="5:29" x14ac:dyDescent="0.25">
      <c r="E210" s="24" t="s">
        <v>273</v>
      </c>
      <c r="F210" s="24" t="s">
        <v>340</v>
      </c>
      <c r="G210">
        <v>17</v>
      </c>
      <c r="H210" t="s">
        <v>275</v>
      </c>
      <c r="I210" s="22" t="s">
        <v>276</v>
      </c>
      <c r="J210" s="22">
        <v>1081549401</v>
      </c>
      <c r="K210" t="s">
        <v>277</v>
      </c>
      <c r="L210" t="s">
        <v>299</v>
      </c>
      <c r="M210">
        <v>9</v>
      </c>
      <c r="N210">
        <v>4</v>
      </c>
      <c r="O210">
        <v>4</v>
      </c>
      <c r="P210" t="s">
        <v>279</v>
      </c>
      <c r="Q210" s="29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280</v>
      </c>
      <c r="X210" t="s">
        <v>281</v>
      </c>
    </row>
    <row r="211" spans="5:29" x14ac:dyDescent="0.25">
      <c r="E211" s="24" t="s">
        <v>273</v>
      </c>
      <c r="F211" s="24" t="s">
        <v>340</v>
      </c>
      <c r="G211">
        <v>18</v>
      </c>
      <c r="H211" t="s">
        <v>275</v>
      </c>
      <c r="I211" s="22" t="s">
        <v>276</v>
      </c>
      <c r="J211" s="22">
        <v>1078886301</v>
      </c>
      <c r="K211" t="s">
        <v>277</v>
      </c>
      <c r="L211" t="s">
        <v>299</v>
      </c>
      <c r="M211">
        <v>9</v>
      </c>
      <c r="N211">
        <v>22</v>
      </c>
      <c r="O211">
        <v>22</v>
      </c>
      <c r="P211" t="s">
        <v>279</v>
      </c>
      <c r="Q211" s="29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280</v>
      </c>
      <c r="X211" t="s">
        <v>281</v>
      </c>
    </row>
    <row r="212" spans="5:29" x14ac:dyDescent="0.25">
      <c r="E212" s="24" t="s">
        <v>273</v>
      </c>
      <c r="F212" s="24" t="s">
        <v>340</v>
      </c>
      <c r="G212">
        <v>19</v>
      </c>
      <c r="H212" t="s">
        <v>275</v>
      </c>
      <c r="I212" s="22" t="s">
        <v>276</v>
      </c>
      <c r="J212" s="22">
        <v>1078405101</v>
      </c>
      <c r="K212" t="s">
        <v>277</v>
      </c>
      <c r="L212" t="s">
        <v>299</v>
      </c>
      <c r="M212">
        <v>9</v>
      </c>
      <c r="N212">
        <v>4</v>
      </c>
      <c r="O212">
        <v>4</v>
      </c>
      <c r="P212" t="s">
        <v>279</v>
      </c>
      <c r="Q212" s="29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280</v>
      </c>
      <c r="X212" t="s">
        <v>281</v>
      </c>
    </row>
    <row r="213" spans="5:29" x14ac:dyDescent="0.25">
      <c r="E213" s="24" t="s">
        <v>273</v>
      </c>
      <c r="F213" s="24" t="s">
        <v>340</v>
      </c>
      <c r="G213">
        <v>20</v>
      </c>
      <c r="H213" t="s">
        <v>275</v>
      </c>
      <c r="I213" s="22" t="s">
        <v>276</v>
      </c>
      <c r="J213" s="22">
        <v>1080185701</v>
      </c>
      <c r="K213" t="s">
        <v>277</v>
      </c>
      <c r="L213" t="s">
        <v>299</v>
      </c>
      <c r="M213">
        <v>9</v>
      </c>
      <c r="N213">
        <v>28</v>
      </c>
      <c r="O213">
        <v>28</v>
      </c>
      <c r="P213" t="s">
        <v>279</v>
      </c>
      <c r="Q213" s="29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280</v>
      </c>
      <c r="X213" t="s">
        <v>281</v>
      </c>
    </row>
    <row r="214" spans="5:29" x14ac:dyDescent="0.25">
      <c r="E214" s="24" t="s">
        <v>273</v>
      </c>
      <c r="F214" s="24" t="s">
        <v>340</v>
      </c>
      <c r="G214">
        <v>21</v>
      </c>
      <c r="H214" t="s">
        <v>275</v>
      </c>
      <c r="I214" s="22" t="s">
        <v>276</v>
      </c>
      <c r="J214" s="22">
        <v>1079346501</v>
      </c>
      <c r="K214" t="s">
        <v>277</v>
      </c>
      <c r="L214" t="s">
        <v>301</v>
      </c>
      <c r="M214">
        <v>9</v>
      </c>
      <c r="N214">
        <v>22</v>
      </c>
      <c r="O214">
        <v>22</v>
      </c>
      <c r="P214" t="s">
        <v>279</v>
      </c>
      <c r="Q214" s="29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280</v>
      </c>
      <c r="X214" t="s">
        <v>281</v>
      </c>
    </row>
    <row r="215" spans="5:29" x14ac:dyDescent="0.25">
      <c r="E215" s="24" t="s">
        <v>273</v>
      </c>
      <c r="F215" s="24" t="s">
        <v>340</v>
      </c>
      <c r="G215">
        <v>22</v>
      </c>
      <c r="H215" t="s">
        <v>275</v>
      </c>
      <c r="I215" s="22" t="s">
        <v>276</v>
      </c>
      <c r="J215" s="22">
        <v>1081549901</v>
      </c>
      <c r="K215" t="s">
        <v>277</v>
      </c>
      <c r="L215" t="s">
        <v>301</v>
      </c>
      <c r="M215">
        <v>9</v>
      </c>
      <c r="N215">
        <v>14</v>
      </c>
      <c r="O215">
        <v>14</v>
      </c>
      <c r="P215" t="s">
        <v>279</v>
      </c>
      <c r="Q215" s="29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280</v>
      </c>
      <c r="X215" t="s">
        <v>281</v>
      </c>
    </row>
    <row r="216" spans="5:29" x14ac:dyDescent="0.25">
      <c r="E216" s="24" t="s">
        <v>273</v>
      </c>
      <c r="F216" s="24" t="s">
        <v>341</v>
      </c>
      <c r="G216">
        <v>1</v>
      </c>
      <c r="H216" t="s">
        <v>275</v>
      </c>
      <c r="I216" s="22" t="s">
        <v>276</v>
      </c>
      <c r="J216" s="22">
        <v>1081097901</v>
      </c>
      <c r="K216" t="s">
        <v>277</v>
      </c>
      <c r="L216" t="s">
        <v>301</v>
      </c>
      <c r="M216">
        <v>9</v>
      </c>
      <c r="N216">
        <v>18</v>
      </c>
      <c r="O216">
        <v>18</v>
      </c>
      <c r="P216" t="s">
        <v>279</v>
      </c>
      <c r="Q216" s="29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280</v>
      </c>
      <c r="X216" t="s">
        <v>281</v>
      </c>
      <c r="Y216">
        <v>3</v>
      </c>
      <c r="Z216">
        <v>978653</v>
      </c>
      <c r="AA216">
        <v>0</v>
      </c>
      <c r="AB216">
        <v>0</v>
      </c>
      <c r="AC216">
        <v>978653</v>
      </c>
    </row>
    <row r="217" spans="5:29" x14ac:dyDescent="0.25">
      <c r="E217" s="24" t="s">
        <v>273</v>
      </c>
      <c r="F217" s="24" t="s">
        <v>341</v>
      </c>
      <c r="G217">
        <v>2</v>
      </c>
      <c r="H217" t="s">
        <v>275</v>
      </c>
      <c r="I217" s="22" t="s">
        <v>276</v>
      </c>
      <c r="J217" s="22">
        <v>1080185301</v>
      </c>
      <c r="K217" t="s">
        <v>277</v>
      </c>
      <c r="L217" t="s">
        <v>301</v>
      </c>
      <c r="M217">
        <v>9</v>
      </c>
      <c r="N217">
        <v>28</v>
      </c>
      <c r="O217">
        <v>28</v>
      </c>
      <c r="P217" t="s">
        <v>279</v>
      </c>
      <c r="Q217" s="29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280</v>
      </c>
      <c r="X217" t="s">
        <v>281</v>
      </c>
    </row>
    <row r="218" spans="5:29" x14ac:dyDescent="0.25">
      <c r="E218" s="24" t="s">
        <v>273</v>
      </c>
      <c r="F218" s="24" t="s">
        <v>341</v>
      </c>
      <c r="G218">
        <v>3</v>
      </c>
      <c r="H218" t="s">
        <v>275</v>
      </c>
      <c r="I218" s="22" t="s">
        <v>276</v>
      </c>
      <c r="J218" s="22">
        <v>1080655301</v>
      </c>
      <c r="K218" t="s">
        <v>277</v>
      </c>
      <c r="L218" t="s">
        <v>301</v>
      </c>
      <c r="M218">
        <v>9</v>
      </c>
      <c r="N218">
        <v>14</v>
      </c>
      <c r="O218">
        <v>14</v>
      </c>
      <c r="P218" t="s">
        <v>279</v>
      </c>
      <c r="Q218" s="29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280</v>
      </c>
      <c r="X218" t="s">
        <v>281</v>
      </c>
    </row>
    <row r="219" spans="5:29" x14ac:dyDescent="0.25">
      <c r="E219" s="24" t="s">
        <v>273</v>
      </c>
      <c r="F219" s="24" t="s">
        <v>341</v>
      </c>
      <c r="G219">
        <v>4</v>
      </c>
      <c r="H219" t="s">
        <v>275</v>
      </c>
      <c r="I219" s="22" t="s">
        <v>276</v>
      </c>
      <c r="J219" s="22">
        <v>1081549801</v>
      </c>
      <c r="K219" t="s">
        <v>277</v>
      </c>
      <c r="L219" t="s">
        <v>303</v>
      </c>
      <c r="M219">
        <v>9</v>
      </c>
      <c r="N219">
        <v>30</v>
      </c>
      <c r="O219">
        <v>30</v>
      </c>
      <c r="P219" t="s">
        <v>279</v>
      </c>
      <c r="Q219" s="29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280</v>
      </c>
      <c r="X219" t="s">
        <v>281</v>
      </c>
    </row>
    <row r="220" spans="5:29" x14ac:dyDescent="0.25">
      <c r="E220" s="24" t="s">
        <v>273</v>
      </c>
      <c r="F220" s="24" t="s">
        <v>341</v>
      </c>
      <c r="G220">
        <v>5</v>
      </c>
      <c r="H220" t="s">
        <v>275</v>
      </c>
      <c r="I220" s="22" t="s">
        <v>304</v>
      </c>
      <c r="J220" s="22">
        <v>1078405001</v>
      </c>
      <c r="K220" t="s">
        <v>277</v>
      </c>
      <c r="L220" t="s">
        <v>305</v>
      </c>
      <c r="M220">
        <v>9</v>
      </c>
      <c r="N220">
        <v>18</v>
      </c>
      <c r="O220">
        <v>18</v>
      </c>
      <c r="P220" t="s">
        <v>279</v>
      </c>
      <c r="Q220" s="29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280</v>
      </c>
      <c r="X220" t="s">
        <v>281</v>
      </c>
    </row>
    <row r="221" spans="5:29" x14ac:dyDescent="0.25">
      <c r="E221" s="24" t="s">
        <v>273</v>
      </c>
      <c r="F221" s="24" t="s">
        <v>341</v>
      </c>
      <c r="G221">
        <v>6</v>
      </c>
      <c r="H221" t="s">
        <v>275</v>
      </c>
      <c r="I221" s="22" t="s">
        <v>304</v>
      </c>
      <c r="J221" s="22">
        <v>1081549201</v>
      </c>
      <c r="K221" t="s">
        <v>277</v>
      </c>
      <c r="L221" t="s">
        <v>305</v>
      </c>
      <c r="M221">
        <v>9</v>
      </c>
      <c r="N221">
        <v>32</v>
      </c>
      <c r="O221">
        <v>32</v>
      </c>
      <c r="P221" t="s">
        <v>279</v>
      </c>
      <c r="Q221" s="29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280</v>
      </c>
      <c r="X221" t="s">
        <v>281</v>
      </c>
    </row>
    <row r="222" spans="5:29" x14ac:dyDescent="0.25">
      <c r="E222" s="24" t="s">
        <v>273</v>
      </c>
      <c r="F222" s="24" t="s">
        <v>341</v>
      </c>
      <c r="G222">
        <v>7</v>
      </c>
      <c r="H222" t="s">
        <v>275</v>
      </c>
      <c r="I222" s="22" t="s">
        <v>304</v>
      </c>
      <c r="J222" s="22">
        <v>1080655601</v>
      </c>
      <c r="K222" t="s">
        <v>277</v>
      </c>
      <c r="L222" t="s">
        <v>305</v>
      </c>
      <c r="M222">
        <v>9</v>
      </c>
      <c r="N222">
        <v>20</v>
      </c>
      <c r="O222">
        <v>20</v>
      </c>
      <c r="P222" t="s">
        <v>279</v>
      </c>
      <c r="Q222" s="29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280</v>
      </c>
      <c r="X222" t="s">
        <v>281</v>
      </c>
    </row>
    <row r="223" spans="5:29" x14ac:dyDescent="0.25">
      <c r="E223" s="24" t="s">
        <v>273</v>
      </c>
      <c r="F223" s="24" t="s">
        <v>341</v>
      </c>
      <c r="G223">
        <v>8</v>
      </c>
      <c r="H223" t="s">
        <v>275</v>
      </c>
      <c r="I223" s="22" t="s">
        <v>304</v>
      </c>
      <c r="J223" s="22">
        <v>1081097711</v>
      </c>
      <c r="K223" t="s">
        <v>277</v>
      </c>
      <c r="L223" t="s">
        <v>305</v>
      </c>
      <c r="M223">
        <v>9</v>
      </c>
      <c r="N223">
        <v>22</v>
      </c>
      <c r="O223">
        <v>22</v>
      </c>
      <c r="P223" t="s">
        <v>279</v>
      </c>
      <c r="Q223" s="29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280</v>
      </c>
      <c r="X223" t="s">
        <v>281</v>
      </c>
    </row>
    <row r="224" spans="5:29" x14ac:dyDescent="0.25">
      <c r="E224" s="24" t="s">
        <v>273</v>
      </c>
      <c r="F224" s="24" t="s">
        <v>341</v>
      </c>
      <c r="G224">
        <v>9</v>
      </c>
      <c r="H224" t="s">
        <v>275</v>
      </c>
      <c r="I224" s="22" t="s">
        <v>342</v>
      </c>
      <c r="J224" s="22">
        <v>1076369201</v>
      </c>
      <c r="K224" t="s">
        <v>277</v>
      </c>
      <c r="L224" t="s">
        <v>343</v>
      </c>
      <c r="M224">
        <v>9</v>
      </c>
      <c r="N224">
        <v>8</v>
      </c>
      <c r="O224">
        <v>8</v>
      </c>
      <c r="P224" t="s">
        <v>279</v>
      </c>
      <c r="Q224" s="29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280</v>
      </c>
      <c r="X224" t="s">
        <v>281</v>
      </c>
    </row>
    <row r="225" spans="5:29" x14ac:dyDescent="0.25">
      <c r="E225" s="24" t="s">
        <v>273</v>
      </c>
      <c r="F225" s="24" t="s">
        <v>341</v>
      </c>
      <c r="G225">
        <v>10</v>
      </c>
      <c r="H225" t="s">
        <v>275</v>
      </c>
      <c r="I225" s="22" t="s">
        <v>342</v>
      </c>
      <c r="J225" s="22">
        <v>1071616001</v>
      </c>
      <c r="K225" t="s">
        <v>277</v>
      </c>
      <c r="L225" t="s">
        <v>343</v>
      </c>
      <c r="M225">
        <v>9</v>
      </c>
      <c r="N225">
        <v>1</v>
      </c>
      <c r="O225">
        <v>1</v>
      </c>
      <c r="P225" t="s">
        <v>279</v>
      </c>
      <c r="Q225" s="29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280</v>
      </c>
      <c r="X225" t="s">
        <v>281</v>
      </c>
    </row>
    <row r="226" spans="5:29" x14ac:dyDescent="0.25">
      <c r="E226" s="24" t="s">
        <v>273</v>
      </c>
      <c r="F226" s="24" t="s">
        <v>341</v>
      </c>
      <c r="G226">
        <v>11</v>
      </c>
      <c r="H226" t="s">
        <v>275</v>
      </c>
      <c r="I226" s="22" t="s">
        <v>342</v>
      </c>
      <c r="J226" s="22">
        <v>1076369301</v>
      </c>
      <c r="K226" t="s">
        <v>277</v>
      </c>
      <c r="L226" t="s">
        <v>344</v>
      </c>
      <c r="M226">
        <v>9</v>
      </c>
      <c r="N226">
        <v>8</v>
      </c>
      <c r="O226">
        <v>8</v>
      </c>
      <c r="P226" t="s">
        <v>279</v>
      </c>
      <c r="Q226" s="29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280</v>
      </c>
      <c r="X226" t="s">
        <v>281</v>
      </c>
    </row>
    <row r="227" spans="5:29" x14ac:dyDescent="0.25">
      <c r="E227" s="24" t="s">
        <v>273</v>
      </c>
      <c r="F227" s="24" t="s">
        <v>341</v>
      </c>
      <c r="G227">
        <v>12</v>
      </c>
      <c r="H227" t="s">
        <v>275</v>
      </c>
      <c r="I227" s="22" t="s">
        <v>342</v>
      </c>
      <c r="J227" s="22">
        <v>1071605401</v>
      </c>
      <c r="K227" t="s">
        <v>277</v>
      </c>
      <c r="L227" t="s">
        <v>344</v>
      </c>
      <c r="M227">
        <v>9</v>
      </c>
      <c r="N227">
        <v>1</v>
      </c>
      <c r="O227">
        <v>1</v>
      </c>
      <c r="P227" t="s">
        <v>279</v>
      </c>
      <c r="Q227" s="29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280</v>
      </c>
      <c r="X227" t="s">
        <v>281</v>
      </c>
    </row>
    <row r="228" spans="5:29" x14ac:dyDescent="0.25">
      <c r="E228" s="24" t="s">
        <v>273</v>
      </c>
      <c r="F228" s="24" t="s">
        <v>341</v>
      </c>
      <c r="G228">
        <v>13</v>
      </c>
      <c r="H228" t="s">
        <v>275</v>
      </c>
      <c r="I228" s="22" t="s">
        <v>287</v>
      </c>
      <c r="J228" s="22">
        <v>1077886001</v>
      </c>
      <c r="K228" t="s">
        <v>277</v>
      </c>
      <c r="L228" t="s">
        <v>314</v>
      </c>
      <c r="M228">
        <v>9</v>
      </c>
      <c r="N228">
        <v>32</v>
      </c>
      <c r="O228">
        <v>32</v>
      </c>
      <c r="P228" t="s">
        <v>279</v>
      </c>
      <c r="Q228" s="29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280</v>
      </c>
      <c r="X228" t="s">
        <v>281</v>
      </c>
    </row>
    <row r="229" spans="5:29" x14ac:dyDescent="0.25">
      <c r="E229" s="24" t="s">
        <v>273</v>
      </c>
      <c r="F229" s="24" t="s">
        <v>341</v>
      </c>
      <c r="G229">
        <v>14</v>
      </c>
      <c r="H229" t="s">
        <v>275</v>
      </c>
      <c r="I229" s="22" t="s">
        <v>287</v>
      </c>
      <c r="J229" s="22">
        <v>1080185601</v>
      </c>
      <c r="K229" t="s">
        <v>277</v>
      </c>
      <c r="L229" t="s">
        <v>314</v>
      </c>
      <c r="M229">
        <v>9</v>
      </c>
      <c r="N229">
        <v>32</v>
      </c>
      <c r="O229">
        <v>32</v>
      </c>
      <c r="P229" t="s">
        <v>279</v>
      </c>
      <c r="Q229" s="29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280</v>
      </c>
      <c r="X229" t="s">
        <v>281</v>
      </c>
    </row>
    <row r="230" spans="5:29" x14ac:dyDescent="0.25">
      <c r="E230" s="24" t="s">
        <v>273</v>
      </c>
      <c r="F230" s="24" t="s">
        <v>341</v>
      </c>
      <c r="G230">
        <v>15</v>
      </c>
      <c r="H230" t="s">
        <v>275</v>
      </c>
      <c r="I230" s="22" t="s">
        <v>287</v>
      </c>
      <c r="J230" s="22">
        <v>1081097611</v>
      </c>
      <c r="K230" t="s">
        <v>277</v>
      </c>
      <c r="L230" t="s">
        <v>314</v>
      </c>
      <c r="M230">
        <v>9</v>
      </c>
      <c r="N230">
        <v>64</v>
      </c>
      <c r="O230">
        <v>64</v>
      </c>
      <c r="P230" t="s">
        <v>279</v>
      </c>
      <c r="Q230" s="29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280</v>
      </c>
      <c r="X230" t="s">
        <v>281</v>
      </c>
    </row>
    <row r="231" spans="5:29" x14ac:dyDescent="0.25">
      <c r="E231" s="24" t="s">
        <v>273</v>
      </c>
      <c r="F231" s="24" t="s">
        <v>341</v>
      </c>
      <c r="G231">
        <v>16</v>
      </c>
      <c r="H231" t="s">
        <v>275</v>
      </c>
      <c r="I231" s="22" t="s">
        <v>287</v>
      </c>
      <c r="J231" s="22">
        <v>1078886201</v>
      </c>
      <c r="K231" t="s">
        <v>277</v>
      </c>
      <c r="L231" t="s">
        <v>314</v>
      </c>
      <c r="M231">
        <v>9</v>
      </c>
      <c r="N231">
        <v>32</v>
      </c>
      <c r="O231">
        <v>32</v>
      </c>
      <c r="P231" t="s">
        <v>279</v>
      </c>
      <c r="Q231" s="29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280</v>
      </c>
      <c r="X231" t="s">
        <v>281</v>
      </c>
    </row>
    <row r="232" spans="5:29" x14ac:dyDescent="0.25">
      <c r="E232" s="24" t="s">
        <v>273</v>
      </c>
      <c r="F232" s="24" t="s">
        <v>341</v>
      </c>
      <c r="G232">
        <v>17</v>
      </c>
      <c r="H232" t="s">
        <v>275</v>
      </c>
      <c r="I232" s="22" t="s">
        <v>287</v>
      </c>
      <c r="J232" s="22">
        <v>1079346701</v>
      </c>
      <c r="K232" t="s">
        <v>277</v>
      </c>
      <c r="L232" t="s">
        <v>314</v>
      </c>
      <c r="M232">
        <v>9</v>
      </c>
      <c r="N232">
        <v>32</v>
      </c>
      <c r="O232">
        <v>32</v>
      </c>
      <c r="P232" t="s">
        <v>279</v>
      </c>
      <c r="Q232" s="29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280</v>
      </c>
      <c r="X232" t="s">
        <v>281</v>
      </c>
    </row>
    <row r="233" spans="5:29" x14ac:dyDescent="0.25">
      <c r="E233" s="24" t="s">
        <v>273</v>
      </c>
      <c r="F233" s="24" t="s">
        <v>341</v>
      </c>
      <c r="G233">
        <v>18</v>
      </c>
      <c r="H233" t="s">
        <v>275</v>
      </c>
      <c r="I233" s="22" t="s">
        <v>287</v>
      </c>
      <c r="J233" s="22">
        <v>1080655401</v>
      </c>
      <c r="K233" t="s">
        <v>277</v>
      </c>
      <c r="L233" t="s">
        <v>314</v>
      </c>
      <c r="M233">
        <v>9</v>
      </c>
      <c r="N233">
        <v>32</v>
      </c>
      <c r="O233">
        <v>32</v>
      </c>
      <c r="P233" t="s">
        <v>279</v>
      </c>
      <c r="Q233" s="29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280</v>
      </c>
      <c r="X233" t="s">
        <v>281</v>
      </c>
    </row>
    <row r="234" spans="5:29" x14ac:dyDescent="0.25">
      <c r="E234" s="24" t="s">
        <v>273</v>
      </c>
      <c r="F234" s="24" t="s">
        <v>341</v>
      </c>
      <c r="G234">
        <v>19</v>
      </c>
      <c r="H234" t="s">
        <v>275</v>
      </c>
      <c r="I234" s="22" t="s">
        <v>287</v>
      </c>
      <c r="J234" s="22">
        <v>1081549601</v>
      </c>
      <c r="K234" t="s">
        <v>277</v>
      </c>
      <c r="L234" t="s">
        <v>314</v>
      </c>
      <c r="M234">
        <v>9</v>
      </c>
      <c r="N234">
        <v>32</v>
      </c>
      <c r="O234">
        <v>32</v>
      </c>
      <c r="P234" t="s">
        <v>279</v>
      </c>
      <c r="Q234" s="29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280</v>
      </c>
      <c r="X234" t="s">
        <v>281</v>
      </c>
    </row>
    <row r="235" spans="5:29" x14ac:dyDescent="0.25">
      <c r="E235" s="24" t="s">
        <v>273</v>
      </c>
      <c r="F235" s="24" t="s">
        <v>341</v>
      </c>
      <c r="G235">
        <v>20</v>
      </c>
      <c r="H235" t="s">
        <v>275</v>
      </c>
      <c r="I235" s="22" t="s">
        <v>287</v>
      </c>
      <c r="J235" s="22">
        <v>1080185501</v>
      </c>
      <c r="K235" t="s">
        <v>277</v>
      </c>
      <c r="L235" t="s">
        <v>288</v>
      </c>
      <c r="M235">
        <v>9</v>
      </c>
      <c r="N235">
        <v>32</v>
      </c>
      <c r="O235">
        <v>32</v>
      </c>
      <c r="P235" t="s">
        <v>279</v>
      </c>
      <c r="Q235" s="29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280</v>
      </c>
      <c r="X235" t="s">
        <v>281</v>
      </c>
    </row>
    <row r="236" spans="5:29" x14ac:dyDescent="0.25">
      <c r="E236" s="24" t="s">
        <v>273</v>
      </c>
      <c r="F236" s="24" t="s">
        <v>341</v>
      </c>
      <c r="G236">
        <v>21</v>
      </c>
      <c r="H236" t="s">
        <v>275</v>
      </c>
      <c r="I236" s="22" t="s">
        <v>287</v>
      </c>
      <c r="J236" s="22">
        <v>1081549701</v>
      </c>
      <c r="K236" t="s">
        <v>277</v>
      </c>
      <c r="L236" t="s">
        <v>288</v>
      </c>
      <c r="M236">
        <v>9</v>
      </c>
      <c r="N236">
        <v>64</v>
      </c>
      <c r="O236">
        <v>64</v>
      </c>
      <c r="P236" t="s">
        <v>279</v>
      </c>
      <c r="Q236" s="29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280</v>
      </c>
      <c r="X236" t="s">
        <v>281</v>
      </c>
    </row>
    <row r="237" spans="5:29" x14ac:dyDescent="0.25">
      <c r="E237" s="24" t="s">
        <v>273</v>
      </c>
      <c r="F237" s="24" t="s">
        <v>341</v>
      </c>
      <c r="G237">
        <v>22</v>
      </c>
      <c r="H237" t="s">
        <v>275</v>
      </c>
      <c r="I237" s="22" t="s">
        <v>287</v>
      </c>
      <c r="J237" s="22">
        <v>1080655201</v>
      </c>
      <c r="K237" t="s">
        <v>277</v>
      </c>
      <c r="L237" t="s">
        <v>288</v>
      </c>
      <c r="M237">
        <v>9</v>
      </c>
      <c r="N237">
        <v>32</v>
      </c>
      <c r="O237">
        <v>32</v>
      </c>
      <c r="P237" t="s">
        <v>279</v>
      </c>
      <c r="Q237" s="29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280</v>
      </c>
      <c r="X237" t="s">
        <v>281</v>
      </c>
    </row>
    <row r="238" spans="5:29" x14ac:dyDescent="0.25">
      <c r="E238" s="24" t="s">
        <v>273</v>
      </c>
      <c r="F238" s="24" t="s">
        <v>345</v>
      </c>
      <c r="G238">
        <v>1</v>
      </c>
      <c r="H238" t="s">
        <v>275</v>
      </c>
      <c r="I238" s="22" t="s">
        <v>342</v>
      </c>
      <c r="J238" s="22">
        <v>1076360701</v>
      </c>
      <c r="K238" t="s">
        <v>277</v>
      </c>
      <c r="L238" t="s">
        <v>346</v>
      </c>
      <c r="M238">
        <v>9</v>
      </c>
      <c r="N238">
        <v>32</v>
      </c>
      <c r="O238">
        <v>32</v>
      </c>
      <c r="P238" t="s">
        <v>279</v>
      </c>
      <c r="Q238" s="29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280</v>
      </c>
      <c r="X238" t="s">
        <v>281</v>
      </c>
      <c r="Y238">
        <v>3</v>
      </c>
      <c r="Z238">
        <v>871106</v>
      </c>
      <c r="AA238">
        <v>0</v>
      </c>
      <c r="AB238">
        <v>0</v>
      </c>
      <c r="AC238">
        <v>871106</v>
      </c>
    </row>
    <row r="239" spans="5:29" x14ac:dyDescent="0.25">
      <c r="E239" s="24" t="s">
        <v>273</v>
      </c>
      <c r="F239" s="24" t="s">
        <v>345</v>
      </c>
      <c r="G239">
        <v>2</v>
      </c>
      <c r="H239" t="s">
        <v>275</v>
      </c>
      <c r="I239" s="22" t="s">
        <v>342</v>
      </c>
      <c r="J239" s="22">
        <v>1070428001</v>
      </c>
      <c r="K239" t="s">
        <v>277</v>
      </c>
      <c r="L239" t="s">
        <v>346</v>
      </c>
      <c r="M239">
        <v>9</v>
      </c>
      <c r="N239">
        <v>3</v>
      </c>
      <c r="O239">
        <v>3</v>
      </c>
      <c r="P239" t="s">
        <v>279</v>
      </c>
      <c r="Q239" s="29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280</v>
      </c>
      <c r="X239" t="s">
        <v>281</v>
      </c>
    </row>
    <row r="240" spans="5:29" x14ac:dyDescent="0.25">
      <c r="E240" s="24" t="s">
        <v>273</v>
      </c>
      <c r="F240" s="24" t="s">
        <v>345</v>
      </c>
      <c r="G240">
        <v>3</v>
      </c>
      <c r="H240" t="s">
        <v>275</v>
      </c>
      <c r="I240" s="22" t="s">
        <v>282</v>
      </c>
      <c r="J240" s="22">
        <v>1078405201</v>
      </c>
      <c r="K240" t="s">
        <v>277</v>
      </c>
      <c r="L240" t="s">
        <v>283</v>
      </c>
      <c r="M240">
        <v>9</v>
      </c>
      <c r="N240">
        <v>24</v>
      </c>
      <c r="O240">
        <v>24</v>
      </c>
      <c r="P240" t="s">
        <v>279</v>
      </c>
      <c r="Q240" s="29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280</v>
      </c>
      <c r="X240" t="s">
        <v>281</v>
      </c>
    </row>
    <row r="241" spans="5:24" x14ac:dyDescent="0.25">
      <c r="E241" s="24" t="s">
        <v>273</v>
      </c>
      <c r="F241" s="24" t="s">
        <v>345</v>
      </c>
      <c r="G241">
        <v>4</v>
      </c>
      <c r="H241" t="s">
        <v>275</v>
      </c>
      <c r="I241" s="22" t="s">
        <v>282</v>
      </c>
      <c r="J241" s="22">
        <v>1081055901</v>
      </c>
      <c r="K241" t="s">
        <v>277</v>
      </c>
      <c r="L241" t="s">
        <v>283</v>
      </c>
      <c r="M241">
        <v>9</v>
      </c>
      <c r="N241">
        <v>48</v>
      </c>
      <c r="O241">
        <v>48</v>
      </c>
      <c r="P241" t="s">
        <v>279</v>
      </c>
      <c r="Q241" s="29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280</v>
      </c>
      <c r="X241" t="s">
        <v>281</v>
      </c>
    </row>
    <row r="242" spans="5:24" x14ac:dyDescent="0.25">
      <c r="E242" s="24" t="s">
        <v>273</v>
      </c>
      <c r="F242" s="24" t="s">
        <v>345</v>
      </c>
      <c r="G242">
        <v>5</v>
      </c>
      <c r="H242" t="s">
        <v>275</v>
      </c>
      <c r="I242" s="22" t="s">
        <v>282</v>
      </c>
      <c r="J242" s="22">
        <v>1079346601</v>
      </c>
      <c r="K242" t="s">
        <v>277</v>
      </c>
      <c r="L242" t="s">
        <v>283</v>
      </c>
      <c r="M242">
        <v>9</v>
      </c>
      <c r="N242">
        <v>24</v>
      </c>
      <c r="O242">
        <v>24</v>
      </c>
      <c r="P242" t="s">
        <v>279</v>
      </c>
      <c r="Q242" s="29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280</v>
      </c>
      <c r="X242" t="s">
        <v>281</v>
      </c>
    </row>
    <row r="243" spans="5:24" x14ac:dyDescent="0.25">
      <c r="E243" s="24" t="s">
        <v>273</v>
      </c>
      <c r="F243" s="24" t="s">
        <v>345</v>
      </c>
      <c r="G243">
        <v>6</v>
      </c>
      <c r="H243" t="s">
        <v>275</v>
      </c>
      <c r="I243" s="22" t="s">
        <v>282</v>
      </c>
      <c r="J243" s="22">
        <v>1077885801</v>
      </c>
      <c r="K243" t="s">
        <v>277</v>
      </c>
      <c r="L243" t="s">
        <v>283</v>
      </c>
      <c r="M243">
        <v>9</v>
      </c>
      <c r="N243">
        <v>12</v>
      </c>
      <c r="O243">
        <v>12</v>
      </c>
      <c r="P243" t="s">
        <v>279</v>
      </c>
      <c r="Q243" s="29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280</v>
      </c>
      <c r="X243" t="s">
        <v>281</v>
      </c>
    </row>
    <row r="244" spans="5:24" x14ac:dyDescent="0.25">
      <c r="E244" s="24" t="s">
        <v>273</v>
      </c>
      <c r="F244" s="24" t="s">
        <v>345</v>
      </c>
      <c r="G244">
        <v>7</v>
      </c>
      <c r="H244" t="s">
        <v>275</v>
      </c>
      <c r="I244" s="22" t="s">
        <v>282</v>
      </c>
      <c r="J244" s="22">
        <v>1078886101</v>
      </c>
      <c r="K244" t="s">
        <v>277</v>
      </c>
      <c r="L244" t="s">
        <v>283</v>
      </c>
      <c r="M244">
        <v>9</v>
      </c>
      <c r="N244">
        <v>24</v>
      </c>
      <c r="O244">
        <v>24</v>
      </c>
      <c r="P244" t="s">
        <v>279</v>
      </c>
      <c r="Q244" s="29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280</v>
      </c>
      <c r="X244" t="s">
        <v>281</v>
      </c>
    </row>
    <row r="245" spans="5:24" x14ac:dyDescent="0.25">
      <c r="E245" s="24" t="s">
        <v>273</v>
      </c>
      <c r="F245" s="24" t="s">
        <v>345</v>
      </c>
      <c r="G245">
        <v>8</v>
      </c>
      <c r="H245" t="s">
        <v>275</v>
      </c>
      <c r="I245" s="22" t="s">
        <v>282</v>
      </c>
      <c r="J245" s="22">
        <v>1081055301</v>
      </c>
      <c r="K245" t="s">
        <v>277</v>
      </c>
      <c r="L245" t="s">
        <v>283</v>
      </c>
      <c r="M245">
        <v>9</v>
      </c>
      <c r="N245">
        <v>24</v>
      </c>
      <c r="O245">
        <v>24</v>
      </c>
      <c r="P245" t="s">
        <v>279</v>
      </c>
      <c r="Q245" s="29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280</v>
      </c>
      <c r="X245" t="s">
        <v>281</v>
      </c>
    </row>
    <row r="246" spans="5:24" x14ac:dyDescent="0.25">
      <c r="E246" s="24" t="s">
        <v>273</v>
      </c>
      <c r="F246" s="24" t="s">
        <v>345</v>
      </c>
      <c r="G246">
        <v>9</v>
      </c>
      <c r="H246" t="s">
        <v>275</v>
      </c>
      <c r="I246" s="22" t="s">
        <v>282</v>
      </c>
      <c r="J246" s="22">
        <v>1081055101</v>
      </c>
      <c r="K246" t="s">
        <v>277</v>
      </c>
      <c r="L246" t="s">
        <v>283</v>
      </c>
      <c r="M246">
        <v>9</v>
      </c>
      <c r="N246">
        <v>24</v>
      </c>
      <c r="O246">
        <v>24</v>
      </c>
      <c r="P246" t="s">
        <v>279</v>
      </c>
      <c r="Q246" s="29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280</v>
      </c>
      <c r="X246" t="s">
        <v>281</v>
      </c>
    </row>
    <row r="247" spans="5:24" x14ac:dyDescent="0.25">
      <c r="E247" s="24" t="s">
        <v>273</v>
      </c>
      <c r="F247" s="24" t="s">
        <v>345</v>
      </c>
      <c r="G247">
        <v>10</v>
      </c>
      <c r="H247" t="s">
        <v>275</v>
      </c>
      <c r="I247" s="22" t="s">
        <v>282</v>
      </c>
      <c r="J247" s="22">
        <v>1081549301</v>
      </c>
      <c r="K247" t="s">
        <v>277</v>
      </c>
      <c r="L247" t="s">
        <v>283</v>
      </c>
      <c r="M247">
        <v>9</v>
      </c>
      <c r="N247">
        <v>36</v>
      </c>
      <c r="O247">
        <v>36</v>
      </c>
      <c r="P247" t="s">
        <v>279</v>
      </c>
      <c r="Q247" s="29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280</v>
      </c>
      <c r="X247" t="s">
        <v>281</v>
      </c>
    </row>
    <row r="248" spans="5:24" x14ac:dyDescent="0.25">
      <c r="E248" s="24" t="s">
        <v>273</v>
      </c>
      <c r="F248" s="24" t="s">
        <v>345</v>
      </c>
      <c r="G248">
        <v>11</v>
      </c>
      <c r="H248" t="s">
        <v>275</v>
      </c>
      <c r="I248" s="22" t="s">
        <v>282</v>
      </c>
      <c r="J248" s="22">
        <v>1081549101</v>
      </c>
      <c r="K248" t="s">
        <v>277</v>
      </c>
      <c r="L248" t="s">
        <v>283</v>
      </c>
      <c r="M248">
        <v>9</v>
      </c>
      <c r="N248">
        <v>12</v>
      </c>
      <c r="O248">
        <v>12</v>
      </c>
      <c r="P248" t="s">
        <v>279</v>
      </c>
      <c r="Q248" s="29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280</v>
      </c>
      <c r="X248" t="s">
        <v>281</v>
      </c>
    </row>
    <row r="249" spans="5:24" x14ac:dyDescent="0.25">
      <c r="E249" s="24" t="s">
        <v>273</v>
      </c>
      <c r="F249" s="24" t="s">
        <v>345</v>
      </c>
      <c r="G249">
        <v>12</v>
      </c>
      <c r="H249" t="s">
        <v>275</v>
      </c>
      <c r="I249" s="22" t="s">
        <v>282</v>
      </c>
      <c r="J249" s="22">
        <v>1081055201</v>
      </c>
      <c r="K249" t="s">
        <v>277</v>
      </c>
      <c r="L249" t="s">
        <v>283</v>
      </c>
      <c r="M249">
        <v>9</v>
      </c>
      <c r="N249">
        <v>48</v>
      </c>
      <c r="O249">
        <v>48</v>
      </c>
      <c r="P249" t="s">
        <v>279</v>
      </c>
      <c r="Q249" s="29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280</v>
      </c>
      <c r="X249" t="s">
        <v>281</v>
      </c>
    </row>
    <row r="250" spans="5:24" x14ac:dyDescent="0.25">
      <c r="E250" s="24" t="s">
        <v>273</v>
      </c>
      <c r="F250" s="24" t="s">
        <v>345</v>
      </c>
      <c r="G250">
        <v>13</v>
      </c>
      <c r="H250" t="s">
        <v>275</v>
      </c>
      <c r="I250" s="22" t="s">
        <v>317</v>
      </c>
      <c r="J250" s="22">
        <v>1079346801</v>
      </c>
      <c r="K250" t="s">
        <v>277</v>
      </c>
      <c r="L250" t="s">
        <v>318</v>
      </c>
      <c r="M250">
        <v>9</v>
      </c>
      <c r="N250">
        <v>16</v>
      </c>
      <c r="O250">
        <v>16</v>
      </c>
      <c r="P250" t="s">
        <v>279</v>
      </c>
      <c r="Q250" s="29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280</v>
      </c>
      <c r="X250" t="s">
        <v>281</v>
      </c>
    </row>
    <row r="251" spans="5:24" x14ac:dyDescent="0.25">
      <c r="E251" s="24" t="s">
        <v>273</v>
      </c>
      <c r="F251" s="24" t="s">
        <v>345</v>
      </c>
      <c r="G251">
        <v>14</v>
      </c>
      <c r="H251" t="s">
        <v>275</v>
      </c>
      <c r="I251" s="22" t="s">
        <v>317</v>
      </c>
      <c r="J251" s="22">
        <v>1080655501</v>
      </c>
      <c r="K251" t="s">
        <v>277</v>
      </c>
      <c r="L251" t="s">
        <v>318</v>
      </c>
      <c r="M251">
        <v>9</v>
      </c>
      <c r="N251">
        <v>16</v>
      </c>
      <c r="O251">
        <v>16</v>
      </c>
      <c r="P251" t="s">
        <v>279</v>
      </c>
      <c r="Q251" s="29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280</v>
      </c>
      <c r="X251" t="s">
        <v>281</v>
      </c>
    </row>
    <row r="252" spans="5:24" x14ac:dyDescent="0.25">
      <c r="E252" s="24" t="s">
        <v>273</v>
      </c>
      <c r="F252" s="24" t="s">
        <v>345</v>
      </c>
      <c r="G252">
        <v>15</v>
      </c>
      <c r="H252" t="s">
        <v>275</v>
      </c>
      <c r="I252" s="22" t="s">
        <v>342</v>
      </c>
      <c r="J252" s="22">
        <v>1075798101</v>
      </c>
      <c r="K252" t="s">
        <v>277</v>
      </c>
      <c r="L252" t="s">
        <v>347</v>
      </c>
      <c r="M252">
        <v>9</v>
      </c>
      <c r="N252">
        <v>2</v>
      </c>
      <c r="O252">
        <v>2</v>
      </c>
      <c r="P252" t="s">
        <v>279</v>
      </c>
      <c r="Q252" s="29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280</v>
      </c>
      <c r="X252" t="s">
        <v>281</v>
      </c>
    </row>
    <row r="253" spans="5:24" x14ac:dyDescent="0.25">
      <c r="E253" s="24" t="s">
        <v>273</v>
      </c>
      <c r="F253" s="24" t="s">
        <v>345</v>
      </c>
      <c r="G253">
        <v>16</v>
      </c>
      <c r="H253" t="s">
        <v>275</v>
      </c>
      <c r="I253" s="22" t="s">
        <v>322</v>
      </c>
      <c r="J253" s="22">
        <v>1080655701</v>
      </c>
      <c r="K253" t="s">
        <v>277</v>
      </c>
      <c r="L253" t="s">
        <v>323</v>
      </c>
      <c r="M253">
        <v>9</v>
      </c>
      <c r="N253">
        <v>52</v>
      </c>
      <c r="O253">
        <v>52</v>
      </c>
      <c r="P253" t="s">
        <v>279</v>
      </c>
      <c r="Q253" s="29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280</v>
      </c>
      <c r="X253" t="s">
        <v>281</v>
      </c>
    </row>
    <row r="254" spans="5:24" x14ac:dyDescent="0.25">
      <c r="E254" s="24" t="s">
        <v>273</v>
      </c>
      <c r="F254" s="24" t="s">
        <v>345</v>
      </c>
      <c r="G254">
        <v>17</v>
      </c>
      <c r="H254" t="s">
        <v>275</v>
      </c>
      <c r="I254" s="22" t="s">
        <v>322</v>
      </c>
      <c r="J254" s="22">
        <v>1078886001</v>
      </c>
      <c r="K254" t="s">
        <v>277</v>
      </c>
      <c r="L254" t="s">
        <v>324</v>
      </c>
      <c r="M254">
        <v>9</v>
      </c>
      <c r="N254">
        <v>52</v>
      </c>
      <c r="O254">
        <v>52</v>
      </c>
      <c r="P254" t="s">
        <v>279</v>
      </c>
      <c r="Q254" s="29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280</v>
      </c>
      <c r="X254" t="s">
        <v>281</v>
      </c>
    </row>
    <row r="255" spans="5:24" x14ac:dyDescent="0.25">
      <c r="E255" s="24" t="s">
        <v>273</v>
      </c>
      <c r="F255" s="24" t="s">
        <v>345</v>
      </c>
      <c r="G255">
        <v>18</v>
      </c>
      <c r="H255" t="s">
        <v>275</v>
      </c>
      <c r="I255" s="22" t="s">
        <v>325</v>
      </c>
      <c r="J255" s="22">
        <v>1078140901</v>
      </c>
      <c r="K255" t="s">
        <v>277</v>
      </c>
      <c r="L255" t="s">
        <v>326</v>
      </c>
      <c r="M255">
        <v>9</v>
      </c>
      <c r="N255">
        <v>4</v>
      </c>
      <c r="O255">
        <v>4</v>
      </c>
      <c r="P255" t="s">
        <v>279</v>
      </c>
      <c r="Q255" s="29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280</v>
      </c>
      <c r="X255" t="s">
        <v>281</v>
      </c>
    </row>
    <row r="256" spans="5:24" x14ac:dyDescent="0.25">
      <c r="E256" s="24" t="s">
        <v>273</v>
      </c>
      <c r="F256" s="24" t="s">
        <v>345</v>
      </c>
      <c r="G256">
        <v>19</v>
      </c>
      <c r="H256" t="s">
        <v>275</v>
      </c>
      <c r="I256" s="22" t="s">
        <v>328</v>
      </c>
      <c r="J256" s="22">
        <v>1077154001</v>
      </c>
      <c r="K256" t="s">
        <v>277</v>
      </c>
      <c r="L256" t="s">
        <v>329</v>
      </c>
      <c r="M256">
        <v>9</v>
      </c>
      <c r="N256">
        <v>40</v>
      </c>
      <c r="O256">
        <v>40</v>
      </c>
      <c r="P256" t="s">
        <v>279</v>
      </c>
      <c r="Q256" s="29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280</v>
      </c>
      <c r="X256" t="s">
        <v>281</v>
      </c>
    </row>
    <row r="257" spans="5:29" x14ac:dyDescent="0.25">
      <c r="E257" s="24" t="s">
        <v>273</v>
      </c>
      <c r="F257" s="24" t="s">
        <v>345</v>
      </c>
      <c r="G257">
        <v>20</v>
      </c>
      <c r="H257" t="s">
        <v>275</v>
      </c>
      <c r="I257" s="22" t="s">
        <v>328</v>
      </c>
      <c r="J257" s="22">
        <v>1077154101</v>
      </c>
      <c r="K257" t="s">
        <v>277</v>
      </c>
      <c r="L257" t="s">
        <v>330</v>
      </c>
      <c r="M257">
        <v>9</v>
      </c>
      <c r="N257">
        <v>40</v>
      </c>
      <c r="O257">
        <v>40</v>
      </c>
      <c r="P257" t="s">
        <v>279</v>
      </c>
      <c r="Q257" s="29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280</v>
      </c>
      <c r="X257" t="s">
        <v>281</v>
      </c>
    </row>
    <row r="258" spans="5:29" x14ac:dyDescent="0.25">
      <c r="E258" s="24" t="s">
        <v>273</v>
      </c>
      <c r="F258" s="24" t="s">
        <v>345</v>
      </c>
      <c r="G258">
        <v>21</v>
      </c>
      <c r="H258" t="s">
        <v>275</v>
      </c>
      <c r="I258" s="22" t="s">
        <v>287</v>
      </c>
      <c r="J258" s="22">
        <v>1079346401</v>
      </c>
      <c r="K258" t="s">
        <v>277</v>
      </c>
      <c r="L258" t="s">
        <v>291</v>
      </c>
      <c r="M258">
        <v>9</v>
      </c>
      <c r="N258">
        <v>100</v>
      </c>
      <c r="O258">
        <v>100</v>
      </c>
      <c r="P258" t="s">
        <v>279</v>
      </c>
      <c r="Q258" s="29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280</v>
      </c>
      <c r="X258" t="s">
        <v>281</v>
      </c>
    </row>
    <row r="259" spans="5:29" x14ac:dyDescent="0.25">
      <c r="E259" s="24" t="s">
        <v>273</v>
      </c>
      <c r="F259" s="24" t="s">
        <v>345</v>
      </c>
      <c r="G259">
        <v>22</v>
      </c>
      <c r="H259" t="s">
        <v>275</v>
      </c>
      <c r="I259" s="22" t="s">
        <v>287</v>
      </c>
      <c r="J259" s="22">
        <v>1081097501</v>
      </c>
      <c r="K259" t="s">
        <v>277</v>
      </c>
      <c r="L259" t="s">
        <v>291</v>
      </c>
      <c r="M259">
        <v>9</v>
      </c>
      <c r="N259">
        <v>100</v>
      </c>
      <c r="O259">
        <v>100</v>
      </c>
      <c r="P259" t="s">
        <v>279</v>
      </c>
      <c r="Q259" s="29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280</v>
      </c>
      <c r="X259" t="s">
        <v>281</v>
      </c>
    </row>
    <row r="260" spans="5:29" x14ac:dyDescent="0.25">
      <c r="E260" s="24" t="s">
        <v>273</v>
      </c>
      <c r="F260" s="24" t="s">
        <v>348</v>
      </c>
      <c r="G260">
        <v>1</v>
      </c>
      <c r="H260" t="s">
        <v>275</v>
      </c>
      <c r="I260" s="22" t="s">
        <v>287</v>
      </c>
      <c r="J260" s="22">
        <v>1081549501</v>
      </c>
      <c r="K260" t="s">
        <v>277</v>
      </c>
      <c r="L260" t="s">
        <v>291</v>
      </c>
      <c r="M260">
        <v>9</v>
      </c>
      <c r="N260">
        <v>100</v>
      </c>
      <c r="O260">
        <v>100</v>
      </c>
      <c r="P260" t="s">
        <v>279</v>
      </c>
      <c r="Q260" s="29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280</v>
      </c>
      <c r="X260" t="s">
        <v>281</v>
      </c>
      <c r="Y260">
        <v>3</v>
      </c>
      <c r="Z260">
        <v>3748</v>
      </c>
      <c r="AA260">
        <v>0</v>
      </c>
      <c r="AB260">
        <v>0</v>
      </c>
      <c r="AC260">
        <v>3748</v>
      </c>
    </row>
    <row r="261" spans="5:29" x14ac:dyDescent="0.25">
      <c r="E261" s="24" t="s">
        <v>273</v>
      </c>
      <c r="F261" s="24" t="s">
        <v>348</v>
      </c>
      <c r="G261">
        <v>2</v>
      </c>
      <c r="H261" t="s">
        <v>275</v>
      </c>
      <c r="I261" s="22" t="s">
        <v>287</v>
      </c>
      <c r="J261" s="22">
        <v>1080185401</v>
      </c>
      <c r="K261" t="s">
        <v>277</v>
      </c>
      <c r="L261" t="s">
        <v>291</v>
      </c>
      <c r="M261">
        <v>9</v>
      </c>
      <c r="N261">
        <v>100</v>
      </c>
      <c r="O261">
        <v>100</v>
      </c>
      <c r="P261" t="s">
        <v>279</v>
      </c>
      <c r="Q261" s="29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280</v>
      </c>
      <c r="X261" t="s">
        <v>281</v>
      </c>
    </row>
    <row r="510" spans="6:6" x14ac:dyDescent="0.25">
      <c r="F510" s="40"/>
    </row>
    <row r="511" spans="6:6" x14ac:dyDescent="0.25">
      <c r="F511" s="40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裕隆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M128"/>
  <sheetViews>
    <sheetView tabSelected="1" workbookViewId="0">
      <pane ySplit="3" topLeftCell="A4" activePane="bottomLeft" state="frozen"/>
      <selection pane="bottomLeft" activeCell="K21" sqref="K21"/>
    </sheetView>
  </sheetViews>
  <sheetFormatPr defaultRowHeight="16.5" x14ac:dyDescent="0.25"/>
  <cols>
    <col min="1" max="1" width="5.625" customWidth="1"/>
    <col min="2" max="2" width="18" style="24" bestFit="1" customWidth="1"/>
    <col min="3" max="3" width="6.75" style="24" customWidth="1"/>
    <col min="4" max="4" width="5.625" style="24" customWidth="1"/>
    <col min="5" max="5" width="13.625" style="24" customWidth="1"/>
    <col min="6" max="6" width="14.125" style="24" customWidth="1"/>
    <col min="7" max="7" width="10.875" style="24" customWidth="1"/>
    <col min="8" max="8" width="11.375" customWidth="1"/>
    <col min="9" max="9" width="5.375" customWidth="1"/>
    <col min="10" max="10" width="11.75" style="50" customWidth="1"/>
    <col min="11" max="11" width="12.75" customWidth="1"/>
    <col min="12" max="12" width="16" customWidth="1"/>
    <col min="13" max="13" width="5.125" customWidth="1"/>
    <col min="14" max="14" width="11.375" customWidth="1"/>
    <col min="15" max="15" width="13.125" customWidth="1"/>
    <col min="16" max="16" width="11.75" customWidth="1"/>
    <col min="17" max="17" width="10.875" customWidth="1"/>
    <col min="19" max="19" width="9.625" style="50" bestFit="1" customWidth="1"/>
    <col min="21" max="21" width="12.125" customWidth="1"/>
    <col min="24" max="24" width="13.5" bestFit="1" customWidth="1"/>
    <col min="25" max="25" width="11.5" customWidth="1"/>
  </cols>
  <sheetData>
    <row r="1" spans="1:39" s="9" customFormat="1" ht="21.75" customHeight="1" x14ac:dyDescent="0.25">
      <c r="A1" s="23" t="s">
        <v>65</v>
      </c>
      <c r="B1" s="23"/>
      <c r="C1" s="55" t="s">
        <v>130</v>
      </c>
      <c r="D1" s="55"/>
      <c r="E1" s="55"/>
      <c r="F1" s="55"/>
      <c r="G1" s="23"/>
      <c r="H1" s="9" t="s">
        <v>66</v>
      </c>
      <c r="I1" s="20"/>
      <c r="J1" s="56" t="s">
        <v>387</v>
      </c>
      <c r="K1" s="56"/>
      <c r="L1" s="56"/>
      <c r="N1" s="27"/>
      <c r="S1" s="51"/>
      <c r="AB1" s="23"/>
      <c r="AC1" s="23"/>
      <c r="AD1" s="23"/>
      <c r="AE1" s="23"/>
      <c r="AG1" s="27"/>
      <c r="AH1" s="23"/>
      <c r="AI1" s="23"/>
      <c r="AJ1" s="23"/>
      <c r="AK1" s="23"/>
      <c r="AL1" s="23"/>
      <c r="AM1" s="8"/>
    </row>
    <row r="2" spans="1:39" s="16" customFormat="1" x14ac:dyDescent="0.25">
      <c r="A2" s="43">
        <v>1</v>
      </c>
      <c r="B2" s="43">
        <v>2</v>
      </c>
      <c r="C2" s="43">
        <v>3</v>
      </c>
      <c r="D2" s="43">
        <v>4</v>
      </c>
      <c r="E2" s="43">
        <v>5</v>
      </c>
      <c r="F2" s="43">
        <v>6</v>
      </c>
      <c r="G2" s="43">
        <v>7</v>
      </c>
      <c r="H2" s="43">
        <v>8</v>
      </c>
      <c r="I2" s="43">
        <v>9</v>
      </c>
      <c r="J2" s="49">
        <v>10</v>
      </c>
      <c r="K2" s="43">
        <v>11</v>
      </c>
      <c r="L2" s="46">
        <v>12</v>
      </c>
      <c r="M2" s="47"/>
      <c r="N2" s="48"/>
      <c r="O2" s="47"/>
      <c r="P2" s="47"/>
      <c r="Q2" s="47"/>
      <c r="R2" s="47"/>
      <c r="S2" s="52"/>
      <c r="T2" s="47"/>
      <c r="U2" s="47"/>
      <c r="V2" s="47"/>
      <c r="W2" s="47"/>
      <c r="X2" s="47"/>
      <c r="Y2" s="47"/>
      <c r="Z2" s="47"/>
      <c r="AB2" s="44"/>
      <c r="AC2" s="44"/>
      <c r="AD2" s="44"/>
      <c r="AE2" s="44"/>
      <c r="AG2" s="45"/>
      <c r="AH2" s="44"/>
      <c r="AI2" s="44"/>
      <c r="AJ2" s="44"/>
      <c r="AK2" s="44"/>
      <c r="AL2" s="44"/>
      <c r="AM2" s="15" t="e">
        <f>S2-ROUND(#REF!*N2,0)</f>
        <v>#REF!</v>
      </c>
    </row>
    <row r="3" spans="1:39" x14ac:dyDescent="0.25">
      <c r="A3" t="s">
        <v>119</v>
      </c>
      <c r="B3" s="24" t="s">
        <v>120</v>
      </c>
      <c r="C3" s="24" t="s">
        <v>121</v>
      </c>
      <c r="D3" s="24" t="s">
        <v>122</v>
      </c>
      <c r="E3" s="24" t="s">
        <v>128</v>
      </c>
      <c r="F3" s="24" t="s">
        <v>127</v>
      </c>
      <c r="G3" s="24" t="s">
        <v>126</v>
      </c>
      <c r="H3" t="s">
        <v>123</v>
      </c>
      <c r="I3" t="s">
        <v>125</v>
      </c>
      <c r="J3" s="50" t="s">
        <v>104</v>
      </c>
      <c r="K3" t="s">
        <v>124</v>
      </c>
      <c r="L3" t="s">
        <v>129</v>
      </c>
      <c r="M3" s="25" t="s">
        <v>99</v>
      </c>
      <c r="N3" s="25" t="s">
        <v>45</v>
      </c>
      <c r="O3" s="25"/>
      <c r="P3" s="26" t="s">
        <v>100</v>
      </c>
      <c r="Q3" s="26" t="s">
        <v>101</v>
      </c>
      <c r="R3" s="26" t="s">
        <v>102</v>
      </c>
      <c r="S3" s="25" t="s">
        <v>103</v>
      </c>
      <c r="T3" s="53" t="s">
        <v>104</v>
      </c>
      <c r="U3" s="26" t="s">
        <v>105</v>
      </c>
      <c r="V3" s="25" t="s">
        <v>106</v>
      </c>
      <c r="W3" s="25" t="s">
        <v>107</v>
      </c>
      <c r="X3" s="26" t="s">
        <v>108</v>
      </c>
      <c r="Y3" s="26" t="s">
        <v>109</v>
      </c>
    </row>
    <row r="4" spans="1:39" x14ac:dyDescent="0.25">
      <c r="A4">
        <v>1</v>
      </c>
      <c r="B4" s="24" t="s">
        <v>388</v>
      </c>
      <c r="C4" s="24" t="s">
        <v>354</v>
      </c>
      <c r="D4" s="24" t="s">
        <v>355</v>
      </c>
      <c r="E4" s="24" t="s">
        <v>389</v>
      </c>
      <c r="F4" s="24" t="s">
        <v>390</v>
      </c>
      <c r="G4" s="24" t="s">
        <v>357</v>
      </c>
      <c r="H4">
        <v>500</v>
      </c>
      <c r="I4" t="s">
        <v>356</v>
      </c>
      <c r="J4" s="50">
        <v>132.05000000000001</v>
      </c>
      <c r="K4">
        <v>66025</v>
      </c>
      <c r="L4" t="s">
        <v>423</v>
      </c>
      <c r="M4" s="15">
        <v>1</v>
      </c>
      <c r="N4" t="s">
        <v>390</v>
      </c>
      <c r="O4" t="s">
        <v>444</v>
      </c>
      <c r="P4" t="s">
        <v>445</v>
      </c>
      <c r="Q4" t="s">
        <v>446</v>
      </c>
      <c r="R4" t="s">
        <v>447</v>
      </c>
      <c r="S4" s="50">
        <v>500</v>
      </c>
      <c r="T4">
        <v>132.05000000000001</v>
      </c>
      <c r="W4">
        <v>0</v>
      </c>
      <c r="X4" t="s">
        <v>444</v>
      </c>
      <c r="Y4" t="s">
        <v>390</v>
      </c>
    </row>
    <row r="5" spans="1:39" x14ac:dyDescent="0.25">
      <c r="A5">
        <v>2</v>
      </c>
      <c r="B5" s="24" t="s">
        <v>391</v>
      </c>
      <c r="C5" s="24" t="s">
        <v>354</v>
      </c>
      <c r="D5" s="24" t="s">
        <v>355</v>
      </c>
      <c r="E5" s="24" t="s">
        <v>392</v>
      </c>
      <c r="F5" s="24" t="s">
        <v>393</v>
      </c>
      <c r="G5" s="24" t="s">
        <v>394</v>
      </c>
      <c r="H5">
        <v>200</v>
      </c>
      <c r="I5" t="s">
        <v>356</v>
      </c>
      <c r="J5" s="50">
        <v>133.59</v>
      </c>
      <c r="K5">
        <v>26718</v>
      </c>
      <c r="L5" t="s">
        <v>424</v>
      </c>
      <c r="M5">
        <v>2</v>
      </c>
      <c r="N5" t="s">
        <v>393</v>
      </c>
      <c r="O5" t="s">
        <v>448</v>
      </c>
      <c r="P5" t="s">
        <v>445</v>
      </c>
      <c r="Q5" t="s">
        <v>449</v>
      </c>
      <c r="R5" t="s">
        <v>450</v>
      </c>
      <c r="S5" s="50">
        <v>200</v>
      </c>
      <c r="T5">
        <v>133.59</v>
      </c>
      <c r="U5" t="s">
        <v>451</v>
      </c>
      <c r="V5" t="s">
        <v>452</v>
      </c>
      <c r="W5">
        <v>0</v>
      </c>
      <c r="X5" t="s">
        <v>448</v>
      </c>
      <c r="Y5" t="s">
        <v>393</v>
      </c>
    </row>
    <row r="6" spans="1:39" x14ac:dyDescent="0.25">
      <c r="A6">
        <v>3</v>
      </c>
      <c r="B6" s="24" t="s">
        <v>395</v>
      </c>
      <c r="C6" s="24" t="s">
        <v>354</v>
      </c>
      <c r="D6" s="24" t="s">
        <v>355</v>
      </c>
      <c r="E6" s="24" t="s">
        <v>396</v>
      </c>
      <c r="F6" s="24" t="s">
        <v>397</v>
      </c>
      <c r="G6" s="24" t="s">
        <v>360</v>
      </c>
      <c r="H6">
        <v>20</v>
      </c>
      <c r="I6" t="s">
        <v>356</v>
      </c>
      <c r="J6" s="50">
        <v>413.18</v>
      </c>
      <c r="K6">
        <v>8264</v>
      </c>
      <c r="L6" t="s">
        <v>425</v>
      </c>
      <c r="M6">
        <v>3</v>
      </c>
      <c r="N6" t="s">
        <v>397</v>
      </c>
      <c r="O6" t="s">
        <v>453</v>
      </c>
      <c r="P6" t="s">
        <v>445</v>
      </c>
      <c r="Q6" t="s">
        <v>454</v>
      </c>
      <c r="R6" t="s">
        <v>455</v>
      </c>
      <c r="S6" s="50">
        <v>20</v>
      </c>
      <c r="T6">
        <v>413.18</v>
      </c>
      <c r="U6" t="s">
        <v>456</v>
      </c>
      <c r="V6" t="s">
        <v>457</v>
      </c>
      <c r="W6">
        <v>0</v>
      </c>
      <c r="X6" t="s">
        <v>453</v>
      </c>
      <c r="Y6" t="s">
        <v>397</v>
      </c>
    </row>
    <row r="7" spans="1:39" x14ac:dyDescent="0.25">
      <c r="A7">
        <v>4</v>
      </c>
      <c r="B7" s="24" t="s">
        <v>398</v>
      </c>
      <c r="C7" s="24" t="s">
        <v>354</v>
      </c>
      <c r="D7" s="24" t="s">
        <v>355</v>
      </c>
      <c r="E7" s="24" t="s">
        <v>399</v>
      </c>
      <c r="F7" s="24" t="s">
        <v>400</v>
      </c>
      <c r="G7" s="24" t="s">
        <v>360</v>
      </c>
      <c r="H7">
        <v>20</v>
      </c>
      <c r="I7" t="s">
        <v>356</v>
      </c>
      <c r="J7" s="50">
        <v>323.85000000000002</v>
      </c>
      <c r="K7">
        <v>6477</v>
      </c>
      <c r="L7" t="s">
        <v>426</v>
      </c>
      <c r="M7" s="15">
        <v>4</v>
      </c>
      <c r="N7" t="s">
        <v>400</v>
      </c>
      <c r="O7" t="s">
        <v>458</v>
      </c>
      <c r="P7" t="s">
        <v>445</v>
      </c>
      <c r="Q7" t="s">
        <v>459</v>
      </c>
      <c r="R7" t="s">
        <v>460</v>
      </c>
      <c r="S7" s="50">
        <v>20</v>
      </c>
      <c r="T7">
        <v>323.85000000000002</v>
      </c>
      <c r="U7" t="s">
        <v>461</v>
      </c>
      <c r="V7">
        <v>0</v>
      </c>
      <c r="W7">
        <v>0</v>
      </c>
      <c r="X7" t="s">
        <v>458</v>
      </c>
      <c r="Y7" t="s">
        <v>400</v>
      </c>
    </row>
    <row r="8" spans="1:39" x14ac:dyDescent="0.25">
      <c r="A8">
        <v>5</v>
      </c>
      <c r="B8" s="24" t="s">
        <v>401</v>
      </c>
      <c r="C8" s="24" t="s">
        <v>354</v>
      </c>
      <c r="D8" s="24" t="s">
        <v>355</v>
      </c>
      <c r="E8" s="24" t="s">
        <v>402</v>
      </c>
      <c r="F8" s="24" t="s">
        <v>393</v>
      </c>
      <c r="G8" s="24" t="s">
        <v>394</v>
      </c>
      <c r="H8">
        <v>100</v>
      </c>
      <c r="I8" t="s">
        <v>356</v>
      </c>
      <c r="J8" s="50">
        <v>16.489999999999998</v>
      </c>
      <c r="K8">
        <v>1649</v>
      </c>
      <c r="L8" t="s">
        <v>427</v>
      </c>
      <c r="M8" s="15">
        <v>5</v>
      </c>
      <c r="N8" t="s">
        <v>393</v>
      </c>
      <c r="O8" t="s">
        <v>462</v>
      </c>
      <c r="P8" t="s">
        <v>445</v>
      </c>
      <c r="Q8" t="s">
        <v>463</v>
      </c>
      <c r="R8" t="s">
        <v>464</v>
      </c>
      <c r="S8" s="50">
        <v>100</v>
      </c>
      <c r="T8">
        <v>17</v>
      </c>
      <c r="U8" t="s">
        <v>465</v>
      </c>
      <c r="V8">
        <v>3</v>
      </c>
      <c r="W8">
        <v>0</v>
      </c>
      <c r="X8" t="s">
        <v>462</v>
      </c>
      <c r="Y8" t="s">
        <v>393</v>
      </c>
    </row>
    <row r="9" spans="1:39" x14ac:dyDescent="0.25">
      <c r="A9" t="s">
        <v>132</v>
      </c>
      <c r="B9" s="24" t="s">
        <v>268</v>
      </c>
      <c r="C9" s="24" t="s">
        <v>133</v>
      </c>
      <c r="D9" s="24" t="s">
        <v>133</v>
      </c>
      <c r="E9" s="24" t="s">
        <v>403</v>
      </c>
      <c r="F9" s="24" t="s">
        <v>404</v>
      </c>
      <c r="G9" s="24" t="s">
        <v>359</v>
      </c>
      <c r="H9">
        <v>100</v>
      </c>
      <c r="I9" t="s">
        <v>356</v>
      </c>
      <c r="J9" s="50">
        <v>16.489999999999998</v>
      </c>
      <c r="K9">
        <v>1649</v>
      </c>
      <c r="L9" t="s">
        <v>427</v>
      </c>
      <c r="M9" s="15">
        <v>5</v>
      </c>
      <c r="N9" t="s">
        <v>393</v>
      </c>
      <c r="O9" t="s">
        <v>462</v>
      </c>
      <c r="P9" t="s">
        <v>445</v>
      </c>
      <c r="Q9" t="s">
        <v>449</v>
      </c>
      <c r="R9" t="s">
        <v>466</v>
      </c>
      <c r="S9" s="50">
        <v>100</v>
      </c>
      <c r="T9">
        <v>16.489999999999998</v>
      </c>
      <c r="U9" t="s">
        <v>465</v>
      </c>
      <c r="V9">
        <v>3</v>
      </c>
      <c r="W9">
        <v>0</v>
      </c>
      <c r="X9" t="s">
        <v>462</v>
      </c>
      <c r="Y9" t="s">
        <v>393</v>
      </c>
    </row>
    <row r="10" spans="1:39" x14ac:dyDescent="0.25">
      <c r="A10">
        <v>6</v>
      </c>
      <c r="B10" s="24" t="s">
        <v>405</v>
      </c>
      <c r="C10" s="24" t="s">
        <v>354</v>
      </c>
      <c r="D10" s="24" t="s">
        <v>355</v>
      </c>
      <c r="E10" s="24" t="s">
        <v>406</v>
      </c>
      <c r="F10" s="24" t="s">
        <v>393</v>
      </c>
      <c r="G10" s="24" t="s">
        <v>394</v>
      </c>
      <c r="H10">
        <v>100</v>
      </c>
      <c r="I10" t="s">
        <v>356</v>
      </c>
      <c r="J10" s="50">
        <v>133.59</v>
      </c>
      <c r="K10">
        <v>13359</v>
      </c>
      <c r="L10" t="s">
        <v>428</v>
      </c>
      <c r="M10" s="15">
        <v>6</v>
      </c>
      <c r="N10" t="s">
        <v>404</v>
      </c>
      <c r="O10" t="s">
        <v>462</v>
      </c>
      <c r="P10" t="s">
        <v>445</v>
      </c>
      <c r="Q10" t="s">
        <v>467</v>
      </c>
      <c r="R10" t="s">
        <v>468</v>
      </c>
      <c r="S10" s="50">
        <v>100</v>
      </c>
      <c r="T10">
        <v>16.489999999999998</v>
      </c>
      <c r="U10" t="s">
        <v>465</v>
      </c>
      <c r="V10">
        <v>3</v>
      </c>
      <c r="W10">
        <v>0</v>
      </c>
      <c r="X10" t="s">
        <v>462</v>
      </c>
      <c r="Y10" t="s">
        <v>404</v>
      </c>
    </row>
    <row r="11" spans="1:39" x14ac:dyDescent="0.25">
      <c r="A11" t="s">
        <v>132</v>
      </c>
      <c r="B11" s="24" t="s">
        <v>268</v>
      </c>
      <c r="C11" s="24" t="s">
        <v>133</v>
      </c>
      <c r="D11" s="24" t="s">
        <v>133</v>
      </c>
      <c r="E11" s="24" t="s">
        <v>407</v>
      </c>
      <c r="F11" s="24" t="s">
        <v>404</v>
      </c>
      <c r="G11" s="24" t="s">
        <v>359</v>
      </c>
      <c r="H11">
        <v>100</v>
      </c>
      <c r="I11" t="s">
        <v>356</v>
      </c>
      <c r="J11" s="50">
        <v>133.59</v>
      </c>
      <c r="K11">
        <v>13359</v>
      </c>
      <c r="L11" t="s">
        <v>428</v>
      </c>
      <c r="M11" s="15">
        <v>7</v>
      </c>
      <c r="N11" t="s">
        <v>393</v>
      </c>
      <c r="O11" t="s">
        <v>469</v>
      </c>
      <c r="P11" t="s">
        <v>445</v>
      </c>
      <c r="Q11" t="s">
        <v>449</v>
      </c>
      <c r="R11" t="s">
        <v>470</v>
      </c>
      <c r="S11" s="50">
        <v>100</v>
      </c>
      <c r="T11">
        <v>133.59</v>
      </c>
      <c r="U11" t="s">
        <v>471</v>
      </c>
      <c r="V11" t="s">
        <v>472</v>
      </c>
      <c r="W11">
        <v>0</v>
      </c>
      <c r="X11" t="s">
        <v>469</v>
      </c>
      <c r="Y11" t="s">
        <v>393</v>
      </c>
    </row>
    <row r="12" spans="1:39" x14ac:dyDescent="0.25">
      <c r="A12">
        <v>7</v>
      </c>
      <c r="B12" s="24" t="s">
        <v>408</v>
      </c>
      <c r="C12" s="24" t="s">
        <v>354</v>
      </c>
      <c r="D12" s="24" t="s">
        <v>355</v>
      </c>
      <c r="E12" s="24" t="s">
        <v>409</v>
      </c>
      <c r="F12" s="24" t="s">
        <v>410</v>
      </c>
      <c r="G12" s="24" t="s">
        <v>358</v>
      </c>
      <c r="H12">
        <v>3</v>
      </c>
      <c r="I12" t="s">
        <v>356</v>
      </c>
      <c r="J12" s="50">
        <v>433.89</v>
      </c>
      <c r="K12">
        <v>1302</v>
      </c>
      <c r="L12" t="s">
        <v>429</v>
      </c>
      <c r="M12" s="15">
        <v>8</v>
      </c>
      <c r="N12" t="s">
        <v>404</v>
      </c>
      <c r="O12" t="s">
        <v>469</v>
      </c>
      <c r="P12" t="s">
        <v>445</v>
      </c>
      <c r="Q12" t="s">
        <v>467</v>
      </c>
      <c r="R12" t="s">
        <v>473</v>
      </c>
      <c r="S12" s="50">
        <v>100</v>
      </c>
      <c r="T12">
        <v>133.59</v>
      </c>
      <c r="W12">
        <v>0</v>
      </c>
      <c r="X12" t="s">
        <v>469</v>
      </c>
      <c r="Y12" t="s">
        <v>404</v>
      </c>
    </row>
    <row r="13" spans="1:39" x14ac:dyDescent="0.25">
      <c r="A13">
        <v>8</v>
      </c>
      <c r="B13" s="24" t="s">
        <v>411</v>
      </c>
      <c r="C13" s="24" t="s">
        <v>354</v>
      </c>
      <c r="D13" s="24" t="s">
        <v>355</v>
      </c>
      <c r="E13" s="24" t="s">
        <v>412</v>
      </c>
      <c r="F13" s="24" t="s">
        <v>413</v>
      </c>
      <c r="G13" s="24" t="s">
        <v>361</v>
      </c>
      <c r="H13">
        <v>3</v>
      </c>
      <c r="I13" t="s">
        <v>356</v>
      </c>
      <c r="J13" s="50">
        <v>19</v>
      </c>
      <c r="K13">
        <v>57</v>
      </c>
      <c r="L13" t="s">
        <v>430</v>
      </c>
      <c r="M13" s="15">
        <v>9</v>
      </c>
      <c r="N13" t="s">
        <v>410</v>
      </c>
      <c r="O13" t="s">
        <v>474</v>
      </c>
      <c r="P13" t="s">
        <v>445</v>
      </c>
      <c r="Q13" t="s">
        <v>475</v>
      </c>
      <c r="R13" t="s">
        <v>476</v>
      </c>
      <c r="S13" s="50">
        <v>3</v>
      </c>
      <c r="T13">
        <v>433.89</v>
      </c>
      <c r="W13">
        <v>0</v>
      </c>
      <c r="X13" t="s">
        <v>474</v>
      </c>
      <c r="Y13" t="s">
        <v>410</v>
      </c>
    </row>
    <row r="14" spans="1:39" x14ac:dyDescent="0.25">
      <c r="A14" t="s">
        <v>132</v>
      </c>
      <c r="B14" s="24" t="s">
        <v>268</v>
      </c>
      <c r="C14" s="24" t="s">
        <v>133</v>
      </c>
      <c r="D14" s="24" t="s">
        <v>133</v>
      </c>
      <c r="E14" s="24" t="s">
        <v>414</v>
      </c>
      <c r="F14" s="24" t="s">
        <v>415</v>
      </c>
      <c r="G14" s="24" t="s">
        <v>359</v>
      </c>
      <c r="H14">
        <v>40</v>
      </c>
      <c r="I14" t="s">
        <v>356</v>
      </c>
      <c r="J14" s="50">
        <v>19</v>
      </c>
      <c r="K14">
        <v>760</v>
      </c>
      <c r="L14" t="s">
        <v>430</v>
      </c>
      <c r="M14" s="15">
        <v>10</v>
      </c>
      <c r="N14" t="s">
        <v>413</v>
      </c>
      <c r="O14" t="s">
        <v>477</v>
      </c>
      <c r="P14" t="s">
        <v>445</v>
      </c>
      <c r="Q14" t="s">
        <v>454</v>
      </c>
      <c r="R14" t="s">
        <v>478</v>
      </c>
      <c r="S14" s="50">
        <v>3</v>
      </c>
      <c r="T14">
        <v>19</v>
      </c>
      <c r="U14" t="s">
        <v>479</v>
      </c>
      <c r="V14" t="s">
        <v>480</v>
      </c>
      <c r="W14">
        <v>0</v>
      </c>
      <c r="X14" t="s">
        <v>477</v>
      </c>
      <c r="Y14" t="s">
        <v>413</v>
      </c>
    </row>
    <row r="15" spans="1:39" x14ac:dyDescent="0.25">
      <c r="A15">
        <v>9</v>
      </c>
      <c r="B15" s="24" t="s">
        <v>416</v>
      </c>
      <c r="C15" s="24" t="s">
        <v>354</v>
      </c>
      <c r="D15" s="24" t="s">
        <v>355</v>
      </c>
      <c r="E15" s="24" t="s">
        <v>417</v>
      </c>
      <c r="F15" s="24" t="s">
        <v>404</v>
      </c>
      <c r="G15" s="24" t="s">
        <v>359</v>
      </c>
      <c r="H15">
        <v>100</v>
      </c>
      <c r="I15" t="s">
        <v>356</v>
      </c>
      <c r="J15" s="50">
        <v>230.52</v>
      </c>
      <c r="K15">
        <v>23052</v>
      </c>
      <c r="L15" t="s">
        <v>431</v>
      </c>
      <c r="M15" s="15">
        <v>11</v>
      </c>
      <c r="N15" t="s">
        <v>415</v>
      </c>
      <c r="O15" t="s">
        <v>477</v>
      </c>
      <c r="P15" t="s">
        <v>445</v>
      </c>
      <c r="Q15" t="s">
        <v>454</v>
      </c>
      <c r="R15" t="s">
        <v>481</v>
      </c>
      <c r="S15" s="50">
        <v>40</v>
      </c>
      <c r="T15">
        <v>19</v>
      </c>
      <c r="U15" t="s">
        <v>479</v>
      </c>
      <c r="V15" t="s">
        <v>457</v>
      </c>
      <c r="W15">
        <v>0</v>
      </c>
      <c r="X15" t="s">
        <v>477</v>
      </c>
      <c r="Y15" t="s">
        <v>415</v>
      </c>
    </row>
    <row r="16" spans="1:39" x14ac:dyDescent="0.25">
      <c r="A16">
        <v>10</v>
      </c>
      <c r="B16" s="24" t="s">
        <v>418</v>
      </c>
      <c r="C16" s="24" t="s">
        <v>354</v>
      </c>
      <c r="D16" s="24" t="s">
        <v>355</v>
      </c>
      <c r="E16" s="24" t="s">
        <v>419</v>
      </c>
      <c r="F16" s="24" t="s">
        <v>393</v>
      </c>
      <c r="G16" s="24" t="s">
        <v>394</v>
      </c>
      <c r="H16">
        <v>200</v>
      </c>
      <c r="I16" t="s">
        <v>356</v>
      </c>
      <c r="J16" s="50">
        <v>7.53</v>
      </c>
      <c r="K16">
        <v>1506</v>
      </c>
      <c r="L16" t="s">
        <v>432</v>
      </c>
      <c r="M16" s="15">
        <v>12</v>
      </c>
      <c r="N16" t="s">
        <v>404</v>
      </c>
      <c r="O16" t="s">
        <v>482</v>
      </c>
      <c r="P16" t="s">
        <v>445</v>
      </c>
      <c r="Q16" t="s">
        <v>467</v>
      </c>
      <c r="R16" t="s">
        <v>483</v>
      </c>
      <c r="S16" s="50">
        <v>100</v>
      </c>
      <c r="T16">
        <v>230.52</v>
      </c>
      <c r="U16" t="s">
        <v>484</v>
      </c>
      <c r="V16">
        <v>4</v>
      </c>
      <c r="W16">
        <v>0</v>
      </c>
      <c r="X16" t="s">
        <v>485</v>
      </c>
      <c r="Y16" t="s">
        <v>404</v>
      </c>
    </row>
    <row r="17" spans="1:25" x14ac:dyDescent="0.25">
      <c r="A17" t="s">
        <v>132</v>
      </c>
      <c r="B17" s="24" t="s">
        <v>268</v>
      </c>
      <c r="C17" s="24" t="s">
        <v>133</v>
      </c>
      <c r="D17" s="24" t="s">
        <v>133</v>
      </c>
      <c r="E17" s="24" t="s">
        <v>420</v>
      </c>
      <c r="F17" s="24" t="s">
        <v>404</v>
      </c>
      <c r="G17" s="24" t="s">
        <v>359</v>
      </c>
      <c r="H17">
        <v>200</v>
      </c>
      <c r="I17" t="s">
        <v>356</v>
      </c>
      <c r="J17" s="50">
        <v>7.53</v>
      </c>
      <c r="K17">
        <v>1506</v>
      </c>
      <c r="L17" t="s">
        <v>432</v>
      </c>
      <c r="M17" s="15">
        <v>13</v>
      </c>
      <c r="N17" t="s">
        <v>393</v>
      </c>
      <c r="O17" t="s">
        <v>486</v>
      </c>
      <c r="P17" t="s">
        <v>445</v>
      </c>
      <c r="Q17" t="s">
        <v>463</v>
      </c>
      <c r="R17" t="s">
        <v>487</v>
      </c>
      <c r="S17" s="50">
        <v>300</v>
      </c>
      <c r="T17">
        <v>7.76</v>
      </c>
      <c r="U17" t="s">
        <v>488</v>
      </c>
      <c r="V17" t="s">
        <v>457</v>
      </c>
      <c r="W17">
        <v>0</v>
      </c>
      <c r="X17" t="s">
        <v>486</v>
      </c>
      <c r="Y17" t="s">
        <v>393</v>
      </c>
    </row>
    <row r="18" spans="1:25" x14ac:dyDescent="0.25">
      <c r="A18">
        <v>11</v>
      </c>
      <c r="B18" s="24" t="s">
        <v>421</v>
      </c>
      <c r="C18" s="24" t="s">
        <v>354</v>
      </c>
      <c r="D18" s="24" t="s">
        <v>355</v>
      </c>
      <c r="E18" s="24" t="s">
        <v>422</v>
      </c>
      <c r="F18" s="24" t="s">
        <v>390</v>
      </c>
      <c r="G18" s="24" t="s">
        <v>394</v>
      </c>
      <c r="H18">
        <v>200</v>
      </c>
      <c r="I18" t="s">
        <v>356</v>
      </c>
      <c r="J18" s="50">
        <v>119.4</v>
      </c>
      <c r="K18">
        <v>23880</v>
      </c>
      <c r="L18" t="s">
        <v>433</v>
      </c>
      <c r="M18" s="15">
        <v>13</v>
      </c>
      <c r="N18" t="s">
        <v>393</v>
      </c>
      <c r="O18" t="s">
        <v>486</v>
      </c>
      <c r="P18" t="s">
        <v>445</v>
      </c>
      <c r="Q18" t="s">
        <v>449</v>
      </c>
      <c r="R18" t="s">
        <v>489</v>
      </c>
      <c r="S18" s="50">
        <v>200</v>
      </c>
      <c r="T18">
        <v>7.53</v>
      </c>
      <c r="U18" t="s">
        <v>488</v>
      </c>
      <c r="V18" t="s">
        <v>457</v>
      </c>
      <c r="W18">
        <v>0</v>
      </c>
      <c r="X18" t="s">
        <v>486</v>
      </c>
      <c r="Y18" t="s">
        <v>393</v>
      </c>
    </row>
    <row r="19" spans="1:25" x14ac:dyDescent="0.25">
      <c r="M19" s="15">
        <v>14</v>
      </c>
      <c r="N19" t="s">
        <v>404</v>
      </c>
      <c r="O19" t="s">
        <v>486</v>
      </c>
      <c r="P19" t="s">
        <v>445</v>
      </c>
      <c r="Q19" t="s">
        <v>467</v>
      </c>
      <c r="R19" t="s">
        <v>490</v>
      </c>
      <c r="S19" s="50">
        <v>200</v>
      </c>
      <c r="T19">
        <v>7.53</v>
      </c>
      <c r="U19" t="s">
        <v>488</v>
      </c>
      <c r="V19" t="s">
        <v>457</v>
      </c>
      <c r="W19">
        <v>0</v>
      </c>
      <c r="X19" t="s">
        <v>486</v>
      </c>
      <c r="Y19" t="s">
        <v>404</v>
      </c>
    </row>
    <row r="20" spans="1:25" x14ac:dyDescent="0.25">
      <c r="M20">
        <v>15</v>
      </c>
      <c r="N20" t="s">
        <v>390</v>
      </c>
      <c r="O20" t="s">
        <v>491</v>
      </c>
      <c r="P20" t="s">
        <v>445</v>
      </c>
      <c r="Q20" t="s">
        <v>492</v>
      </c>
      <c r="R20" t="s">
        <v>493</v>
      </c>
      <c r="S20" s="50">
        <v>200</v>
      </c>
      <c r="T20">
        <v>119.4</v>
      </c>
      <c r="U20" t="s">
        <v>494</v>
      </c>
      <c r="V20" t="s">
        <v>495</v>
      </c>
      <c r="W20">
        <v>0</v>
      </c>
      <c r="X20" t="s">
        <v>491</v>
      </c>
      <c r="Y20" t="s">
        <v>390</v>
      </c>
    </row>
    <row r="22" spans="1:25" x14ac:dyDescent="0.25">
      <c r="M22" s="15"/>
    </row>
    <row r="23" spans="1:25" x14ac:dyDescent="0.25">
      <c r="M23" s="15"/>
    </row>
    <row r="24" spans="1:25" x14ac:dyDescent="0.25">
      <c r="M24" s="15"/>
    </row>
    <row r="25" spans="1:25" x14ac:dyDescent="0.25">
      <c r="M25" s="15"/>
    </row>
    <row r="26" spans="1:25" x14ac:dyDescent="0.25">
      <c r="M26" s="15"/>
    </row>
    <row r="27" spans="1:25" x14ac:dyDescent="0.25">
      <c r="M27" s="15"/>
    </row>
    <row r="28" spans="1:25" x14ac:dyDescent="0.25">
      <c r="M28" s="15"/>
    </row>
    <row r="29" spans="1:25" x14ac:dyDescent="0.25">
      <c r="M29" s="15"/>
    </row>
    <row r="30" spans="1:25" x14ac:dyDescent="0.25">
      <c r="M30" s="15"/>
    </row>
    <row r="31" spans="1:25" x14ac:dyDescent="0.25">
      <c r="M31" s="15"/>
    </row>
    <row r="32" spans="1:25" x14ac:dyDescent="0.25">
      <c r="M32" s="15"/>
    </row>
    <row r="33" spans="13:13" x14ac:dyDescent="0.25">
      <c r="M33" s="15"/>
    </row>
    <row r="34" spans="13:13" x14ac:dyDescent="0.25">
      <c r="M34" s="15"/>
    </row>
    <row r="35" spans="13:13" x14ac:dyDescent="0.25">
      <c r="M35" s="15"/>
    </row>
    <row r="36" spans="13:13" x14ac:dyDescent="0.25">
      <c r="M36" s="15"/>
    </row>
    <row r="37" spans="13:13" x14ac:dyDescent="0.25">
      <c r="M37" s="15"/>
    </row>
    <row r="38" spans="13:13" x14ac:dyDescent="0.25">
      <c r="M38" s="15"/>
    </row>
    <row r="39" spans="13:13" x14ac:dyDescent="0.25">
      <c r="M39" s="15"/>
    </row>
    <row r="42" spans="13:13" x14ac:dyDescent="0.25">
      <c r="M42" s="15"/>
    </row>
    <row r="43" spans="13:13" x14ac:dyDescent="0.25">
      <c r="M43" s="15"/>
    </row>
    <row r="44" spans="13:13" x14ac:dyDescent="0.25">
      <c r="M44" s="15"/>
    </row>
    <row r="45" spans="13:13" x14ac:dyDescent="0.25">
      <c r="M45" s="15"/>
    </row>
    <row r="46" spans="13:13" x14ac:dyDescent="0.25">
      <c r="M46" s="15"/>
    </row>
    <row r="47" spans="13:13" x14ac:dyDescent="0.25">
      <c r="M47" s="15"/>
    </row>
    <row r="48" spans="13:13" x14ac:dyDescent="0.25">
      <c r="M48" s="15"/>
    </row>
    <row r="49" spans="13:13" x14ac:dyDescent="0.25">
      <c r="M49" s="15"/>
    </row>
    <row r="50" spans="13:13" x14ac:dyDescent="0.25">
      <c r="M50" s="15"/>
    </row>
    <row r="51" spans="13:13" x14ac:dyDescent="0.25">
      <c r="M51" s="15"/>
    </row>
    <row r="128" spans="12:12" x14ac:dyDescent="0.25">
      <c r="L128" s="24"/>
    </row>
  </sheetData>
  <mergeCells count="2">
    <mergeCell ref="C1:F1"/>
    <mergeCell ref="J1:L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讀取對帳單資料_裕器ANSI_Click">
                <anchor moveWithCells="1" sizeWithCells="1">
                  <from>
                    <xdr:col>12</xdr:col>
                    <xdr:colOff>238125</xdr:colOff>
                    <xdr:row>0</xdr:row>
                    <xdr:rowOff>9525</xdr:rowOff>
                  </from>
                  <to>
                    <xdr:col>14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odule1.清除資料_Click">
                <anchor moveWithCells="1" sizeWithCells="1">
                  <from>
                    <xdr:col>14</xdr:col>
                    <xdr:colOff>190500</xdr:colOff>
                    <xdr:row>0</xdr:row>
                    <xdr:rowOff>9525</xdr:rowOff>
                  </from>
                  <to>
                    <xdr:col>15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小計設定_憑單編號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17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小計移除">
                <anchor moveWithCells="1" sizeWithCells="1">
                  <from>
                    <xdr:col>17</xdr:col>
                    <xdr:colOff>257175</xdr:colOff>
                    <xdr:row>0</xdr:row>
                    <xdr:rowOff>0</xdr:rowOff>
                  </from>
                  <to>
                    <xdr:col>18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/>
  </sheetPr>
  <dimension ref="A1:D334"/>
  <sheetViews>
    <sheetView workbookViewId="0">
      <selection activeCell="C3" sqref="C3"/>
    </sheetView>
  </sheetViews>
  <sheetFormatPr defaultRowHeight="16.5" x14ac:dyDescent="0.25"/>
  <cols>
    <col min="1" max="1" width="9" style="12"/>
    <col min="2" max="2" width="13.625" style="24" customWidth="1"/>
    <col min="3" max="3" width="39.5" customWidth="1"/>
    <col min="4" max="4" width="25" customWidth="1"/>
  </cols>
  <sheetData>
    <row r="1" spans="1:4" x14ac:dyDescent="0.25">
      <c r="B1" s="20" t="s">
        <v>110</v>
      </c>
    </row>
    <row r="2" spans="1:4" x14ac:dyDescent="0.25">
      <c r="B2" s="43">
        <v>5</v>
      </c>
    </row>
    <row r="3" spans="1:4" x14ac:dyDescent="0.25">
      <c r="B3" s="24" t="s">
        <v>128</v>
      </c>
      <c r="C3" t="s">
        <v>349</v>
      </c>
      <c r="D3" t="s">
        <v>350</v>
      </c>
    </row>
    <row r="4" spans="1:4" x14ac:dyDescent="0.25">
      <c r="A4" s="12">
        <v>1</v>
      </c>
      <c r="B4" s="24" t="s">
        <v>131</v>
      </c>
      <c r="C4" t="str">
        <f>"select item=" &amp; A4 &amp; ", shipno='" &amp; B4 &amp; "'"</f>
        <v>select item=1, shipno='1RA018500'</v>
      </c>
    </row>
    <row r="5" spans="1:4" x14ac:dyDescent="0.25">
      <c r="A5" s="12">
        <v>3</v>
      </c>
      <c r="B5" s="24" t="s">
        <v>134</v>
      </c>
      <c r="C5" t="str">
        <f t="shared" ref="C5:C59" si="0">"union all  select item=" &amp; A5 &amp; ", shipno='" &amp; B5 &amp; "'"</f>
        <v>union all  select item=3, shipno='1RA120154'</v>
      </c>
    </row>
    <row r="6" spans="1:4" x14ac:dyDescent="0.25">
      <c r="A6" s="12">
        <v>4</v>
      </c>
      <c r="B6" s="24" t="s">
        <v>135</v>
      </c>
      <c r="C6" t="str">
        <f t="shared" si="0"/>
        <v>union all  select item=4, shipno='1RA129841'</v>
      </c>
    </row>
    <row r="7" spans="1:4" x14ac:dyDescent="0.25">
      <c r="A7" s="12">
        <v>5</v>
      </c>
      <c r="B7" s="24" t="s">
        <v>136</v>
      </c>
      <c r="C7" t="str">
        <f t="shared" si="0"/>
        <v>union all  select item=5, shipno='1RA129840'</v>
      </c>
    </row>
    <row r="8" spans="1:4" x14ac:dyDescent="0.25">
      <c r="A8" s="12">
        <v>6</v>
      </c>
      <c r="B8" s="24" t="s">
        <v>137</v>
      </c>
      <c r="C8" t="str">
        <f t="shared" si="0"/>
        <v>union all  select item=6, shipno='1RA128709'</v>
      </c>
    </row>
    <row r="9" spans="1:4" x14ac:dyDescent="0.25">
      <c r="A9" s="12">
        <v>7</v>
      </c>
      <c r="B9" s="24" t="s">
        <v>138</v>
      </c>
      <c r="C9" t="str">
        <f t="shared" si="0"/>
        <v>union all  select item=7, shipno='1RA124413'</v>
      </c>
    </row>
    <row r="10" spans="1:4" x14ac:dyDescent="0.25">
      <c r="A10" s="12">
        <v>8</v>
      </c>
      <c r="B10" s="24" t="s">
        <v>139</v>
      </c>
      <c r="C10" t="str">
        <f t="shared" si="0"/>
        <v>union all  select item=8, shipno='1RA129033'</v>
      </c>
    </row>
    <row r="11" spans="1:4" x14ac:dyDescent="0.25">
      <c r="A11" s="12">
        <v>9</v>
      </c>
      <c r="B11" s="24" t="s">
        <v>140</v>
      </c>
      <c r="C11" t="str">
        <f t="shared" si="0"/>
        <v>union all  select item=9, shipno='1RA125198'</v>
      </c>
    </row>
    <row r="12" spans="1:4" x14ac:dyDescent="0.25">
      <c r="A12" s="12">
        <v>10</v>
      </c>
      <c r="B12" s="24" t="s">
        <v>141</v>
      </c>
      <c r="C12" t="str">
        <f t="shared" si="0"/>
        <v>union all  select item=10, shipno='1RA123782'</v>
      </c>
    </row>
    <row r="13" spans="1:4" x14ac:dyDescent="0.25">
      <c r="A13" s="12">
        <v>11</v>
      </c>
      <c r="B13" s="24" t="s">
        <v>142</v>
      </c>
      <c r="C13" t="str">
        <f t="shared" si="0"/>
        <v>union all  select item=11, shipno='1RA120196'</v>
      </c>
    </row>
    <row r="14" spans="1:4" x14ac:dyDescent="0.25">
      <c r="A14" s="12">
        <v>12</v>
      </c>
      <c r="B14" s="24" t="s">
        <v>143</v>
      </c>
      <c r="C14" t="str">
        <f t="shared" si="0"/>
        <v>union all  select item=12, shipno='1RA129007'</v>
      </c>
    </row>
    <row r="15" spans="1:4" x14ac:dyDescent="0.25">
      <c r="A15" s="12">
        <v>13</v>
      </c>
      <c r="B15" s="24" t="s">
        <v>144</v>
      </c>
      <c r="C15" t="str">
        <f t="shared" si="0"/>
        <v>union all  select item=13, shipno='1RA015171'</v>
      </c>
    </row>
    <row r="16" spans="1:4" x14ac:dyDescent="0.25">
      <c r="A16" s="12">
        <v>14</v>
      </c>
      <c r="B16" s="24" t="s">
        <v>145</v>
      </c>
      <c r="C16" t="str">
        <f t="shared" si="0"/>
        <v>union all  select item=14, shipno='1RA012601'</v>
      </c>
    </row>
    <row r="17" spans="1:3" x14ac:dyDescent="0.25">
      <c r="A17" s="12">
        <v>15</v>
      </c>
      <c r="B17" s="24" t="s">
        <v>146</v>
      </c>
      <c r="C17" t="str">
        <f t="shared" si="0"/>
        <v>union all  select item=15, shipno='1RA018497'</v>
      </c>
    </row>
    <row r="18" spans="1:3" x14ac:dyDescent="0.25">
      <c r="A18" s="12">
        <v>16</v>
      </c>
      <c r="B18" s="24" t="s">
        <v>147</v>
      </c>
      <c r="C18" t="str">
        <f t="shared" si="0"/>
        <v>union all  select item=16, shipno='1RA010416'</v>
      </c>
    </row>
    <row r="19" spans="1:3" x14ac:dyDescent="0.25">
      <c r="A19" s="12">
        <v>17</v>
      </c>
      <c r="B19" s="24" t="s">
        <v>148</v>
      </c>
      <c r="C19" t="str">
        <f t="shared" si="0"/>
        <v>union all  select item=17, shipno='1RA019024'</v>
      </c>
    </row>
    <row r="20" spans="1:3" x14ac:dyDescent="0.25">
      <c r="A20" s="12">
        <v>18</v>
      </c>
      <c r="B20" s="24" t="s">
        <v>149</v>
      </c>
      <c r="C20" t="str">
        <f t="shared" si="0"/>
        <v>union all  select item=18, shipno='1RA121675'</v>
      </c>
    </row>
    <row r="21" spans="1:3" x14ac:dyDescent="0.25">
      <c r="A21" s="12">
        <v>19</v>
      </c>
      <c r="B21" s="24" t="s">
        <v>150</v>
      </c>
      <c r="C21" t="str">
        <f t="shared" si="0"/>
        <v>union all  select item=19, shipno='1RA125799'</v>
      </c>
    </row>
    <row r="22" spans="1:3" x14ac:dyDescent="0.25">
      <c r="A22" s="12">
        <v>20</v>
      </c>
      <c r="B22" s="24" t="s">
        <v>151</v>
      </c>
      <c r="C22" t="str">
        <f t="shared" si="0"/>
        <v>union all  select item=20, shipno='1RA128885'</v>
      </c>
    </row>
    <row r="23" spans="1:3" x14ac:dyDescent="0.25">
      <c r="A23" s="12">
        <v>21</v>
      </c>
      <c r="B23" s="24" t="s">
        <v>152</v>
      </c>
      <c r="C23" t="str">
        <f t="shared" si="0"/>
        <v>union all  select item=21, shipno='1RA122788'</v>
      </c>
    </row>
    <row r="24" spans="1:3" x14ac:dyDescent="0.25">
      <c r="A24" s="12">
        <v>22</v>
      </c>
      <c r="B24" s="24" t="s">
        <v>153</v>
      </c>
      <c r="C24" t="str">
        <f t="shared" si="0"/>
        <v>union all  select item=22, shipno='1RA124626'</v>
      </c>
    </row>
    <row r="25" spans="1:3" x14ac:dyDescent="0.25">
      <c r="A25" s="12">
        <v>23</v>
      </c>
      <c r="B25" s="24" t="s">
        <v>154</v>
      </c>
      <c r="C25" t="str">
        <f t="shared" si="0"/>
        <v>union all  select item=23, shipno='1RA128327'</v>
      </c>
    </row>
    <row r="26" spans="1:3" x14ac:dyDescent="0.25">
      <c r="A26" s="12">
        <v>24</v>
      </c>
      <c r="B26" s="24" t="s">
        <v>155</v>
      </c>
      <c r="C26" t="str">
        <f t="shared" si="0"/>
        <v>union all  select item=24, shipno='1RA123864'</v>
      </c>
    </row>
    <row r="27" spans="1:3" x14ac:dyDescent="0.25">
      <c r="A27" s="12">
        <v>25</v>
      </c>
      <c r="B27" s="24" t="s">
        <v>156</v>
      </c>
      <c r="C27" t="str">
        <f t="shared" si="0"/>
        <v>union all  select item=25, shipno='1RA120184'</v>
      </c>
    </row>
    <row r="28" spans="1:3" x14ac:dyDescent="0.25">
      <c r="A28" s="12">
        <v>26</v>
      </c>
      <c r="B28" s="24" t="s">
        <v>157</v>
      </c>
      <c r="C28" t="str">
        <f t="shared" si="0"/>
        <v>union all  select item=26, shipno='1RA010551'</v>
      </c>
    </row>
    <row r="29" spans="1:3" x14ac:dyDescent="0.25">
      <c r="A29" s="12">
        <v>27</v>
      </c>
      <c r="B29" s="24" t="s">
        <v>158</v>
      </c>
      <c r="C29" t="str">
        <f t="shared" si="0"/>
        <v>union all  select item=27, shipno='1RA018536'</v>
      </c>
    </row>
    <row r="30" spans="1:3" x14ac:dyDescent="0.25">
      <c r="A30" s="12">
        <v>28</v>
      </c>
      <c r="B30" s="24" t="s">
        <v>159</v>
      </c>
      <c r="C30" t="str">
        <f t="shared" si="0"/>
        <v>union all  select item=28, shipno='1RA019204'</v>
      </c>
    </row>
    <row r="31" spans="1:3" x14ac:dyDescent="0.25">
      <c r="A31" s="12">
        <v>29</v>
      </c>
      <c r="B31" s="24" t="s">
        <v>160</v>
      </c>
      <c r="C31" t="str">
        <f t="shared" si="0"/>
        <v>union all  select item=29, shipno='1RA013851'</v>
      </c>
    </row>
    <row r="32" spans="1:3" x14ac:dyDescent="0.25">
      <c r="A32" s="12">
        <v>30</v>
      </c>
      <c r="B32" s="24" t="s">
        <v>161</v>
      </c>
      <c r="C32" t="str">
        <f t="shared" si="0"/>
        <v>union all  select item=30, shipno='1RA014142'</v>
      </c>
    </row>
    <row r="33" spans="1:3" x14ac:dyDescent="0.25">
      <c r="A33" s="12">
        <v>31</v>
      </c>
      <c r="B33" s="24" t="s">
        <v>162</v>
      </c>
      <c r="C33" t="str">
        <f t="shared" si="0"/>
        <v>union all  select item=31, shipno='1RA011013'</v>
      </c>
    </row>
    <row r="34" spans="1:3" x14ac:dyDescent="0.25">
      <c r="A34" s="12">
        <v>32</v>
      </c>
      <c r="B34" s="24" t="s">
        <v>163</v>
      </c>
      <c r="C34" t="str">
        <f t="shared" si="0"/>
        <v>union all  select item=32, shipno='1RA013264'</v>
      </c>
    </row>
    <row r="35" spans="1:3" x14ac:dyDescent="0.25">
      <c r="A35" s="12">
        <v>33</v>
      </c>
      <c r="B35" s="24" t="s">
        <v>164</v>
      </c>
      <c r="C35" t="str">
        <f t="shared" si="0"/>
        <v>union all  select item=33, shipno='1RA010853'</v>
      </c>
    </row>
    <row r="36" spans="1:3" x14ac:dyDescent="0.25">
      <c r="A36" s="12">
        <v>34</v>
      </c>
      <c r="B36" s="24" t="s">
        <v>165</v>
      </c>
      <c r="C36" t="str">
        <f t="shared" si="0"/>
        <v>union all  select item=34, shipno='1RA011813'</v>
      </c>
    </row>
    <row r="37" spans="1:3" x14ac:dyDescent="0.25">
      <c r="A37" s="12">
        <v>35</v>
      </c>
      <c r="B37" s="24" t="s">
        <v>166</v>
      </c>
      <c r="C37" t="str">
        <f t="shared" si="0"/>
        <v>union all  select item=35, shipno='1RA010952'</v>
      </c>
    </row>
    <row r="38" spans="1:3" x14ac:dyDescent="0.25">
      <c r="A38" s="12">
        <v>36</v>
      </c>
      <c r="B38" s="24" t="s">
        <v>167</v>
      </c>
      <c r="C38" t="str">
        <f t="shared" si="0"/>
        <v>union all  select item=36, shipno='1RA010955'</v>
      </c>
    </row>
    <row r="39" spans="1:3" x14ac:dyDescent="0.25">
      <c r="A39" s="12">
        <v>37</v>
      </c>
      <c r="B39" s="24" t="s">
        <v>168</v>
      </c>
      <c r="C39" t="str">
        <f t="shared" si="0"/>
        <v>union all  select item=37, shipno='1RA010727'</v>
      </c>
    </row>
    <row r="40" spans="1:3" x14ac:dyDescent="0.25">
      <c r="A40" s="12">
        <v>38</v>
      </c>
      <c r="B40" s="24" t="s">
        <v>169</v>
      </c>
      <c r="C40" t="str">
        <f t="shared" si="0"/>
        <v>union all  select item=38, shipno='1RA015170'</v>
      </c>
    </row>
    <row r="41" spans="1:3" x14ac:dyDescent="0.25">
      <c r="A41" s="12">
        <v>39</v>
      </c>
      <c r="B41" s="24" t="s">
        <v>170</v>
      </c>
      <c r="C41" t="str">
        <f t="shared" si="0"/>
        <v>union all  select item=39, shipno='1RA019931'</v>
      </c>
    </row>
    <row r="42" spans="1:3" x14ac:dyDescent="0.25">
      <c r="A42" s="12">
        <v>40</v>
      </c>
      <c r="B42" s="24" t="s">
        <v>171</v>
      </c>
      <c r="C42" t="str">
        <f t="shared" si="0"/>
        <v>union all  select item=40, shipno='1RA018542'</v>
      </c>
    </row>
    <row r="43" spans="1:3" x14ac:dyDescent="0.25">
      <c r="A43" s="12">
        <v>41</v>
      </c>
      <c r="B43" s="24" t="s">
        <v>172</v>
      </c>
      <c r="C43" t="str">
        <f t="shared" si="0"/>
        <v>union all  select item=41, shipno='1RA019207'</v>
      </c>
    </row>
    <row r="44" spans="1:3" x14ac:dyDescent="0.25">
      <c r="A44" s="12">
        <v>42</v>
      </c>
      <c r="B44" s="24" t="s">
        <v>173</v>
      </c>
      <c r="C44" t="str">
        <f t="shared" si="0"/>
        <v>union all  select item=42, shipno='1RA018496'</v>
      </c>
    </row>
    <row r="45" spans="1:3" x14ac:dyDescent="0.25">
      <c r="A45" s="12">
        <v>43</v>
      </c>
      <c r="B45" s="24" t="s">
        <v>174</v>
      </c>
      <c r="C45" t="str">
        <f t="shared" si="0"/>
        <v>union all  select item=43, shipno='1RA014152'</v>
      </c>
    </row>
    <row r="46" spans="1:3" x14ac:dyDescent="0.25">
      <c r="A46" s="12">
        <v>44</v>
      </c>
      <c r="B46" s="24" t="s">
        <v>175</v>
      </c>
      <c r="C46" t="str">
        <f t="shared" si="0"/>
        <v>union all  select item=44, shipno='1RA019023'</v>
      </c>
    </row>
    <row r="47" spans="1:3" x14ac:dyDescent="0.25">
      <c r="A47" s="12">
        <v>45</v>
      </c>
      <c r="B47" s="24" t="s">
        <v>176</v>
      </c>
      <c r="C47" t="str">
        <f t="shared" si="0"/>
        <v>union all  select item=45, shipno='1RA017846'</v>
      </c>
    </row>
    <row r="48" spans="1:3" x14ac:dyDescent="0.25">
      <c r="A48" s="12">
        <v>46</v>
      </c>
      <c r="B48" s="24" t="s">
        <v>177</v>
      </c>
      <c r="C48" t="str">
        <f t="shared" si="0"/>
        <v>union all  select item=46, shipno='1RA011650'</v>
      </c>
    </row>
    <row r="49" spans="1:3" x14ac:dyDescent="0.25">
      <c r="A49" s="12">
        <v>47</v>
      </c>
      <c r="B49" s="24" t="s">
        <v>178</v>
      </c>
      <c r="C49" t="str">
        <f t="shared" si="0"/>
        <v>union all  select item=47, shipno='1RA010493'</v>
      </c>
    </row>
    <row r="50" spans="1:3" x14ac:dyDescent="0.25">
      <c r="A50" s="12">
        <v>48</v>
      </c>
      <c r="B50" s="24" t="s">
        <v>179</v>
      </c>
      <c r="C50" t="str">
        <f t="shared" si="0"/>
        <v>union all  select item=48, shipno='1RA010950'</v>
      </c>
    </row>
    <row r="51" spans="1:3" x14ac:dyDescent="0.25">
      <c r="A51" s="12">
        <v>49</v>
      </c>
      <c r="B51" s="24" t="s">
        <v>180</v>
      </c>
      <c r="C51" t="str">
        <f t="shared" si="0"/>
        <v>union all  select item=49, shipno='1RA017767'</v>
      </c>
    </row>
    <row r="52" spans="1:3" x14ac:dyDescent="0.25">
      <c r="A52" s="12">
        <v>50</v>
      </c>
      <c r="B52" s="24" t="s">
        <v>181</v>
      </c>
      <c r="C52" t="str">
        <f t="shared" si="0"/>
        <v>union all  select item=50, shipno='1RA018537'</v>
      </c>
    </row>
    <row r="53" spans="1:3" x14ac:dyDescent="0.25">
      <c r="A53" s="12">
        <v>51</v>
      </c>
      <c r="B53" s="24" t="s">
        <v>182</v>
      </c>
      <c r="C53" t="str">
        <f t="shared" si="0"/>
        <v>union all  select item=51, shipno='1RA013852'</v>
      </c>
    </row>
    <row r="54" spans="1:3" x14ac:dyDescent="0.25">
      <c r="A54" s="12">
        <v>52</v>
      </c>
      <c r="B54" s="24" t="s">
        <v>183</v>
      </c>
      <c r="C54" t="str">
        <f t="shared" si="0"/>
        <v>union all  select item=52, shipno='1RA010956'</v>
      </c>
    </row>
    <row r="55" spans="1:3" x14ac:dyDescent="0.25">
      <c r="A55" s="12">
        <v>53</v>
      </c>
      <c r="B55" s="24" t="s">
        <v>184</v>
      </c>
      <c r="C55" t="str">
        <f t="shared" si="0"/>
        <v>union all  select item=53, shipno='1RA010728'</v>
      </c>
    </row>
    <row r="56" spans="1:3" x14ac:dyDescent="0.25">
      <c r="A56" s="12">
        <v>54</v>
      </c>
      <c r="B56" s="24" t="s">
        <v>185</v>
      </c>
      <c r="C56" t="str">
        <f t="shared" si="0"/>
        <v>union all  select item=54, shipno='1RA010567'</v>
      </c>
    </row>
    <row r="57" spans="1:3" x14ac:dyDescent="0.25">
      <c r="A57" s="12">
        <v>55</v>
      </c>
      <c r="B57" s="24" t="s">
        <v>186</v>
      </c>
      <c r="C57" t="str">
        <f t="shared" si="0"/>
        <v>union all  select item=55, shipno='1RA019208'</v>
      </c>
    </row>
    <row r="58" spans="1:3" x14ac:dyDescent="0.25">
      <c r="A58" s="12">
        <v>56</v>
      </c>
      <c r="B58" s="24" t="s">
        <v>187</v>
      </c>
      <c r="C58" t="str">
        <f t="shared" si="0"/>
        <v>union all  select item=56, shipno='1RA014731'</v>
      </c>
    </row>
    <row r="59" spans="1:3" x14ac:dyDescent="0.25">
      <c r="A59" s="12">
        <v>57</v>
      </c>
      <c r="B59" s="24" t="s">
        <v>188</v>
      </c>
      <c r="C59" t="str">
        <f t="shared" si="0"/>
        <v>union all  select item=57, shipno='1RA010417'</v>
      </c>
    </row>
    <row r="60" spans="1:3" x14ac:dyDescent="0.25">
      <c r="A60" s="12">
        <v>58</v>
      </c>
      <c r="B60" s="24" t="s">
        <v>189</v>
      </c>
      <c r="C60" t="str">
        <f t="shared" ref="C60:C120" si="1">"union all  select item=" &amp; A60 &amp; ", shipno='" &amp; B60 &amp; "'"</f>
        <v>union all  select item=58, shipno='1RA019025'</v>
      </c>
    </row>
    <row r="61" spans="1:3" x14ac:dyDescent="0.25">
      <c r="A61" s="12">
        <v>59</v>
      </c>
      <c r="B61" s="24" t="s">
        <v>190</v>
      </c>
      <c r="C61" t="str">
        <f t="shared" si="1"/>
        <v>union all  select item=59, shipno='1RA015341'</v>
      </c>
    </row>
    <row r="62" spans="1:3" x14ac:dyDescent="0.25">
      <c r="A62" s="12">
        <v>60</v>
      </c>
      <c r="B62" s="24" t="s">
        <v>191</v>
      </c>
      <c r="C62" t="str">
        <f t="shared" si="1"/>
        <v>union all  select item=60, shipno='1RA010688'</v>
      </c>
    </row>
    <row r="63" spans="1:3" x14ac:dyDescent="0.25">
      <c r="A63" s="12">
        <v>62</v>
      </c>
      <c r="B63" s="24" t="s">
        <v>192</v>
      </c>
      <c r="C63" t="str">
        <f t="shared" si="1"/>
        <v>union all  select item=62, shipno='1RA010687'</v>
      </c>
    </row>
    <row r="64" spans="1:3" x14ac:dyDescent="0.25">
      <c r="A64" s="12">
        <v>64</v>
      </c>
      <c r="B64" s="24" t="s">
        <v>193</v>
      </c>
      <c r="C64" t="str">
        <f t="shared" si="1"/>
        <v>union all  select item=64, shipno='1RA010554'</v>
      </c>
    </row>
    <row r="65" spans="1:3" x14ac:dyDescent="0.25">
      <c r="A65" s="12">
        <v>65</v>
      </c>
      <c r="B65" s="24" t="s">
        <v>194</v>
      </c>
      <c r="C65" t="str">
        <f t="shared" si="1"/>
        <v>union all  select item=65, shipno='1RA010568'</v>
      </c>
    </row>
    <row r="66" spans="1:3" x14ac:dyDescent="0.25">
      <c r="A66" s="12">
        <v>66</v>
      </c>
      <c r="B66" s="24" t="s">
        <v>195</v>
      </c>
      <c r="C66" t="str">
        <f t="shared" si="1"/>
        <v>union all  select item=66, shipno='1RA012602'</v>
      </c>
    </row>
    <row r="67" spans="1:3" x14ac:dyDescent="0.25">
      <c r="A67" s="12">
        <v>67</v>
      </c>
      <c r="B67" s="24" t="s">
        <v>196</v>
      </c>
      <c r="C67" t="str">
        <f t="shared" si="1"/>
        <v>union all  select item=67, shipno='1RA014732'</v>
      </c>
    </row>
    <row r="68" spans="1:3" x14ac:dyDescent="0.25">
      <c r="A68" s="12">
        <v>68</v>
      </c>
      <c r="B68" s="24" t="s">
        <v>197</v>
      </c>
      <c r="C68" t="str">
        <f t="shared" si="1"/>
        <v>union all  select item=68, shipno='1RA014143'</v>
      </c>
    </row>
    <row r="69" spans="1:3" x14ac:dyDescent="0.25">
      <c r="A69" s="12">
        <v>69</v>
      </c>
      <c r="B69" s="24" t="s">
        <v>198</v>
      </c>
      <c r="C69" t="str">
        <f t="shared" si="1"/>
        <v>union all  select item=69, shipno='1RA010414'</v>
      </c>
    </row>
    <row r="70" spans="1:3" x14ac:dyDescent="0.25">
      <c r="A70" s="12">
        <v>70</v>
      </c>
      <c r="B70" s="24" t="s">
        <v>199</v>
      </c>
      <c r="C70" t="str">
        <f t="shared" si="1"/>
        <v>union all  select item=70, shipno='1RA015339'</v>
      </c>
    </row>
    <row r="71" spans="1:3" x14ac:dyDescent="0.25">
      <c r="A71" s="12">
        <v>71</v>
      </c>
      <c r="B71" s="24" t="s">
        <v>200</v>
      </c>
      <c r="C71" t="str">
        <f t="shared" si="1"/>
        <v>union all  select item=71, shipno='1RA010856'</v>
      </c>
    </row>
    <row r="72" spans="1:3" x14ac:dyDescent="0.25">
      <c r="A72" s="12">
        <v>72</v>
      </c>
      <c r="B72" s="24" t="s">
        <v>201</v>
      </c>
      <c r="C72" t="str">
        <f t="shared" si="1"/>
        <v>union all  select item=72, shipno='1RA010953'</v>
      </c>
    </row>
    <row r="73" spans="1:3" x14ac:dyDescent="0.25">
      <c r="A73" s="12">
        <v>73</v>
      </c>
      <c r="B73" s="24" t="s">
        <v>202</v>
      </c>
      <c r="C73" t="str">
        <f t="shared" si="1"/>
        <v>union all  select item=73, shipno='1RA018543'</v>
      </c>
    </row>
    <row r="74" spans="1:3" x14ac:dyDescent="0.25">
      <c r="A74" s="12">
        <v>74</v>
      </c>
      <c r="B74" s="24" t="s">
        <v>203</v>
      </c>
      <c r="C74" t="str">
        <f t="shared" si="1"/>
        <v>union all  select item=74, shipno='1RA018498'</v>
      </c>
    </row>
    <row r="75" spans="1:3" x14ac:dyDescent="0.25">
      <c r="A75" s="12">
        <v>75</v>
      </c>
      <c r="B75" s="24" t="s">
        <v>204</v>
      </c>
      <c r="C75" t="str">
        <f t="shared" si="1"/>
        <v>union all  select item=75, shipno='1RA019026'</v>
      </c>
    </row>
    <row r="76" spans="1:3" x14ac:dyDescent="0.25">
      <c r="A76" s="12">
        <v>76</v>
      </c>
      <c r="B76" s="24" t="s">
        <v>205</v>
      </c>
      <c r="C76" t="str">
        <f t="shared" si="1"/>
        <v>union all  select item=76, shipno='1RA011651'</v>
      </c>
    </row>
    <row r="77" spans="1:3" x14ac:dyDescent="0.25">
      <c r="A77" s="12">
        <v>77</v>
      </c>
      <c r="B77" s="24" t="s">
        <v>206</v>
      </c>
      <c r="C77" t="str">
        <f t="shared" si="1"/>
        <v>union all  select item=77, shipno='1RA010494'</v>
      </c>
    </row>
    <row r="78" spans="1:3" x14ac:dyDescent="0.25">
      <c r="A78" s="12">
        <v>78</v>
      </c>
      <c r="B78" s="24" t="s">
        <v>207</v>
      </c>
      <c r="C78" t="str">
        <f t="shared" si="1"/>
        <v>union all  select item=78, shipno='1RA017768'</v>
      </c>
    </row>
    <row r="79" spans="1:3" x14ac:dyDescent="0.25">
      <c r="A79" s="12">
        <v>79</v>
      </c>
      <c r="B79" s="24" t="s">
        <v>208</v>
      </c>
      <c r="C79" t="str">
        <f t="shared" si="1"/>
        <v>union all  select item=79, shipno='1RA010729'</v>
      </c>
    </row>
    <row r="80" spans="1:3" x14ac:dyDescent="0.25">
      <c r="A80" s="12">
        <v>80</v>
      </c>
      <c r="B80" s="24" t="s">
        <v>209</v>
      </c>
      <c r="C80" t="str">
        <f t="shared" si="1"/>
        <v>union all  select item=80, shipno='1RA010735'</v>
      </c>
    </row>
    <row r="81" spans="1:3" x14ac:dyDescent="0.25">
      <c r="A81" s="12">
        <v>81</v>
      </c>
      <c r="B81" s="24" t="s">
        <v>210</v>
      </c>
      <c r="C81" t="str">
        <f t="shared" si="1"/>
        <v>union all  select item=81, shipno='1RA018544'</v>
      </c>
    </row>
    <row r="82" spans="1:3" x14ac:dyDescent="0.25">
      <c r="A82" s="12">
        <v>82</v>
      </c>
      <c r="B82" s="24" t="s">
        <v>211</v>
      </c>
      <c r="C82" t="str">
        <f t="shared" si="1"/>
        <v>union all  select item=82, shipno='1RA018499'</v>
      </c>
    </row>
    <row r="83" spans="1:3" x14ac:dyDescent="0.25">
      <c r="A83" s="12">
        <v>83</v>
      </c>
      <c r="B83" s="24" t="s">
        <v>212</v>
      </c>
      <c r="C83" t="str">
        <f t="shared" si="1"/>
        <v>union all  select item=83, shipno='1RA019027'</v>
      </c>
    </row>
    <row r="84" spans="1:3" x14ac:dyDescent="0.25">
      <c r="A84" s="12">
        <v>84</v>
      </c>
      <c r="B84" s="24" t="s">
        <v>213</v>
      </c>
      <c r="C84" t="str">
        <f t="shared" si="1"/>
        <v>union all  select item=84, shipno='1RA019766'</v>
      </c>
    </row>
    <row r="85" spans="1:3" x14ac:dyDescent="0.25">
      <c r="A85" s="12">
        <v>85</v>
      </c>
      <c r="B85" s="24" t="s">
        <v>214</v>
      </c>
      <c r="C85" t="str">
        <f t="shared" si="1"/>
        <v>union all  select item=85, shipno='1RA011652'</v>
      </c>
    </row>
    <row r="86" spans="1:3" x14ac:dyDescent="0.25">
      <c r="A86" s="12">
        <v>86</v>
      </c>
      <c r="B86" s="24" t="s">
        <v>215</v>
      </c>
      <c r="C86" t="str">
        <f t="shared" si="1"/>
        <v>union all  select item=86, shipno='1RA010951'</v>
      </c>
    </row>
    <row r="87" spans="1:3" x14ac:dyDescent="0.25">
      <c r="A87" s="12">
        <v>87</v>
      </c>
      <c r="B87" s="24" t="s">
        <v>216</v>
      </c>
      <c r="C87" t="str">
        <f t="shared" si="1"/>
        <v>union all  select item=87, shipno='1RA010957'</v>
      </c>
    </row>
    <row r="88" spans="1:3" x14ac:dyDescent="0.25">
      <c r="A88" s="12">
        <v>88</v>
      </c>
      <c r="B88" s="24" t="s">
        <v>217</v>
      </c>
      <c r="C88" t="str">
        <f t="shared" si="1"/>
        <v>union all  select item=88, shipno='1RA017769'</v>
      </c>
    </row>
    <row r="89" spans="1:3" x14ac:dyDescent="0.25">
      <c r="A89" s="12">
        <v>89</v>
      </c>
      <c r="B89" s="24" t="s">
        <v>218</v>
      </c>
      <c r="C89" t="str">
        <f t="shared" si="1"/>
        <v>union all  select item=89, shipno='1RA010736'</v>
      </c>
    </row>
    <row r="90" spans="1:3" x14ac:dyDescent="0.25">
      <c r="A90" s="12">
        <v>90</v>
      </c>
      <c r="B90" s="24" t="s">
        <v>219</v>
      </c>
      <c r="C90" t="str">
        <f t="shared" si="1"/>
        <v>union all  select item=90, shipno='1RA010569'</v>
      </c>
    </row>
    <row r="91" spans="1:3" x14ac:dyDescent="0.25">
      <c r="A91" s="12">
        <v>91</v>
      </c>
      <c r="B91" s="24" t="s">
        <v>220</v>
      </c>
      <c r="C91" t="str">
        <f t="shared" si="1"/>
        <v>union all  select item=91, shipno='1RA018538'</v>
      </c>
    </row>
    <row r="92" spans="1:3" x14ac:dyDescent="0.25">
      <c r="A92" s="12">
        <v>92</v>
      </c>
      <c r="B92" s="24" t="s">
        <v>221</v>
      </c>
      <c r="C92" t="str">
        <f t="shared" si="1"/>
        <v>union all  select item=92, shipno='1RA012603'</v>
      </c>
    </row>
    <row r="93" spans="1:3" x14ac:dyDescent="0.25">
      <c r="A93" s="12">
        <v>93</v>
      </c>
      <c r="B93" s="24" t="s">
        <v>222</v>
      </c>
      <c r="C93" t="str">
        <f t="shared" si="1"/>
        <v>union all  select item=93, shipno='1RA014733'</v>
      </c>
    </row>
    <row r="94" spans="1:3" x14ac:dyDescent="0.25">
      <c r="A94" s="12">
        <v>94</v>
      </c>
      <c r="B94" s="24" t="s">
        <v>223</v>
      </c>
      <c r="C94" t="str">
        <f t="shared" si="1"/>
        <v>union all  select item=94, shipno='1RA010415'</v>
      </c>
    </row>
    <row r="95" spans="1:3" x14ac:dyDescent="0.25">
      <c r="A95" s="12">
        <v>95</v>
      </c>
      <c r="B95" s="24" t="s">
        <v>224</v>
      </c>
      <c r="C95" t="str">
        <f t="shared" si="1"/>
        <v>union all  select item=95, shipno='1RA011014'</v>
      </c>
    </row>
    <row r="96" spans="1:3" x14ac:dyDescent="0.25">
      <c r="A96" s="12">
        <v>96</v>
      </c>
      <c r="B96" s="24" t="s">
        <v>225</v>
      </c>
      <c r="C96" t="str">
        <f t="shared" si="1"/>
        <v>union all  select item=96, shipno='1RA019028'</v>
      </c>
    </row>
    <row r="97" spans="1:3" x14ac:dyDescent="0.25">
      <c r="A97" s="12">
        <v>97</v>
      </c>
      <c r="B97" s="24" t="s">
        <v>226</v>
      </c>
      <c r="C97" t="str">
        <f t="shared" si="1"/>
        <v>union all  select item=97, shipno='1RA017845'</v>
      </c>
    </row>
    <row r="98" spans="1:3" x14ac:dyDescent="0.25">
      <c r="A98" s="12">
        <v>98</v>
      </c>
      <c r="B98" s="24" t="s">
        <v>227</v>
      </c>
      <c r="C98" t="str">
        <f t="shared" si="1"/>
        <v>union all  select item=98, shipno='1RA010854'</v>
      </c>
    </row>
    <row r="99" spans="1:3" x14ac:dyDescent="0.25">
      <c r="A99" s="12">
        <v>99</v>
      </c>
      <c r="B99" s="24" t="s">
        <v>228</v>
      </c>
      <c r="C99" t="str">
        <f t="shared" si="1"/>
        <v>union all  select item=99, shipno='1RA010954'</v>
      </c>
    </row>
    <row r="100" spans="1:3" x14ac:dyDescent="0.25">
      <c r="A100" s="12">
        <v>100</v>
      </c>
      <c r="B100" s="24" t="s">
        <v>229</v>
      </c>
      <c r="C100" t="str">
        <f t="shared" si="1"/>
        <v>union all  select item=100, shipno='1RA010552'</v>
      </c>
    </row>
    <row r="101" spans="1:3" x14ac:dyDescent="0.25">
      <c r="A101" s="12">
        <v>101</v>
      </c>
      <c r="B101" s="24" t="s">
        <v>230</v>
      </c>
      <c r="C101" t="str">
        <f t="shared" si="1"/>
        <v>union all  select item=101, shipno='1RA010570'</v>
      </c>
    </row>
    <row r="102" spans="1:3" x14ac:dyDescent="0.25">
      <c r="A102" s="12">
        <v>102</v>
      </c>
      <c r="B102" s="24" t="s">
        <v>231</v>
      </c>
      <c r="C102" t="str">
        <f t="shared" si="1"/>
        <v>union all  select item=102, shipno='1RA013853'</v>
      </c>
    </row>
    <row r="103" spans="1:3" x14ac:dyDescent="0.25">
      <c r="A103" s="12">
        <v>103</v>
      </c>
      <c r="B103" s="24" t="s">
        <v>232</v>
      </c>
      <c r="C103" t="str">
        <f t="shared" si="1"/>
        <v>union all  select item=103, shipno='1RA014734'</v>
      </c>
    </row>
    <row r="104" spans="1:3" x14ac:dyDescent="0.25">
      <c r="A104" s="12">
        <v>104</v>
      </c>
      <c r="B104" s="24" t="s">
        <v>233</v>
      </c>
      <c r="C104" t="str">
        <f t="shared" si="1"/>
        <v>union all  select item=104, shipno='1RA019733'</v>
      </c>
    </row>
    <row r="105" spans="1:3" x14ac:dyDescent="0.25">
      <c r="A105" s="12">
        <v>105</v>
      </c>
      <c r="B105" s="24" t="s">
        <v>234</v>
      </c>
      <c r="C105" t="str">
        <f t="shared" si="1"/>
        <v>union all  select item=105, shipno='1RA015340'</v>
      </c>
    </row>
    <row r="106" spans="1:3" x14ac:dyDescent="0.25">
      <c r="A106" s="12">
        <v>106</v>
      </c>
      <c r="B106" s="24" t="s">
        <v>235</v>
      </c>
      <c r="C106" t="str">
        <f t="shared" si="1"/>
        <v>union all  select item=106, shipno='1RA010855'</v>
      </c>
    </row>
    <row r="107" spans="1:3" x14ac:dyDescent="0.25">
      <c r="A107" s="12">
        <v>107</v>
      </c>
      <c r="B107" s="24" t="s">
        <v>236</v>
      </c>
      <c r="C107" t="str">
        <f t="shared" si="1"/>
        <v>union all  select item=107, shipno='1RA011814'</v>
      </c>
    </row>
    <row r="108" spans="1:3" x14ac:dyDescent="0.25">
      <c r="A108" s="12">
        <v>108</v>
      </c>
      <c r="B108" s="24" t="s">
        <v>237</v>
      </c>
      <c r="C108" t="str">
        <f t="shared" si="1"/>
        <v>union all  select item=108, shipno='1RA010730'</v>
      </c>
    </row>
    <row r="109" spans="1:3" x14ac:dyDescent="0.25">
      <c r="A109" s="12">
        <v>109</v>
      </c>
      <c r="B109" s="24" t="s">
        <v>238</v>
      </c>
      <c r="C109" t="str">
        <f t="shared" si="1"/>
        <v>union all  select item=109, shipno='1RA010553'</v>
      </c>
    </row>
    <row r="110" spans="1:3" x14ac:dyDescent="0.25">
      <c r="A110" s="12">
        <v>111</v>
      </c>
      <c r="B110" s="24" t="s">
        <v>239</v>
      </c>
      <c r="C110" t="str">
        <f t="shared" si="1"/>
        <v>union all  select item=111, shipno='1RA019172'</v>
      </c>
    </row>
    <row r="111" spans="1:3" x14ac:dyDescent="0.25">
      <c r="A111" s="12">
        <v>112</v>
      </c>
      <c r="B111" s="24" t="s">
        <v>240</v>
      </c>
      <c r="C111" t="str">
        <f t="shared" si="1"/>
        <v>union all  select item=112, shipno='1RA012763'</v>
      </c>
    </row>
    <row r="112" spans="1:3" x14ac:dyDescent="0.25">
      <c r="A112" s="12">
        <v>113</v>
      </c>
      <c r="B112" s="24" t="s">
        <v>241</v>
      </c>
      <c r="C112" t="str">
        <f t="shared" si="1"/>
        <v>union all  select item=113, shipno='1RA010549'</v>
      </c>
    </row>
    <row r="113" spans="1:3" x14ac:dyDescent="0.25">
      <c r="A113" s="12">
        <v>114</v>
      </c>
      <c r="B113" s="24" t="s">
        <v>242</v>
      </c>
      <c r="C113" t="str">
        <f t="shared" si="1"/>
        <v>union all  select item=114, shipno='1RA013896'</v>
      </c>
    </row>
    <row r="114" spans="1:3" x14ac:dyDescent="0.25">
      <c r="A114" s="12">
        <v>115</v>
      </c>
      <c r="B114" s="24" t="s">
        <v>243</v>
      </c>
      <c r="C114" t="str">
        <f t="shared" si="1"/>
        <v>union all  select item=115, shipno='1RA018533'</v>
      </c>
    </row>
    <row r="115" spans="1:3" x14ac:dyDescent="0.25">
      <c r="A115" s="12">
        <v>116</v>
      </c>
      <c r="B115" s="24" t="s">
        <v>244</v>
      </c>
      <c r="C115" t="str">
        <f t="shared" si="1"/>
        <v>union all  select item=116, shipno='1RA018492'</v>
      </c>
    </row>
    <row r="116" spans="1:3" x14ac:dyDescent="0.25">
      <c r="A116" s="12">
        <v>117</v>
      </c>
      <c r="B116" s="24" t="s">
        <v>245</v>
      </c>
      <c r="C116" t="str">
        <f t="shared" si="1"/>
        <v>union all  select item=117, shipno='1RA013849'</v>
      </c>
    </row>
    <row r="117" spans="1:3" x14ac:dyDescent="0.25">
      <c r="A117" s="12">
        <v>118</v>
      </c>
      <c r="B117" s="24" t="s">
        <v>246</v>
      </c>
      <c r="C117" t="str">
        <f t="shared" si="1"/>
        <v>union all  select item=118, shipno='1RA012764'</v>
      </c>
    </row>
    <row r="118" spans="1:3" x14ac:dyDescent="0.25">
      <c r="A118" s="12">
        <v>119</v>
      </c>
      <c r="B118" s="24" t="s">
        <v>247</v>
      </c>
      <c r="C118" t="str">
        <f t="shared" si="1"/>
        <v>union all  select item=119, shipno='1RA018534'</v>
      </c>
    </row>
    <row r="119" spans="1:3" x14ac:dyDescent="0.25">
      <c r="A119" s="12">
        <v>120</v>
      </c>
      <c r="B119" s="24" t="s">
        <v>248</v>
      </c>
      <c r="C119" t="str">
        <f t="shared" si="1"/>
        <v>union all  select item=120, shipno='1RA012598'</v>
      </c>
    </row>
    <row r="120" spans="1:3" x14ac:dyDescent="0.25">
      <c r="A120" s="12">
        <v>121</v>
      </c>
      <c r="B120" s="24" t="s">
        <v>249</v>
      </c>
      <c r="C120" t="str">
        <f t="shared" si="1"/>
        <v>union all  select item=121, shipno='1RA019203'</v>
      </c>
    </row>
    <row r="121" spans="1:3" x14ac:dyDescent="0.25">
      <c r="A121" s="12">
        <v>122</v>
      </c>
      <c r="B121" s="24" t="s">
        <v>250</v>
      </c>
      <c r="C121" t="str">
        <f t="shared" ref="C121:C179" si="2">"union all  select item=" &amp; A121 &amp; ", shipno='" &amp; B121 &amp; "'"</f>
        <v>union all  select item=122, shipno='1RA018493'</v>
      </c>
    </row>
    <row r="122" spans="1:3" x14ac:dyDescent="0.25">
      <c r="A122" s="12">
        <v>123</v>
      </c>
      <c r="B122" s="24" t="s">
        <v>251</v>
      </c>
      <c r="C122" t="str">
        <f t="shared" si="2"/>
        <v>union all  select item=123, shipno='1RA013850'</v>
      </c>
    </row>
    <row r="123" spans="1:3" x14ac:dyDescent="0.25">
      <c r="A123" s="12">
        <v>124</v>
      </c>
      <c r="B123" s="24" t="s">
        <v>252</v>
      </c>
      <c r="C123" t="str">
        <f t="shared" si="2"/>
        <v>union all  select item=124, shipno='1RA012765'</v>
      </c>
    </row>
    <row r="124" spans="1:3" x14ac:dyDescent="0.25">
      <c r="A124" s="12">
        <v>125</v>
      </c>
      <c r="B124" s="24" t="s">
        <v>253</v>
      </c>
      <c r="C124" t="str">
        <f t="shared" si="2"/>
        <v>union all  select item=125, shipno='1RA018494'</v>
      </c>
    </row>
    <row r="125" spans="1:3" x14ac:dyDescent="0.25">
      <c r="A125" s="12">
        <v>126</v>
      </c>
      <c r="B125" s="24" t="s">
        <v>254</v>
      </c>
      <c r="C125" t="str">
        <f t="shared" si="2"/>
        <v>union all  select item=126, shipno='1RA012766'</v>
      </c>
    </row>
    <row r="126" spans="1:3" x14ac:dyDescent="0.25">
      <c r="A126" s="12">
        <v>127</v>
      </c>
      <c r="B126" s="24" t="s">
        <v>255</v>
      </c>
      <c r="C126" t="str">
        <f t="shared" si="2"/>
        <v>union all  select item=127, shipno='1RA013897'</v>
      </c>
    </row>
    <row r="127" spans="1:3" x14ac:dyDescent="0.25">
      <c r="A127" s="12">
        <v>129</v>
      </c>
      <c r="B127" s="24" t="s">
        <v>256</v>
      </c>
      <c r="C127" t="str">
        <f t="shared" si="2"/>
        <v>union all  select item=129, shipno='1RA071243'</v>
      </c>
    </row>
    <row r="128" spans="1:3" x14ac:dyDescent="0.25">
      <c r="A128" s="12">
        <v>131</v>
      </c>
      <c r="B128" s="24" t="s">
        <v>257</v>
      </c>
      <c r="C128" t="str">
        <f t="shared" si="2"/>
        <v>union all  select item=131, shipno='1RA010550'</v>
      </c>
    </row>
    <row r="129" spans="1:3" x14ac:dyDescent="0.25">
      <c r="A129" s="12">
        <v>132</v>
      </c>
      <c r="B129" s="24" t="s">
        <v>258</v>
      </c>
      <c r="C129" t="str">
        <f t="shared" si="2"/>
        <v>union all  select item=132, shipno='1RA014140'</v>
      </c>
    </row>
    <row r="130" spans="1:3" x14ac:dyDescent="0.25">
      <c r="A130" s="12">
        <v>133</v>
      </c>
      <c r="B130" s="24" t="s">
        <v>259</v>
      </c>
      <c r="C130" t="str">
        <f t="shared" si="2"/>
        <v>union all  select item=133, shipno='1RA018535'</v>
      </c>
    </row>
    <row r="131" spans="1:3" x14ac:dyDescent="0.25">
      <c r="A131" s="12">
        <v>135</v>
      </c>
      <c r="B131" s="24" t="s">
        <v>260</v>
      </c>
      <c r="C131" t="str">
        <f t="shared" si="2"/>
        <v>union all  select item=135, shipno='1RA103655'</v>
      </c>
    </row>
    <row r="132" spans="1:3" x14ac:dyDescent="0.25">
      <c r="A132" s="12">
        <v>136</v>
      </c>
      <c r="B132" s="24" t="s">
        <v>261</v>
      </c>
      <c r="C132" t="str">
        <f t="shared" si="2"/>
        <v>union all  select item=136, shipno='1RA065334'</v>
      </c>
    </row>
    <row r="133" spans="1:3" x14ac:dyDescent="0.25">
      <c r="A133" s="12">
        <v>137</v>
      </c>
      <c r="B133" s="24" t="s">
        <v>262</v>
      </c>
      <c r="C133" t="str">
        <f t="shared" si="2"/>
        <v>union all  select item=137, shipno='1RA010420'</v>
      </c>
    </row>
    <row r="134" spans="1:3" x14ac:dyDescent="0.25">
      <c r="A134" s="12">
        <v>138</v>
      </c>
      <c r="B134" s="24" t="s">
        <v>263</v>
      </c>
      <c r="C134" t="str">
        <f t="shared" si="2"/>
        <v>union all  select item=138, shipno='1RA065305'</v>
      </c>
    </row>
    <row r="135" spans="1:3" x14ac:dyDescent="0.25">
      <c r="A135" s="12">
        <v>140</v>
      </c>
      <c r="B135" s="24" t="s">
        <v>264</v>
      </c>
      <c r="C135" t="str">
        <f t="shared" si="2"/>
        <v>union all  select item=140, shipno='1RA019173'</v>
      </c>
    </row>
    <row r="136" spans="1:3" x14ac:dyDescent="0.25">
      <c r="A136" s="12">
        <v>142</v>
      </c>
      <c r="B136" s="24" t="s">
        <v>265</v>
      </c>
      <c r="C136" t="str">
        <f t="shared" si="2"/>
        <v>union all  select item=142, shipno='1RA019174'</v>
      </c>
    </row>
    <row r="137" spans="1:3" x14ac:dyDescent="0.25">
      <c r="A137" s="12">
        <v>143</v>
      </c>
      <c r="B137" s="24" t="s">
        <v>266</v>
      </c>
      <c r="C137" t="str">
        <f t="shared" si="2"/>
        <v>union all  select item=143, shipno='1RA014141'</v>
      </c>
    </row>
    <row r="138" spans="1:3" x14ac:dyDescent="0.25">
      <c r="A138" s="12">
        <v>144</v>
      </c>
      <c r="B138" s="24" t="s">
        <v>267</v>
      </c>
      <c r="C138" t="str">
        <f t="shared" si="2"/>
        <v>union all  select item=144, shipno='1RA010421'</v>
      </c>
    </row>
    <row r="139" spans="1:3" x14ac:dyDescent="0.25">
      <c r="A139" s="12">
        <v>145</v>
      </c>
      <c r="B139" s="24" t="s">
        <v>268</v>
      </c>
      <c r="C139" t="str">
        <f t="shared" si="2"/>
        <v>union all  select item=145, shipno=''</v>
      </c>
    </row>
    <row r="140" spans="1:3" x14ac:dyDescent="0.25">
      <c r="A140" s="12">
        <v>146</v>
      </c>
      <c r="C140" t="str">
        <f t="shared" si="2"/>
        <v>union all  select item=146, shipno=''</v>
      </c>
    </row>
    <row r="141" spans="1:3" x14ac:dyDescent="0.25">
      <c r="A141" s="12">
        <v>147</v>
      </c>
      <c r="C141" t="str">
        <f t="shared" si="2"/>
        <v>union all  select item=147, shipno=''</v>
      </c>
    </row>
    <row r="142" spans="1:3" x14ac:dyDescent="0.25">
      <c r="A142" s="12">
        <v>148</v>
      </c>
      <c r="C142" t="str">
        <f t="shared" si="2"/>
        <v>union all  select item=148, shipno=''</v>
      </c>
    </row>
    <row r="143" spans="1:3" x14ac:dyDescent="0.25">
      <c r="A143" s="12">
        <v>149</v>
      </c>
      <c r="C143" t="str">
        <f t="shared" si="2"/>
        <v>union all  select item=149, shipno=''</v>
      </c>
    </row>
    <row r="144" spans="1:3" x14ac:dyDescent="0.25">
      <c r="A144" s="12">
        <v>150</v>
      </c>
      <c r="C144" t="str">
        <f t="shared" si="2"/>
        <v>union all  select item=150, shipno=''</v>
      </c>
    </row>
    <row r="145" spans="1:3" x14ac:dyDescent="0.25">
      <c r="A145" s="12">
        <v>151</v>
      </c>
      <c r="C145" t="str">
        <f t="shared" si="2"/>
        <v>union all  select item=151, shipno=''</v>
      </c>
    </row>
    <row r="146" spans="1:3" x14ac:dyDescent="0.25">
      <c r="A146" s="12">
        <v>152</v>
      </c>
      <c r="C146" t="str">
        <f t="shared" si="2"/>
        <v>union all  select item=152, shipno=''</v>
      </c>
    </row>
    <row r="147" spans="1:3" x14ac:dyDescent="0.25">
      <c r="A147" s="12">
        <v>153</v>
      </c>
      <c r="C147" t="str">
        <f t="shared" si="2"/>
        <v>union all  select item=153, shipno=''</v>
      </c>
    </row>
    <row r="148" spans="1:3" x14ac:dyDescent="0.25">
      <c r="A148" s="12">
        <v>154</v>
      </c>
      <c r="C148" t="str">
        <f t="shared" si="2"/>
        <v>union all  select item=154, shipno=''</v>
      </c>
    </row>
    <row r="149" spans="1:3" x14ac:dyDescent="0.25">
      <c r="A149" s="12">
        <v>155</v>
      </c>
      <c r="C149" t="str">
        <f t="shared" si="2"/>
        <v>union all  select item=155, shipno=''</v>
      </c>
    </row>
    <row r="150" spans="1:3" x14ac:dyDescent="0.25">
      <c r="A150" s="12">
        <v>156</v>
      </c>
      <c r="C150" t="str">
        <f t="shared" si="2"/>
        <v>union all  select item=156, shipno=''</v>
      </c>
    </row>
    <row r="151" spans="1:3" x14ac:dyDescent="0.25">
      <c r="A151" s="12">
        <v>157</v>
      </c>
      <c r="C151" t="str">
        <f t="shared" si="2"/>
        <v>union all  select item=157, shipno=''</v>
      </c>
    </row>
    <row r="152" spans="1:3" x14ac:dyDescent="0.25">
      <c r="A152" s="12">
        <v>158</v>
      </c>
      <c r="C152" t="str">
        <f t="shared" si="2"/>
        <v>union all  select item=158, shipno=''</v>
      </c>
    </row>
    <row r="153" spans="1:3" x14ac:dyDescent="0.25">
      <c r="A153" s="12">
        <v>159</v>
      </c>
      <c r="C153" t="str">
        <f t="shared" si="2"/>
        <v>union all  select item=159, shipno=''</v>
      </c>
    </row>
    <row r="154" spans="1:3" x14ac:dyDescent="0.25">
      <c r="A154" s="12">
        <v>160</v>
      </c>
      <c r="C154" t="str">
        <f t="shared" si="2"/>
        <v>union all  select item=160, shipno=''</v>
      </c>
    </row>
    <row r="155" spans="1:3" x14ac:dyDescent="0.25">
      <c r="A155" s="12">
        <v>161</v>
      </c>
      <c r="C155" t="str">
        <f t="shared" si="2"/>
        <v>union all  select item=161, shipno=''</v>
      </c>
    </row>
    <row r="156" spans="1:3" x14ac:dyDescent="0.25">
      <c r="A156" s="12">
        <v>162</v>
      </c>
      <c r="C156" t="str">
        <f t="shared" si="2"/>
        <v>union all  select item=162, shipno=''</v>
      </c>
    </row>
    <row r="157" spans="1:3" x14ac:dyDescent="0.25">
      <c r="A157" s="12">
        <v>163</v>
      </c>
      <c r="C157" t="str">
        <f t="shared" si="2"/>
        <v>union all  select item=163, shipno=''</v>
      </c>
    </row>
    <row r="158" spans="1:3" x14ac:dyDescent="0.25">
      <c r="A158" s="12">
        <v>164</v>
      </c>
      <c r="C158" t="str">
        <f t="shared" si="2"/>
        <v>union all  select item=164, shipno=''</v>
      </c>
    </row>
    <row r="159" spans="1:3" x14ac:dyDescent="0.25">
      <c r="A159" s="12">
        <v>165</v>
      </c>
      <c r="C159" t="str">
        <f t="shared" si="2"/>
        <v>union all  select item=165, shipno=''</v>
      </c>
    </row>
    <row r="160" spans="1:3" x14ac:dyDescent="0.25">
      <c r="A160" s="12">
        <v>166</v>
      </c>
      <c r="C160" t="str">
        <f t="shared" si="2"/>
        <v>union all  select item=166, shipno=''</v>
      </c>
    </row>
    <row r="161" spans="1:3" x14ac:dyDescent="0.25">
      <c r="A161" s="12">
        <v>167</v>
      </c>
      <c r="C161" t="str">
        <f t="shared" si="2"/>
        <v>union all  select item=167, shipno=''</v>
      </c>
    </row>
    <row r="162" spans="1:3" x14ac:dyDescent="0.25">
      <c r="A162" s="12">
        <v>168</v>
      </c>
      <c r="C162" t="str">
        <f t="shared" si="2"/>
        <v>union all  select item=168, shipno=''</v>
      </c>
    </row>
    <row r="163" spans="1:3" x14ac:dyDescent="0.25">
      <c r="A163" s="12">
        <v>169</v>
      </c>
      <c r="C163" t="str">
        <f t="shared" si="2"/>
        <v>union all  select item=169, shipno=''</v>
      </c>
    </row>
    <row r="164" spans="1:3" x14ac:dyDescent="0.25">
      <c r="A164" s="12">
        <v>170</v>
      </c>
      <c r="C164" t="str">
        <f t="shared" si="2"/>
        <v>union all  select item=170, shipno=''</v>
      </c>
    </row>
    <row r="165" spans="1:3" x14ac:dyDescent="0.25">
      <c r="A165" s="12">
        <v>171</v>
      </c>
      <c r="C165" t="str">
        <f t="shared" si="2"/>
        <v>union all  select item=171, shipno=''</v>
      </c>
    </row>
    <row r="166" spans="1:3" x14ac:dyDescent="0.25">
      <c r="A166" s="12">
        <v>172</v>
      </c>
      <c r="C166" t="str">
        <f t="shared" si="2"/>
        <v>union all  select item=172, shipno=''</v>
      </c>
    </row>
    <row r="167" spans="1:3" x14ac:dyDescent="0.25">
      <c r="A167" s="12">
        <v>173</v>
      </c>
      <c r="C167" t="str">
        <f t="shared" si="2"/>
        <v>union all  select item=173, shipno=''</v>
      </c>
    </row>
    <row r="168" spans="1:3" x14ac:dyDescent="0.25">
      <c r="A168" s="12">
        <v>174</v>
      </c>
      <c r="C168" t="str">
        <f t="shared" si="2"/>
        <v>union all  select item=174, shipno=''</v>
      </c>
    </row>
    <row r="169" spans="1:3" x14ac:dyDescent="0.25">
      <c r="A169" s="12">
        <v>175</v>
      </c>
      <c r="C169" t="str">
        <f t="shared" si="2"/>
        <v>union all  select item=175, shipno=''</v>
      </c>
    </row>
    <row r="170" spans="1:3" x14ac:dyDescent="0.25">
      <c r="A170" s="12">
        <v>176</v>
      </c>
      <c r="C170" t="str">
        <f t="shared" si="2"/>
        <v>union all  select item=176, shipno=''</v>
      </c>
    </row>
    <row r="171" spans="1:3" x14ac:dyDescent="0.25">
      <c r="A171" s="12">
        <v>177</v>
      </c>
      <c r="C171" t="str">
        <f t="shared" si="2"/>
        <v>union all  select item=177, shipno=''</v>
      </c>
    </row>
    <row r="172" spans="1:3" x14ac:dyDescent="0.25">
      <c r="A172" s="12">
        <v>178</v>
      </c>
      <c r="C172" t="str">
        <f t="shared" si="2"/>
        <v>union all  select item=178, shipno=''</v>
      </c>
    </row>
    <row r="173" spans="1:3" x14ac:dyDescent="0.25">
      <c r="A173" s="12">
        <v>179</v>
      </c>
      <c r="C173" t="str">
        <f t="shared" si="2"/>
        <v>union all  select item=179, shipno=''</v>
      </c>
    </row>
    <row r="174" spans="1:3" x14ac:dyDescent="0.25">
      <c r="A174" s="12">
        <v>180</v>
      </c>
      <c r="C174" t="str">
        <f t="shared" si="2"/>
        <v>union all  select item=180, shipno=''</v>
      </c>
    </row>
    <row r="175" spans="1:3" x14ac:dyDescent="0.25">
      <c r="A175" s="12">
        <v>181</v>
      </c>
      <c r="C175" t="str">
        <f t="shared" si="2"/>
        <v>union all  select item=181, shipno=''</v>
      </c>
    </row>
    <row r="176" spans="1:3" x14ac:dyDescent="0.25">
      <c r="A176" s="12">
        <v>182</v>
      </c>
      <c r="C176" t="str">
        <f t="shared" si="2"/>
        <v>union all  select item=182, shipno=''</v>
      </c>
    </row>
    <row r="177" spans="1:3" x14ac:dyDescent="0.25">
      <c r="A177" s="12">
        <v>183</v>
      </c>
      <c r="C177" t="str">
        <f t="shared" si="2"/>
        <v>union all  select item=183, shipno=''</v>
      </c>
    </row>
    <row r="178" spans="1:3" x14ac:dyDescent="0.25">
      <c r="A178" s="12">
        <v>184</v>
      </c>
      <c r="C178" t="str">
        <f t="shared" si="2"/>
        <v>union all  select item=184, shipno=''</v>
      </c>
    </row>
    <row r="179" spans="1:3" x14ac:dyDescent="0.25">
      <c r="A179" s="12">
        <v>185</v>
      </c>
      <c r="C179" t="str">
        <f t="shared" si="2"/>
        <v>union all  select item=185, shipno=''</v>
      </c>
    </row>
    <row r="180" spans="1:3" x14ac:dyDescent="0.25">
      <c r="A180" s="12">
        <v>186</v>
      </c>
      <c r="C180" t="str">
        <f t="shared" ref="C180:C243" si="3">"union all  select item=" &amp; A180 &amp; ", shipno='" &amp; B180 &amp; "'"</f>
        <v>union all  select item=186, shipno=''</v>
      </c>
    </row>
    <row r="181" spans="1:3" x14ac:dyDescent="0.25">
      <c r="A181" s="12">
        <v>187</v>
      </c>
      <c r="C181" t="str">
        <f t="shared" si="3"/>
        <v>union all  select item=187, shipno=''</v>
      </c>
    </row>
    <row r="182" spans="1:3" x14ac:dyDescent="0.25">
      <c r="A182" s="12">
        <v>188</v>
      </c>
      <c r="C182" t="str">
        <f t="shared" si="3"/>
        <v>union all  select item=188, shipno=''</v>
      </c>
    </row>
    <row r="183" spans="1:3" x14ac:dyDescent="0.25">
      <c r="A183" s="12">
        <v>189</v>
      </c>
      <c r="C183" t="str">
        <f t="shared" si="3"/>
        <v>union all  select item=189, shipno=''</v>
      </c>
    </row>
    <row r="184" spans="1:3" x14ac:dyDescent="0.25">
      <c r="A184" s="12">
        <v>190</v>
      </c>
      <c r="C184" t="str">
        <f t="shared" si="3"/>
        <v>union all  select item=190, shipno=''</v>
      </c>
    </row>
    <row r="185" spans="1:3" x14ac:dyDescent="0.25">
      <c r="A185" s="12">
        <v>191</v>
      </c>
      <c r="C185" t="str">
        <f t="shared" si="3"/>
        <v>union all  select item=191, shipno=''</v>
      </c>
    </row>
    <row r="186" spans="1:3" x14ac:dyDescent="0.25">
      <c r="A186" s="12">
        <v>192</v>
      </c>
      <c r="C186" t="str">
        <f t="shared" si="3"/>
        <v>union all  select item=192, shipno=''</v>
      </c>
    </row>
    <row r="187" spans="1:3" x14ac:dyDescent="0.25">
      <c r="A187" s="12">
        <v>193</v>
      </c>
      <c r="C187" t="str">
        <f t="shared" si="3"/>
        <v>union all  select item=193, shipno=''</v>
      </c>
    </row>
    <row r="188" spans="1:3" x14ac:dyDescent="0.25">
      <c r="A188" s="12">
        <v>194</v>
      </c>
      <c r="C188" t="str">
        <f t="shared" si="3"/>
        <v>union all  select item=194, shipno=''</v>
      </c>
    </row>
    <row r="189" spans="1:3" x14ac:dyDescent="0.25">
      <c r="A189" s="12">
        <v>195</v>
      </c>
      <c r="C189" t="str">
        <f t="shared" si="3"/>
        <v>union all  select item=195, shipno=''</v>
      </c>
    </row>
    <row r="190" spans="1:3" x14ac:dyDescent="0.25">
      <c r="A190" s="12">
        <v>196</v>
      </c>
      <c r="C190" t="str">
        <f t="shared" si="3"/>
        <v>union all  select item=196, shipno=''</v>
      </c>
    </row>
    <row r="191" spans="1:3" x14ac:dyDescent="0.25">
      <c r="A191" s="12">
        <v>197</v>
      </c>
      <c r="C191" t="str">
        <f t="shared" si="3"/>
        <v>union all  select item=197, shipno=''</v>
      </c>
    </row>
    <row r="192" spans="1:3" x14ac:dyDescent="0.25">
      <c r="A192" s="12">
        <v>198</v>
      </c>
      <c r="C192" t="str">
        <f t="shared" si="3"/>
        <v>union all  select item=198, shipno=''</v>
      </c>
    </row>
    <row r="193" spans="1:3" x14ac:dyDescent="0.25">
      <c r="A193" s="12">
        <v>199</v>
      </c>
      <c r="C193" t="str">
        <f t="shared" si="3"/>
        <v>union all  select item=199, shipno=''</v>
      </c>
    </row>
    <row r="194" spans="1:3" x14ac:dyDescent="0.25">
      <c r="A194" s="12">
        <v>200</v>
      </c>
      <c r="C194" t="str">
        <f t="shared" si="3"/>
        <v>union all  select item=200, shipno=''</v>
      </c>
    </row>
    <row r="195" spans="1:3" x14ac:dyDescent="0.25">
      <c r="A195" s="12">
        <v>201</v>
      </c>
      <c r="C195" t="str">
        <f t="shared" si="3"/>
        <v>union all  select item=201, shipno=''</v>
      </c>
    </row>
    <row r="196" spans="1:3" x14ac:dyDescent="0.25">
      <c r="A196" s="12">
        <v>202</v>
      </c>
      <c r="C196" t="str">
        <f t="shared" si="3"/>
        <v>union all  select item=202, shipno=''</v>
      </c>
    </row>
    <row r="197" spans="1:3" x14ac:dyDescent="0.25">
      <c r="A197" s="12">
        <v>203</v>
      </c>
      <c r="C197" t="str">
        <f t="shared" si="3"/>
        <v>union all  select item=203, shipno=''</v>
      </c>
    </row>
    <row r="198" spans="1:3" x14ac:dyDescent="0.25">
      <c r="A198" s="12">
        <v>204</v>
      </c>
      <c r="C198" t="str">
        <f t="shared" si="3"/>
        <v>union all  select item=204, shipno=''</v>
      </c>
    </row>
    <row r="199" spans="1:3" x14ac:dyDescent="0.25">
      <c r="A199" s="12">
        <v>205</v>
      </c>
      <c r="C199" t="str">
        <f t="shared" si="3"/>
        <v>union all  select item=205, shipno=''</v>
      </c>
    </row>
    <row r="200" spans="1:3" x14ac:dyDescent="0.25">
      <c r="A200" s="12">
        <v>206</v>
      </c>
      <c r="C200" t="str">
        <f t="shared" si="3"/>
        <v>union all  select item=206, shipno=''</v>
      </c>
    </row>
    <row r="201" spans="1:3" x14ac:dyDescent="0.25">
      <c r="A201" s="12">
        <v>207</v>
      </c>
      <c r="C201" t="str">
        <f t="shared" si="3"/>
        <v>union all  select item=207, shipno=''</v>
      </c>
    </row>
    <row r="202" spans="1:3" x14ac:dyDescent="0.25">
      <c r="A202" s="12">
        <v>208</v>
      </c>
      <c r="C202" t="str">
        <f t="shared" si="3"/>
        <v>union all  select item=208, shipno=''</v>
      </c>
    </row>
    <row r="203" spans="1:3" x14ac:dyDescent="0.25">
      <c r="A203" s="12">
        <v>209</v>
      </c>
      <c r="C203" t="str">
        <f t="shared" si="3"/>
        <v>union all  select item=209, shipno=''</v>
      </c>
    </row>
    <row r="204" spans="1:3" x14ac:dyDescent="0.25">
      <c r="A204" s="12">
        <v>210</v>
      </c>
      <c r="C204" t="str">
        <f t="shared" si="3"/>
        <v>union all  select item=210, shipno=''</v>
      </c>
    </row>
    <row r="205" spans="1:3" x14ac:dyDescent="0.25">
      <c r="A205" s="12">
        <v>211</v>
      </c>
      <c r="C205" t="str">
        <f t="shared" si="3"/>
        <v>union all  select item=211, shipno=''</v>
      </c>
    </row>
    <row r="206" spans="1:3" x14ac:dyDescent="0.25">
      <c r="A206" s="12">
        <v>212</v>
      </c>
      <c r="C206" t="str">
        <f t="shared" si="3"/>
        <v>union all  select item=212, shipno=''</v>
      </c>
    </row>
    <row r="207" spans="1:3" x14ac:dyDescent="0.25">
      <c r="A207" s="12">
        <v>213</v>
      </c>
      <c r="C207" t="str">
        <f t="shared" si="3"/>
        <v>union all  select item=213, shipno=''</v>
      </c>
    </row>
    <row r="208" spans="1:3" x14ac:dyDescent="0.25">
      <c r="A208" s="12">
        <v>214</v>
      </c>
      <c r="C208" t="str">
        <f t="shared" si="3"/>
        <v>union all  select item=214, shipno=''</v>
      </c>
    </row>
    <row r="209" spans="1:3" x14ac:dyDescent="0.25">
      <c r="A209" s="12">
        <v>215</v>
      </c>
      <c r="C209" t="str">
        <f t="shared" si="3"/>
        <v>union all  select item=215, shipno=''</v>
      </c>
    </row>
    <row r="210" spans="1:3" x14ac:dyDescent="0.25">
      <c r="A210" s="12">
        <v>216</v>
      </c>
      <c r="C210" t="str">
        <f t="shared" si="3"/>
        <v>union all  select item=216, shipno=''</v>
      </c>
    </row>
    <row r="211" spans="1:3" x14ac:dyDescent="0.25">
      <c r="A211" s="12">
        <v>217</v>
      </c>
      <c r="C211" t="str">
        <f t="shared" si="3"/>
        <v>union all  select item=217, shipno=''</v>
      </c>
    </row>
    <row r="212" spans="1:3" x14ac:dyDescent="0.25">
      <c r="A212" s="12">
        <v>218</v>
      </c>
      <c r="C212" t="str">
        <f t="shared" si="3"/>
        <v>union all  select item=218, shipno=''</v>
      </c>
    </row>
    <row r="213" spans="1:3" x14ac:dyDescent="0.25">
      <c r="A213" s="12">
        <v>219</v>
      </c>
      <c r="C213" t="str">
        <f t="shared" si="3"/>
        <v>union all  select item=219, shipno=''</v>
      </c>
    </row>
    <row r="214" spans="1:3" x14ac:dyDescent="0.25">
      <c r="A214" s="12">
        <v>220</v>
      </c>
      <c r="C214" t="str">
        <f t="shared" si="3"/>
        <v>union all  select item=220, shipno=''</v>
      </c>
    </row>
    <row r="215" spans="1:3" x14ac:dyDescent="0.25">
      <c r="A215" s="12">
        <v>221</v>
      </c>
      <c r="C215" t="str">
        <f t="shared" si="3"/>
        <v>union all  select item=221, shipno=''</v>
      </c>
    </row>
    <row r="216" spans="1:3" x14ac:dyDescent="0.25">
      <c r="A216" s="12">
        <v>222</v>
      </c>
      <c r="C216" t="str">
        <f t="shared" si="3"/>
        <v>union all  select item=222, shipno=''</v>
      </c>
    </row>
    <row r="217" spans="1:3" x14ac:dyDescent="0.25">
      <c r="A217" s="12">
        <v>223</v>
      </c>
      <c r="C217" t="str">
        <f t="shared" si="3"/>
        <v>union all  select item=223, shipno=''</v>
      </c>
    </row>
    <row r="218" spans="1:3" x14ac:dyDescent="0.25">
      <c r="A218" s="12">
        <v>224</v>
      </c>
      <c r="C218" t="str">
        <f t="shared" si="3"/>
        <v>union all  select item=224, shipno=''</v>
      </c>
    </row>
    <row r="219" spans="1:3" x14ac:dyDescent="0.25">
      <c r="A219" s="12">
        <v>225</v>
      </c>
      <c r="C219" t="str">
        <f t="shared" si="3"/>
        <v>union all  select item=225, shipno=''</v>
      </c>
    </row>
    <row r="220" spans="1:3" x14ac:dyDescent="0.25">
      <c r="A220" s="12">
        <v>226</v>
      </c>
      <c r="C220" t="str">
        <f t="shared" si="3"/>
        <v>union all  select item=226, shipno=''</v>
      </c>
    </row>
    <row r="221" spans="1:3" x14ac:dyDescent="0.25">
      <c r="A221" s="12">
        <v>227</v>
      </c>
      <c r="C221" t="str">
        <f t="shared" si="3"/>
        <v>union all  select item=227, shipno=''</v>
      </c>
    </row>
    <row r="222" spans="1:3" x14ac:dyDescent="0.25">
      <c r="A222" s="12">
        <v>228</v>
      </c>
      <c r="C222" t="str">
        <f t="shared" si="3"/>
        <v>union all  select item=228, shipno=''</v>
      </c>
    </row>
    <row r="223" spans="1:3" x14ac:dyDescent="0.25">
      <c r="A223" s="12">
        <v>229</v>
      </c>
      <c r="C223" t="str">
        <f t="shared" si="3"/>
        <v>union all  select item=229, shipno=''</v>
      </c>
    </row>
    <row r="224" spans="1:3" x14ac:dyDescent="0.25">
      <c r="A224" s="12">
        <v>230</v>
      </c>
      <c r="C224" t="str">
        <f t="shared" si="3"/>
        <v>union all  select item=230, shipno=''</v>
      </c>
    </row>
    <row r="225" spans="1:3" x14ac:dyDescent="0.25">
      <c r="A225" s="12">
        <v>231</v>
      </c>
      <c r="C225" t="str">
        <f t="shared" si="3"/>
        <v>union all  select item=231, shipno=''</v>
      </c>
    </row>
    <row r="226" spans="1:3" x14ac:dyDescent="0.25">
      <c r="A226" s="12">
        <v>232</v>
      </c>
      <c r="C226" t="str">
        <f t="shared" si="3"/>
        <v>union all  select item=232, shipno=''</v>
      </c>
    </row>
    <row r="227" spans="1:3" x14ac:dyDescent="0.25">
      <c r="A227" s="12">
        <v>233</v>
      </c>
      <c r="C227" t="str">
        <f t="shared" si="3"/>
        <v>union all  select item=233, shipno=''</v>
      </c>
    </row>
    <row r="228" spans="1:3" x14ac:dyDescent="0.25">
      <c r="A228" s="12">
        <v>234</v>
      </c>
      <c r="C228" t="str">
        <f t="shared" si="3"/>
        <v>union all  select item=234, shipno=''</v>
      </c>
    </row>
    <row r="229" spans="1:3" x14ac:dyDescent="0.25">
      <c r="A229" s="12">
        <v>235</v>
      </c>
      <c r="C229" t="str">
        <f t="shared" si="3"/>
        <v>union all  select item=235, shipno=''</v>
      </c>
    </row>
    <row r="230" spans="1:3" x14ac:dyDescent="0.25">
      <c r="A230" s="12">
        <v>236</v>
      </c>
      <c r="C230" t="str">
        <f t="shared" si="3"/>
        <v>union all  select item=236, shipno=''</v>
      </c>
    </row>
    <row r="231" spans="1:3" x14ac:dyDescent="0.25">
      <c r="A231" s="12">
        <v>237</v>
      </c>
      <c r="C231" t="str">
        <f t="shared" si="3"/>
        <v>union all  select item=237, shipno=''</v>
      </c>
    </row>
    <row r="232" spans="1:3" x14ac:dyDescent="0.25">
      <c r="A232" s="12">
        <v>238</v>
      </c>
      <c r="C232" t="str">
        <f t="shared" si="3"/>
        <v>union all  select item=238, shipno=''</v>
      </c>
    </row>
    <row r="233" spans="1:3" x14ac:dyDescent="0.25">
      <c r="A233" s="12">
        <v>239</v>
      </c>
      <c r="C233" t="str">
        <f t="shared" si="3"/>
        <v>union all  select item=239, shipno=''</v>
      </c>
    </row>
    <row r="234" spans="1:3" x14ac:dyDescent="0.25">
      <c r="A234" s="12">
        <v>240</v>
      </c>
      <c r="C234" t="str">
        <f t="shared" si="3"/>
        <v>union all  select item=240, shipno=''</v>
      </c>
    </row>
    <row r="235" spans="1:3" x14ac:dyDescent="0.25">
      <c r="A235" s="12">
        <v>241</v>
      </c>
      <c r="C235" t="str">
        <f t="shared" si="3"/>
        <v>union all  select item=241, shipno=''</v>
      </c>
    </row>
    <row r="236" spans="1:3" x14ac:dyDescent="0.25">
      <c r="A236" s="12">
        <v>242</v>
      </c>
      <c r="C236" t="str">
        <f t="shared" si="3"/>
        <v>union all  select item=242, shipno=''</v>
      </c>
    </row>
    <row r="237" spans="1:3" x14ac:dyDescent="0.25">
      <c r="A237" s="12">
        <v>243</v>
      </c>
      <c r="C237" t="str">
        <f t="shared" si="3"/>
        <v>union all  select item=243, shipno=''</v>
      </c>
    </row>
    <row r="238" spans="1:3" x14ac:dyDescent="0.25">
      <c r="A238" s="12">
        <v>244</v>
      </c>
      <c r="C238" t="str">
        <f t="shared" si="3"/>
        <v>union all  select item=244, shipno=''</v>
      </c>
    </row>
    <row r="239" spans="1:3" x14ac:dyDescent="0.25">
      <c r="A239" s="12">
        <v>245</v>
      </c>
      <c r="C239" t="str">
        <f t="shared" si="3"/>
        <v>union all  select item=245, shipno=''</v>
      </c>
    </row>
    <row r="240" spans="1:3" x14ac:dyDescent="0.25">
      <c r="A240" s="12">
        <v>246</v>
      </c>
      <c r="C240" t="str">
        <f t="shared" si="3"/>
        <v>union all  select item=246, shipno=''</v>
      </c>
    </row>
    <row r="241" spans="1:3" x14ac:dyDescent="0.25">
      <c r="A241" s="12">
        <v>247</v>
      </c>
      <c r="C241" t="str">
        <f t="shared" si="3"/>
        <v>union all  select item=247, shipno=''</v>
      </c>
    </row>
    <row r="242" spans="1:3" x14ac:dyDescent="0.25">
      <c r="A242" s="12">
        <v>248</v>
      </c>
      <c r="C242" t="str">
        <f t="shared" si="3"/>
        <v>union all  select item=248, shipno=''</v>
      </c>
    </row>
    <row r="243" spans="1:3" x14ac:dyDescent="0.25">
      <c r="A243" s="12">
        <v>249</v>
      </c>
      <c r="C243" t="str">
        <f t="shared" si="3"/>
        <v>union all  select item=249, shipno=''</v>
      </c>
    </row>
    <row r="244" spans="1:3" x14ac:dyDescent="0.25">
      <c r="A244" s="12">
        <v>250</v>
      </c>
      <c r="C244" t="str">
        <f t="shared" ref="C244:C307" si="4">"union all  select item=" &amp; A244 &amp; ", shipno='" &amp; B244 &amp; "'"</f>
        <v>union all  select item=250, shipno=''</v>
      </c>
    </row>
    <row r="245" spans="1:3" x14ac:dyDescent="0.25">
      <c r="A245" s="12">
        <v>251</v>
      </c>
      <c r="C245" t="str">
        <f t="shared" si="4"/>
        <v>union all  select item=251, shipno=''</v>
      </c>
    </row>
    <row r="246" spans="1:3" x14ac:dyDescent="0.25">
      <c r="A246" s="12">
        <v>252</v>
      </c>
      <c r="C246" t="str">
        <f t="shared" si="4"/>
        <v>union all  select item=252, shipno=''</v>
      </c>
    </row>
    <row r="247" spans="1:3" x14ac:dyDescent="0.25">
      <c r="A247" s="12">
        <v>253</v>
      </c>
      <c r="C247" t="str">
        <f t="shared" si="4"/>
        <v>union all  select item=253, shipno=''</v>
      </c>
    </row>
    <row r="248" spans="1:3" x14ac:dyDescent="0.25">
      <c r="A248" s="12">
        <v>254</v>
      </c>
      <c r="C248" t="str">
        <f t="shared" si="4"/>
        <v>union all  select item=254, shipno=''</v>
      </c>
    </row>
    <row r="249" spans="1:3" x14ac:dyDescent="0.25">
      <c r="A249" s="12">
        <v>255</v>
      </c>
      <c r="C249" t="str">
        <f t="shared" si="4"/>
        <v>union all  select item=255, shipno=''</v>
      </c>
    </row>
    <row r="250" spans="1:3" x14ac:dyDescent="0.25">
      <c r="A250" s="12">
        <v>256</v>
      </c>
      <c r="C250" t="str">
        <f t="shared" si="4"/>
        <v>union all  select item=256, shipno=''</v>
      </c>
    </row>
    <row r="251" spans="1:3" x14ac:dyDescent="0.25">
      <c r="A251" s="12">
        <v>257</v>
      </c>
      <c r="C251" t="str">
        <f t="shared" si="4"/>
        <v>union all  select item=257, shipno=''</v>
      </c>
    </row>
    <row r="252" spans="1:3" x14ac:dyDescent="0.25">
      <c r="A252" s="12">
        <v>258</v>
      </c>
      <c r="C252" t="str">
        <f t="shared" si="4"/>
        <v>union all  select item=258, shipno=''</v>
      </c>
    </row>
    <row r="253" spans="1:3" x14ac:dyDescent="0.25">
      <c r="A253" s="12">
        <v>259</v>
      </c>
      <c r="C253" t="str">
        <f t="shared" si="4"/>
        <v>union all  select item=259, shipno=''</v>
      </c>
    </row>
    <row r="254" spans="1:3" x14ac:dyDescent="0.25">
      <c r="A254" s="12">
        <v>260</v>
      </c>
      <c r="C254" t="str">
        <f t="shared" si="4"/>
        <v>union all  select item=260, shipno=''</v>
      </c>
    </row>
    <row r="255" spans="1:3" x14ac:dyDescent="0.25">
      <c r="A255" s="12">
        <v>261</v>
      </c>
      <c r="C255" t="str">
        <f t="shared" si="4"/>
        <v>union all  select item=261, shipno=''</v>
      </c>
    </row>
    <row r="256" spans="1:3" x14ac:dyDescent="0.25">
      <c r="A256" s="12">
        <v>262</v>
      </c>
      <c r="C256" t="str">
        <f t="shared" si="4"/>
        <v>union all  select item=262, shipno=''</v>
      </c>
    </row>
    <row r="257" spans="1:3" x14ac:dyDescent="0.25">
      <c r="A257" s="12">
        <v>263</v>
      </c>
      <c r="C257" t="str">
        <f t="shared" si="4"/>
        <v>union all  select item=263, shipno=''</v>
      </c>
    </row>
    <row r="258" spans="1:3" x14ac:dyDescent="0.25">
      <c r="A258" s="12">
        <v>264</v>
      </c>
      <c r="C258" t="str">
        <f t="shared" si="4"/>
        <v>union all  select item=264, shipno=''</v>
      </c>
    </row>
    <row r="259" spans="1:3" x14ac:dyDescent="0.25">
      <c r="A259" s="12">
        <v>265</v>
      </c>
      <c r="C259" t="str">
        <f t="shared" si="4"/>
        <v>union all  select item=265, shipno=''</v>
      </c>
    </row>
    <row r="260" spans="1:3" x14ac:dyDescent="0.25">
      <c r="A260" s="12">
        <v>266</v>
      </c>
      <c r="C260" t="str">
        <f t="shared" si="4"/>
        <v>union all  select item=266, shipno=''</v>
      </c>
    </row>
    <row r="261" spans="1:3" x14ac:dyDescent="0.25">
      <c r="A261" s="12">
        <v>267</v>
      </c>
      <c r="C261" t="str">
        <f t="shared" si="4"/>
        <v>union all  select item=267, shipno=''</v>
      </c>
    </row>
    <row r="262" spans="1:3" x14ac:dyDescent="0.25">
      <c r="A262" s="12">
        <v>268</v>
      </c>
      <c r="C262" t="str">
        <f t="shared" si="4"/>
        <v>union all  select item=268, shipno=''</v>
      </c>
    </row>
    <row r="263" spans="1:3" x14ac:dyDescent="0.25">
      <c r="A263" s="12">
        <v>269</v>
      </c>
      <c r="C263" t="str">
        <f t="shared" si="4"/>
        <v>union all  select item=269, shipno=''</v>
      </c>
    </row>
    <row r="264" spans="1:3" x14ac:dyDescent="0.25">
      <c r="A264" s="12">
        <v>270</v>
      </c>
      <c r="C264" t="str">
        <f t="shared" si="4"/>
        <v>union all  select item=270, shipno=''</v>
      </c>
    </row>
    <row r="265" spans="1:3" x14ac:dyDescent="0.25">
      <c r="A265" s="12">
        <v>271</v>
      </c>
      <c r="C265" t="str">
        <f t="shared" si="4"/>
        <v>union all  select item=271, shipno=''</v>
      </c>
    </row>
    <row r="266" spans="1:3" x14ac:dyDescent="0.25">
      <c r="A266" s="12">
        <v>272</v>
      </c>
      <c r="C266" t="str">
        <f t="shared" si="4"/>
        <v>union all  select item=272, shipno=''</v>
      </c>
    </row>
    <row r="267" spans="1:3" x14ac:dyDescent="0.25">
      <c r="A267" s="12">
        <v>273</v>
      </c>
      <c r="C267" t="str">
        <f t="shared" si="4"/>
        <v>union all  select item=273, shipno=''</v>
      </c>
    </row>
    <row r="268" spans="1:3" x14ac:dyDescent="0.25">
      <c r="A268" s="12">
        <v>274</v>
      </c>
      <c r="C268" t="str">
        <f t="shared" si="4"/>
        <v>union all  select item=274, shipno=''</v>
      </c>
    </row>
    <row r="269" spans="1:3" x14ac:dyDescent="0.25">
      <c r="A269" s="12">
        <v>275</v>
      </c>
      <c r="C269" t="str">
        <f t="shared" si="4"/>
        <v>union all  select item=275, shipno=''</v>
      </c>
    </row>
    <row r="270" spans="1:3" x14ac:dyDescent="0.25">
      <c r="A270" s="12">
        <v>276</v>
      </c>
      <c r="C270" t="str">
        <f t="shared" si="4"/>
        <v>union all  select item=276, shipno=''</v>
      </c>
    </row>
    <row r="271" spans="1:3" x14ac:dyDescent="0.25">
      <c r="A271" s="12">
        <v>277</v>
      </c>
      <c r="C271" t="str">
        <f t="shared" si="4"/>
        <v>union all  select item=277, shipno=''</v>
      </c>
    </row>
    <row r="272" spans="1:3" x14ac:dyDescent="0.25">
      <c r="A272" s="12">
        <v>278</v>
      </c>
      <c r="C272" t="str">
        <f t="shared" si="4"/>
        <v>union all  select item=278, shipno=''</v>
      </c>
    </row>
    <row r="273" spans="1:3" x14ac:dyDescent="0.25">
      <c r="A273" s="12">
        <v>279</v>
      </c>
      <c r="C273" t="str">
        <f t="shared" si="4"/>
        <v>union all  select item=279, shipno=''</v>
      </c>
    </row>
    <row r="274" spans="1:3" x14ac:dyDescent="0.25">
      <c r="A274" s="12">
        <v>280</v>
      </c>
      <c r="C274" t="str">
        <f t="shared" si="4"/>
        <v>union all  select item=280, shipno=''</v>
      </c>
    </row>
    <row r="275" spans="1:3" x14ac:dyDescent="0.25">
      <c r="A275" s="12">
        <v>281</v>
      </c>
      <c r="C275" t="str">
        <f t="shared" si="4"/>
        <v>union all  select item=281, shipno=''</v>
      </c>
    </row>
    <row r="276" spans="1:3" x14ac:dyDescent="0.25">
      <c r="A276" s="12">
        <v>282</v>
      </c>
      <c r="C276" t="str">
        <f t="shared" si="4"/>
        <v>union all  select item=282, shipno=''</v>
      </c>
    </row>
    <row r="277" spans="1:3" x14ac:dyDescent="0.25">
      <c r="A277" s="12">
        <v>283</v>
      </c>
      <c r="C277" t="str">
        <f t="shared" si="4"/>
        <v>union all  select item=283, shipno=''</v>
      </c>
    </row>
    <row r="278" spans="1:3" x14ac:dyDescent="0.25">
      <c r="A278" s="12">
        <v>284</v>
      </c>
      <c r="C278" t="str">
        <f t="shared" si="4"/>
        <v>union all  select item=284, shipno=''</v>
      </c>
    </row>
    <row r="279" spans="1:3" x14ac:dyDescent="0.25">
      <c r="A279" s="12">
        <v>285</v>
      </c>
      <c r="C279" t="str">
        <f t="shared" si="4"/>
        <v>union all  select item=285, shipno=''</v>
      </c>
    </row>
    <row r="280" spans="1:3" x14ac:dyDescent="0.25">
      <c r="A280" s="12">
        <v>286</v>
      </c>
      <c r="C280" t="str">
        <f t="shared" si="4"/>
        <v>union all  select item=286, shipno=''</v>
      </c>
    </row>
    <row r="281" spans="1:3" x14ac:dyDescent="0.25">
      <c r="A281" s="12">
        <v>287</v>
      </c>
      <c r="C281" t="str">
        <f t="shared" si="4"/>
        <v>union all  select item=287, shipno=''</v>
      </c>
    </row>
    <row r="282" spans="1:3" x14ac:dyDescent="0.25">
      <c r="A282" s="12">
        <v>288</v>
      </c>
      <c r="C282" t="str">
        <f t="shared" si="4"/>
        <v>union all  select item=288, shipno=''</v>
      </c>
    </row>
    <row r="283" spans="1:3" x14ac:dyDescent="0.25">
      <c r="A283" s="12">
        <v>289</v>
      </c>
      <c r="C283" t="str">
        <f t="shared" si="4"/>
        <v>union all  select item=289, shipno=''</v>
      </c>
    </row>
    <row r="284" spans="1:3" x14ac:dyDescent="0.25">
      <c r="A284" s="12">
        <v>290</v>
      </c>
      <c r="C284" t="str">
        <f t="shared" si="4"/>
        <v>union all  select item=290, shipno=''</v>
      </c>
    </row>
    <row r="285" spans="1:3" x14ac:dyDescent="0.25">
      <c r="A285" s="12">
        <v>291</v>
      </c>
      <c r="C285" t="str">
        <f t="shared" si="4"/>
        <v>union all  select item=291, shipno=''</v>
      </c>
    </row>
    <row r="286" spans="1:3" x14ac:dyDescent="0.25">
      <c r="A286" s="12">
        <v>292</v>
      </c>
      <c r="C286" t="str">
        <f t="shared" si="4"/>
        <v>union all  select item=292, shipno=''</v>
      </c>
    </row>
    <row r="287" spans="1:3" x14ac:dyDescent="0.25">
      <c r="A287" s="12">
        <v>293</v>
      </c>
      <c r="C287" t="str">
        <f t="shared" si="4"/>
        <v>union all  select item=293, shipno=''</v>
      </c>
    </row>
    <row r="288" spans="1:3" x14ac:dyDescent="0.25">
      <c r="A288" s="12">
        <v>294</v>
      </c>
      <c r="C288" t="str">
        <f t="shared" si="4"/>
        <v>union all  select item=294, shipno=''</v>
      </c>
    </row>
    <row r="289" spans="1:3" x14ac:dyDescent="0.25">
      <c r="A289" s="12">
        <v>295</v>
      </c>
      <c r="C289" t="str">
        <f t="shared" si="4"/>
        <v>union all  select item=295, shipno=''</v>
      </c>
    </row>
    <row r="290" spans="1:3" x14ac:dyDescent="0.25">
      <c r="A290" s="12">
        <v>296</v>
      </c>
      <c r="C290" t="str">
        <f t="shared" si="4"/>
        <v>union all  select item=296, shipno=''</v>
      </c>
    </row>
    <row r="291" spans="1:3" x14ac:dyDescent="0.25">
      <c r="A291" s="12">
        <v>297</v>
      </c>
      <c r="C291" t="str">
        <f t="shared" si="4"/>
        <v>union all  select item=297, shipno=''</v>
      </c>
    </row>
    <row r="292" spans="1:3" x14ac:dyDescent="0.25">
      <c r="A292" s="12">
        <v>298</v>
      </c>
      <c r="C292" t="str">
        <f t="shared" si="4"/>
        <v>union all  select item=298, shipno=''</v>
      </c>
    </row>
    <row r="293" spans="1:3" x14ac:dyDescent="0.25">
      <c r="A293" s="12">
        <v>299</v>
      </c>
      <c r="C293" t="str">
        <f t="shared" si="4"/>
        <v>union all  select item=299, shipno=''</v>
      </c>
    </row>
    <row r="294" spans="1:3" x14ac:dyDescent="0.25">
      <c r="A294" s="12">
        <v>300</v>
      </c>
      <c r="C294" t="str">
        <f t="shared" si="4"/>
        <v>union all  select item=300, shipno=''</v>
      </c>
    </row>
    <row r="295" spans="1:3" x14ac:dyDescent="0.25">
      <c r="A295" s="12">
        <v>301</v>
      </c>
      <c r="C295" t="str">
        <f t="shared" si="4"/>
        <v>union all  select item=301, shipno=''</v>
      </c>
    </row>
    <row r="296" spans="1:3" x14ac:dyDescent="0.25">
      <c r="A296" s="12">
        <v>302</v>
      </c>
      <c r="C296" t="str">
        <f t="shared" si="4"/>
        <v>union all  select item=302, shipno=''</v>
      </c>
    </row>
    <row r="297" spans="1:3" x14ac:dyDescent="0.25">
      <c r="A297" s="12">
        <v>303</v>
      </c>
      <c r="C297" t="str">
        <f t="shared" si="4"/>
        <v>union all  select item=303, shipno=''</v>
      </c>
    </row>
    <row r="298" spans="1:3" x14ac:dyDescent="0.25">
      <c r="A298" s="12">
        <v>304</v>
      </c>
      <c r="C298" t="str">
        <f t="shared" si="4"/>
        <v>union all  select item=304, shipno=''</v>
      </c>
    </row>
    <row r="299" spans="1:3" x14ac:dyDescent="0.25">
      <c r="A299" s="12">
        <v>305</v>
      </c>
      <c r="C299" t="str">
        <f t="shared" si="4"/>
        <v>union all  select item=305, shipno=''</v>
      </c>
    </row>
    <row r="300" spans="1:3" x14ac:dyDescent="0.25">
      <c r="A300" s="12">
        <v>306</v>
      </c>
      <c r="C300" t="str">
        <f t="shared" si="4"/>
        <v>union all  select item=306, shipno=''</v>
      </c>
    </row>
    <row r="301" spans="1:3" x14ac:dyDescent="0.25">
      <c r="A301" s="12">
        <v>307</v>
      </c>
      <c r="C301" t="str">
        <f t="shared" si="4"/>
        <v>union all  select item=307, shipno=''</v>
      </c>
    </row>
    <row r="302" spans="1:3" x14ac:dyDescent="0.25">
      <c r="A302" s="12">
        <v>308</v>
      </c>
      <c r="C302" t="str">
        <f t="shared" si="4"/>
        <v>union all  select item=308, shipno=''</v>
      </c>
    </row>
    <row r="303" spans="1:3" x14ac:dyDescent="0.25">
      <c r="A303" s="12">
        <v>309</v>
      </c>
      <c r="C303" t="str">
        <f t="shared" si="4"/>
        <v>union all  select item=309, shipno=''</v>
      </c>
    </row>
    <row r="304" spans="1:3" x14ac:dyDescent="0.25">
      <c r="A304" s="12">
        <v>310</v>
      </c>
      <c r="C304" t="str">
        <f t="shared" si="4"/>
        <v>union all  select item=310, shipno=''</v>
      </c>
    </row>
    <row r="305" spans="1:3" x14ac:dyDescent="0.25">
      <c r="A305" s="12">
        <v>311</v>
      </c>
      <c r="C305" t="str">
        <f t="shared" si="4"/>
        <v>union all  select item=311, shipno=''</v>
      </c>
    </row>
    <row r="306" spans="1:3" x14ac:dyDescent="0.25">
      <c r="A306" s="12">
        <v>312</v>
      </c>
      <c r="C306" t="str">
        <f t="shared" si="4"/>
        <v>union all  select item=312, shipno=''</v>
      </c>
    </row>
    <row r="307" spans="1:3" x14ac:dyDescent="0.25">
      <c r="A307" s="12">
        <v>313</v>
      </c>
      <c r="C307" t="str">
        <f t="shared" si="4"/>
        <v>union all  select item=313, shipno=''</v>
      </c>
    </row>
    <row r="308" spans="1:3" x14ac:dyDescent="0.25">
      <c r="A308" s="12">
        <v>314</v>
      </c>
    </row>
    <row r="309" spans="1:3" x14ac:dyDescent="0.25">
      <c r="A309" s="12">
        <v>315</v>
      </c>
    </row>
    <row r="310" spans="1:3" x14ac:dyDescent="0.25">
      <c r="A310" s="12">
        <v>316</v>
      </c>
    </row>
    <row r="311" spans="1:3" x14ac:dyDescent="0.25">
      <c r="A311" s="12">
        <v>317</v>
      </c>
    </row>
    <row r="312" spans="1:3" x14ac:dyDescent="0.25">
      <c r="A312" s="12">
        <v>318</v>
      </c>
    </row>
    <row r="313" spans="1:3" x14ac:dyDescent="0.25">
      <c r="A313" s="12">
        <v>319</v>
      </c>
    </row>
    <row r="314" spans="1:3" x14ac:dyDescent="0.25">
      <c r="A314" s="12">
        <v>320</v>
      </c>
    </row>
    <row r="315" spans="1:3" x14ac:dyDescent="0.25">
      <c r="A315" s="12">
        <v>321</v>
      </c>
    </row>
    <row r="316" spans="1:3" x14ac:dyDescent="0.25">
      <c r="A316" s="12">
        <v>322</v>
      </c>
    </row>
    <row r="317" spans="1:3" x14ac:dyDescent="0.25">
      <c r="A317" s="12">
        <v>323</v>
      </c>
    </row>
    <row r="318" spans="1:3" x14ac:dyDescent="0.25">
      <c r="A318" s="12">
        <v>324</v>
      </c>
    </row>
    <row r="319" spans="1:3" x14ac:dyDescent="0.25">
      <c r="A319" s="12">
        <v>325</v>
      </c>
    </row>
    <row r="320" spans="1:3" x14ac:dyDescent="0.25">
      <c r="A320" s="12">
        <v>326</v>
      </c>
    </row>
    <row r="321" spans="1:1" x14ac:dyDescent="0.25">
      <c r="A321" s="12">
        <v>327</v>
      </c>
    </row>
    <row r="322" spans="1:1" x14ac:dyDescent="0.25">
      <c r="A322" s="12">
        <v>328</v>
      </c>
    </row>
    <row r="323" spans="1:1" x14ac:dyDescent="0.25">
      <c r="A323" s="12">
        <v>329</v>
      </c>
    </row>
    <row r="324" spans="1:1" x14ac:dyDescent="0.25">
      <c r="A324" s="12">
        <v>330</v>
      </c>
    </row>
    <row r="325" spans="1:1" x14ac:dyDescent="0.25">
      <c r="A325" s="12">
        <v>331</v>
      </c>
    </row>
    <row r="326" spans="1:1" x14ac:dyDescent="0.25">
      <c r="A326" s="12">
        <v>332</v>
      </c>
    </row>
    <row r="327" spans="1:1" x14ac:dyDescent="0.25">
      <c r="A327" s="12">
        <v>333</v>
      </c>
    </row>
    <row r="328" spans="1:1" x14ac:dyDescent="0.25">
      <c r="A328" s="12">
        <v>334</v>
      </c>
    </row>
    <row r="329" spans="1:1" x14ac:dyDescent="0.25">
      <c r="A329" s="12">
        <v>335</v>
      </c>
    </row>
    <row r="330" spans="1:1" x14ac:dyDescent="0.25">
      <c r="A330" s="12">
        <v>336</v>
      </c>
    </row>
    <row r="331" spans="1:1" x14ac:dyDescent="0.25">
      <c r="A331" s="12">
        <v>337</v>
      </c>
    </row>
    <row r="332" spans="1:1" x14ac:dyDescent="0.25">
      <c r="A332" s="12">
        <v>338</v>
      </c>
    </row>
    <row r="333" spans="1:1" x14ac:dyDescent="0.25">
      <c r="A333" s="12">
        <v>339</v>
      </c>
    </row>
    <row r="334" spans="1:1" x14ac:dyDescent="0.25">
      <c r="A334" s="12">
        <v>340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FF00"/>
  </sheetPr>
  <dimension ref="A1:F335"/>
  <sheetViews>
    <sheetView workbookViewId="0">
      <selection activeCell="E3" sqref="E3:E18"/>
    </sheetView>
  </sheetViews>
  <sheetFormatPr defaultRowHeight="16.5" x14ac:dyDescent="0.25"/>
  <cols>
    <col min="1" max="1" width="9" style="12"/>
    <col min="2" max="2" width="14.125" style="24" customWidth="1"/>
    <col min="3" max="3" width="16" customWidth="1"/>
    <col min="4" max="4" width="55.875" customWidth="1"/>
    <col min="5" max="5" width="39.5" customWidth="1"/>
    <col min="6" max="6" width="33.75" customWidth="1"/>
  </cols>
  <sheetData>
    <row r="1" spans="1:6" x14ac:dyDescent="0.25">
      <c r="B1" s="20" t="s">
        <v>110</v>
      </c>
      <c r="C1" s="20"/>
    </row>
    <row r="2" spans="1:6" x14ac:dyDescent="0.25">
      <c r="B2" s="43">
        <v>6</v>
      </c>
      <c r="C2" s="46">
        <v>12</v>
      </c>
      <c r="D2" s="19" t="s">
        <v>351</v>
      </c>
      <c r="E2" s="54" t="s">
        <v>352</v>
      </c>
      <c r="F2" s="15"/>
    </row>
    <row r="3" spans="1:6" x14ac:dyDescent="0.25">
      <c r="B3" s="24" t="s">
        <v>127</v>
      </c>
      <c r="C3" t="s">
        <v>129</v>
      </c>
      <c r="D3" t="s">
        <v>349</v>
      </c>
      <c r="E3" t="s">
        <v>349</v>
      </c>
      <c r="F3" s="15" t="s">
        <v>353</v>
      </c>
    </row>
    <row r="4" spans="1:6" x14ac:dyDescent="0.25">
      <c r="A4" s="12">
        <v>1</v>
      </c>
      <c r="B4" s="24" t="s">
        <v>434</v>
      </c>
      <c r="C4" t="s">
        <v>423</v>
      </c>
      <c r="D4" t="str">
        <f>"select item=" &amp; A4 &amp; ", shipno='PON" &amp; B4 &amp; "', richan='" &amp; C4 &amp; "'"</f>
        <v>select item=1, shipno='PONFD156112', richan='28216-KN216'</v>
      </c>
      <c r="E4" t="str">
        <f>"select item=" &amp; A4 &amp; ", shipno='" &amp; B4 &amp; "', richan='" &amp; C4 &amp; "'"</f>
        <v>select item=1, shipno='FD156112', richan='28216-KN216'</v>
      </c>
    </row>
    <row r="5" spans="1:6" x14ac:dyDescent="0.25">
      <c r="A5" s="12">
        <v>2</v>
      </c>
      <c r="B5" s="24" t="s">
        <v>435</v>
      </c>
      <c r="C5" t="s">
        <v>424</v>
      </c>
      <c r="D5" t="str">
        <f>"union all  select item=" &amp; A5 &amp; ", shipno='PON" &amp; B5 &amp; "', richan='" &amp; C5 &amp; "'"</f>
        <v>union all  select item=2, shipno='PONFD154917', richan='28216-KN203'</v>
      </c>
      <c r="E5" t="str">
        <f>"union all  select item=" &amp; A5 &amp; ", shipno='" &amp; B5 &amp; "', richan='" &amp; C5 &amp; "'"</f>
        <v>union all  select item=2, shipno='FD154917', richan='28216-KN203'</v>
      </c>
    </row>
    <row r="6" spans="1:6" x14ac:dyDescent="0.25">
      <c r="A6" s="12">
        <v>3</v>
      </c>
      <c r="B6" s="24" t="s">
        <v>436</v>
      </c>
      <c r="C6" t="s">
        <v>425</v>
      </c>
      <c r="D6" t="str">
        <f t="shared" ref="D6:D69" si="0">"union all  select item=" &amp; A6 &amp; ", shipno='PON" &amp; B6 &amp; "', richan='" &amp; C6 &amp; "'"</f>
        <v>union all  select item=3, shipno='PONFD157701', richan='28216-KN316'</v>
      </c>
      <c r="E6" t="str">
        <f t="shared" ref="E6:E69" si="1">"union all  select item=" &amp; A6 &amp; ", shipno='" &amp; B6 &amp; "', richan='" &amp; C6 &amp; "'"</f>
        <v>union all  select item=3, shipno='FD157701', richan='28216-KN316'</v>
      </c>
    </row>
    <row r="7" spans="1:6" x14ac:dyDescent="0.25">
      <c r="A7" s="12">
        <v>4</v>
      </c>
      <c r="B7" s="24" t="s">
        <v>437</v>
      </c>
      <c r="C7" t="s">
        <v>426</v>
      </c>
      <c r="D7" t="str">
        <f t="shared" si="0"/>
        <v>union all  select item=4, shipno='PONFD157861', richan='28216-KN318'</v>
      </c>
      <c r="E7" t="str">
        <f t="shared" si="1"/>
        <v>union all  select item=4, shipno='FD157861', richan='28216-KN318'</v>
      </c>
    </row>
    <row r="8" spans="1:6" x14ac:dyDescent="0.25">
      <c r="A8" s="12">
        <v>5</v>
      </c>
      <c r="B8" s="24" t="s">
        <v>435</v>
      </c>
      <c r="C8" t="s">
        <v>427</v>
      </c>
      <c r="D8" t="str">
        <f t="shared" si="0"/>
        <v>union all  select item=5, shipno='PONFD154917', richan='25327-MA121'</v>
      </c>
      <c r="E8" t="str">
        <f t="shared" si="1"/>
        <v>union all  select item=5, shipno='FD154917', richan='25327-MA121'</v>
      </c>
    </row>
    <row r="9" spans="1:6" x14ac:dyDescent="0.25">
      <c r="A9" s="12">
        <v>6</v>
      </c>
      <c r="B9" s="24" t="s">
        <v>438</v>
      </c>
      <c r="C9" t="s">
        <v>427</v>
      </c>
      <c r="D9" t="str">
        <f t="shared" si="0"/>
        <v>union all  select item=6, shipno='PONFD156138', richan='25327-MA121'</v>
      </c>
      <c r="E9" t="str">
        <f t="shared" si="1"/>
        <v>union all  select item=6, shipno='FD156138', richan='25327-MA121'</v>
      </c>
    </row>
    <row r="10" spans="1:6" x14ac:dyDescent="0.25">
      <c r="A10" s="12">
        <v>7</v>
      </c>
      <c r="B10" s="24" t="s">
        <v>439</v>
      </c>
      <c r="C10" t="s">
        <v>428</v>
      </c>
      <c r="D10" t="str">
        <f t="shared" si="0"/>
        <v>union all  select item=7, shipno='PONFD154917', richan='28216-MA100'</v>
      </c>
      <c r="E10" t="str">
        <f t="shared" si="1"/>
        <v>union all  select item=7, shipno='FD154917', richan='28216-MA100'</v>
      </c>
    </row>
    <row r="11" spans="1:6" x14ac:dyDescent="0.25">
      <c r="A11" s="12">
        <v>8</v>
      </c>
      <c r="B11" s="24" t="s">
        <v>438</v>
      </c>
      <c r="C11" t="s">
        <v>428</v>
      </c>
      <c r="D11" t="str">
        <f t="shared" si="0"/>
        <v>union all  select item=8, shipno='PONFD156138', richan='28216-MA100'</v>
      </c>
      <c r="E11" t="str">
        <f t="shared" si="1"/>
        <v>union all  select item=8, shipno='FD156138', richan='28216-MA100'</v>
      </c>
    </row>
    <row r="12" spans="1:6" x14ac:dyDescent="0.25">
      <c r="A12" s="12">
        <v>9</v>
      </c>
      <c r="B12" s="24" t="s">
        <v>440</v>
      </c>
      <c r="C12" t="s">
        <v>429</v>
      </c>
      <c r="D12" t="str">
        <f t="shared" si="0"/>
        <v>union all  select item=9, shipno='PONFD157245', richan='28216-MA312'</v>
      </c>
      <c r="E12" t="str">
        <f t="shared" si="1"/>
        <v>union all  select item=9, shipno='FD157245', richan='28216-MA312'</v>
      </c>
    </row>
    <row r="13" spans="1:6" x14ac:dyDescent="0.25">
      <c r="A13" s="12">
        <v>10</v>
      </c>
      <c r="B13" s="24" t="s">
        <v>441</v>
      </c>
      <c r="C13" t="s">
        <v>430</v>
      </c>
      <c r="D13" t="str">
        <f t="shared" si="0"/>
        <v>union all  select item=10, shipno='PONFD156648', richan='25327-SA300'</v>
      </c>
      <c r="E13" t="str">
        <f t="shared" si="1"/>
        <v>union all  select item=10, shipno='FD156648', richan='25327-SA300'</v>
      </c>
    </row>
    <row r="14" spans="1:6" x14ac:dyDescent="0.25">
      <c r="A14" s="12">
        <v>11</v>
      </c>
      <c r="B14" s="24" t="s">
        <v>442</v>
      </c>
      <c r="C14" t="s">
        <v>430</v>
      </c>
      <c r="D14" t="str">
        <f t="shared" si="0"/>
        <v>union all  select item=11, shipno='PONFD156313', richan='25327-SA300'</v>
      </c>
      <c r="E14" t="str">
        <f t="shared" si="1"/>
        <v>union all  select item=11, shipno='FD156313', richan='25327-SA300'</v>
      </c>
    </row>
    <row r="15" spans="1:6" x14ac:dyDescent="0.25">
      <c r="A15" s="12">
        <v>12</v>
      </c>
      <c r="B15" s="24" t="s">
        <v>438</v>
      </c>
      <c r="C15" t="s">
        <v>431</v>
      </c>
      <c r="D15" t="str">
        <f t="shared" si="0"/>
        <v>union all  select item=12, shipno='PONFD156138', richan='28216-SA122 '</v>
      </c>
      <c r="E15" t="str">
        <f t="shared" si="1"/>
        <v>union all  select item=12, shipno='FD156138', richan='28216-SA122 '</v>
      </c>
    </row>
    <row r="16" spans="1:6" x14ac:dyDescent="0.25">
      <c r="A16" s="12">
        <v>13</v>
      </c>
      <c r="B16" s="24" t="s">
        <v>439</v>
      </c>
      <c r="C16" t="s">
        <v>432</v>
      </c>
      <c r="D16" t="str">
        <f t="shared" si="0"/>
        <v>union all  select item=13, shipno='PONFD154917', richan='28216-SA206'</v>
      </c>
      <c r="E16" t="str">
        <f t="shared" si="1"/>
        <v>union all  select item=13, shipno='FD154917', richan='28216-SA206'</v>
      </c>
    </row>
    <row r="17" spans="1:5" x14ac:dyDescent="0.25">
      <c r="A17" s="12">
        <v>14</v>
      </c>
      <c r="B17" s="24" t="s">
        <v>438</v>
      </c>
      <c r="C17" t="s">
        <v>432</v>
      </c>
      <c r="D17" t="str">
        <f t="shared" si="0"/>
        <v>union all  select item=14, shipno='PONFD156138', richan='28216-SA206'</v>
      </c>
      <c r="E17" t="str">
        <f t="shared" si="1"/>
        <v>union all  select item=14, shipno='FD156138', richan='28216-SA206'</v>
      </c>
    </row>
    <row r="18" spans="1:5" x14ac:dyDescent="0.25">
      <c r="A18" s="12">
        <v>15</v>
      </c>
      <c r="B18" s="24" t="s">
        <v>443</v>
      </c>
      <c r="C18" t="s">
        <v>433</v>
      </c>
      <c r="D18" t="str">
        <f t="shared" si="0"/>
        <v>union all  select item=15, shipno='PONFD156112', richan='28216-SN204'</v>
      </c>
      <c r="E18" t="str">
        <f t="shared" si="1"/>
        <v>union all  select item=15, shipno='FD156112', richan='28216-SN204'</v>
      </c>
    </row>
    <row r="19" spans="1:5" x14ac:dyDescent="0.25">
      <c r="A19" s="12">
        <v>16</v>
      </c>
      <c r="D19" t="str">
        <f t="shared" si="0"/>
        <v>union all  select item=16, shipno='PON', richan=''</v>
      </c>
      <c r="E19" t="str">
        <f t="shared" si="1"/>
        <v>union all  select item=16, shipno='', richan=''</v>
      </c>
    </row>
    <row r="20" spans="1:5" x14ac:dyDescent="0.25">
      <c r="A20" s="12">
        <v>17</v>
      </c>
      <c r="C20" t="s">
        <v>362</v>
      </c>
      <c r="D20" t="str">
        <f t="shared" si="0"/>
        <v>union all  select item=17, shipno='PON', richan='24010-KN10D'</v>
      </c>
      <c r="E20" t="str">
        <f t="shared" si="1"/>
        <v>union all  select item=17, shipno='', richan='24010-KN10D'</v>
      </c>
    </row>
    <row r="21" spans="1:5" x14ac:dyDescent="0.25">
      <c r="A21" s="12">
        <v>18</v>
      </c>
      <c r="C21" t="s">
        <v>362</v>
      </c>
      <c r="D21" t="str">
        <f t="shared" si="0"/>
        <v>union all  select item=18, shipno='PON', richan='24010-KN10D'</v>
      </c>
      <c r="E21" t="str">
        <f t="shared" si="1"/>
        <v>union all  select item=18, shipno='', richan='24010-KN10D'</v>
      </c>
    </row>
    <row r="22" spans="1:5" x14ac:dyDescent="0.25">
      <c r="A22" s="12">
        <v>19</v>
      </c>
      <c r="C22" t="s">
        <v>362</v>
      </c>
      <c r="D22" t="str">
        <f t="shared" si="0"/>
        <v>union all  select item=19, shipno='PON', richan='24010-KN10D'</v>
      </c>
      <c r="E22" t="str">
        <f t="shared" si="1"/>
        <v>union all  select item=19, shipno='', richan='24010-KN10D'</v>
      </c>
    </row>
    <row r="23" spans="1:5" x14ac:dyDescent="0.25">
      <c r="A23" s="12">
        <v>20</v>
      </c>
      <c r="C23" t="s">
        <v>362</v>
      </c>
      <c r="D23" t="str">
        <f t="shared" si="0"/>
        <v>union all  select item=20, shipno='PON', richan='24010-KN10D'</v>
      </c>
      <c r="E23" t="str">
        <f t="shared" si="1"/>
        <v>union all  select item=20, shipno='', richan='24010-KN10D'</v>
      </c>
    </row>
    <row r="24" spans="1:5" x14ac:dyDescent="0.25">
      <c r="A24" s="12">
        <v>21</v>
      </c>
      <c r="C24" t="s">
        <v>362</v>
      </c>
      <c r="D24" t="str">
        <f t="shared" si="0"/>
        <v>union all  select item=21, shipno='PON', richan='24010-KN10D'</v>
      </c>
      <c r="E24" t="str">
        <f t="shared" si="1"/>
        <v>union all  select item=21, shipno='', richan='24010-KN10D'</v>
      </c>
    </row>
    <row r="25" spans="1:5" x14ac:dyDescent="0.25">
      <c r="A25" s="12">
        <v>22</v>
      </c>
      <c r="C25" t="s">
        <v>362</v>
      </c>
      <c r="D25" t="str">
        <f t="shared" si="0"/>
        <v>union all  select item=22, shipno='PON', richan='24010-KN10D'</v>
      </c>
      <c r="E25" t="str">
        <f t="shared" si="1"/>
        <v>union all  select item=22, shipno='', richan='24010-KN10D'</v>
      </c>
    </row>
    <row r="26" spans="1:5" x14ac:dyDescent="0.25">
      <c r="A26" s="12">
        <v>23</v>
      </c>
      <c r="C26" t="s">
        <v>362</v>
      </c>
      <c r="D26" t="str">
        <f t="shared" si="0"/>
        <v>union all  select item=23, shipno='PON', richan='24010-KN10D'</v>
      </c>
      <c r="E26" t="str">
        <f t="shared" si="1"/>
        <v>union all  select item=23, shipno='', richan='24010-KN10D'</v>
      </c>
    </row>
    <row r="27" spans="1:5" x14ac:dyDescent="0.25">
      <c r="A27" s="12">
        <v>24</v>
      </c>
      <c r="C27" t="s">
        <v>362</v>
      </c>
      <c r="D27" t="str">
        <f t="shared" si="0"/>
        <v>union all  select item=24, shipno='PON', richan='24010-KN10D'</v>
      </c>
      <c r="E27" t="str">
        <f t="shared" si="1"/>
        <v>union all  select item=24, shipno='', richan='24010-KN10D'</v>
      </c>
    </row>
    <row r="28" spans="1:5" x14ac:dyDescent="0.25">
      <c r="A28" s="12">
        <v>25</v>
      </c>
      <c r="C28" t="s">
        <v>362</v>
      </c>
      <c r="D28" t="str">
        <f t="shared" si="0"/>
        <v>union all  select item=25, shipno='PON', richan='24010-KN10D'</v>
      </c>
      <c r="E28" t="str">
        <f t="shared" si="1"/>
        <v>union all  select item=25, shipno='', richan='24010-KN10D'</v>
      </c>
    </row>
    <row r="29" spans="1:5" x14ac:dyDescent="0.25">
      <c r="A29" s="12">
        <v>26</v>
      </c>
      <c r="C29" t="s">
        <v>362</v>
      </c>
      <c r="D29" t="str">
        <f t="shared" si="0"/>
        <v>union all  select item=26, shipno='PON', richan='24010-KN10D'</v>
      </c>
      <c r="E29" t="str">
        <f t="shared" si="1"/>
        <v>union all  select item=26, shipno='', richan='24010-KN10D'</v>
      </c>
    </row>
    <row r="30" spans="1:5" x14ac:dyDescent="0.25">
      <c r="A30" s="12">
        <v>27</v>
      </c>
      <c r="C30" t="s">
        <v>362</v>
      </c>
      <c r="D30" t="str">
        <f t="shared" si="0"/>
        <v>union all  select item=27, shipno='PON', richan='24010-KN10D'</v>
      </c>
      <c r="E30" t="str">
        <f t="shared" si="1"/>
        <v>union all  select item=27, shipno='', richan='24010-KN10D'</v>
      </c>
    </row>
    <row r="31" spans="1:5" x14ac:dyDescent="0.25">
      <c r="A31" s="12">
        <v>28</v>
      </c>
      <c r="C31" t="s">
        <v>362</v>
      </c>
      <c r="D31" t="str">
        <f t="shared" si="0"/>
        <v>union all  select item=28, shipno='PON', richan='24010-KN10D'</v>
      </c>
      <c r="E31" t="str">
        <f t="shared" si="1"/>
        <v>union all  select item=28, shipno='', richan='24010-KN10D'</v>
      </c>
    </row>
    <row r="32" spans="1:5" x14ac:dyDescent="0.25">
      <c r="A32" s="12">
        <v>29</v>
      </c>
      <c r="C32" t="s">
        <v>362</v>
      </c>
      <c r="D32" t="str">
        <f t="shared" si="0"/>
        <v>union all  select item=29, shipno='PON', richan='24010-KN10D'</v>
      </c>
      <c r="E32" t="str">
        <f t="shared" si="1"/>
        <v>union all  select item=29, shipno='', richan='24010-KN10D'</v>
      </c>
    </row>
    <row r="33" spans="1:5" x14ac:dyDescent="0.25">
      <c r="A33" s="12">
        <v>30</v>
      </c>
      <c r="C33" t="s">
        <v>362</v>
      </c>
      <c r="D33" t="str">
        <f t="shared" si="0"/>
        <v>union all  select item=30, shipno='PON', richan='24010-KN10D'</v>
      </c>
      <c r="E33" t="str">
        <f t="shared" si="1"/>
        <v>union all  select item=30, shipno='', richan='24010-KN10D'</v>
      </c>
    </row>
    <row r="34" spans="1:5" x14ac:dyDescent="0.25">
      <c r="A34" s="12">
        <v>31</v>
      </c>
      <c r="C34" t="s">
        <v>362</v>
      </c>
      <c r="D34" t="str">
        <f t="shared" si="0"/>
        <v>union all  select item=31, shipno='PON', richan='24010-KN10D'</v>
      </c>
      <c r="E34" t="str">
        <f t="shared" si="1"/>
        <v>union all  select item=31, shipno='', richan='24010-KN10D'</v>
      </c>
    </row>
    <row r="35" spans="1:5" x14ac:dyDescent="0.25">
      <c r="A35" s="12">
        <v>32</v>
      </c>
      <c r="C35" t="s">
        <v>362</v>
      </c>
      <c r="D35" t="str">
        <f t="shared" si="0"/>
        <v>union all  select item=32, shipno='PON', richan='24010-KN10D'</v>
      </c>
      <c r="E35" t="str">
        <f t="shared" si="1"/>
        <v>union all  select item=32, shipno='', richan='24010-KN10D'</v>
      </c>
    </row>
    <row r="36" spans="1:5" x14ac:dyDescent="0.25">
      <c r="A36" s="12">
        <v>33</v>
      </c>
      <c r="C36" t="s">
        <v>362</v>
      </c>
      <c r="D36" t="str">
        <f t="shared" si="0"/>
        <v>union all  select item=33, shipno='PON', richan='24010-KN10D'</v>
      </c>
      <c r="E36" t="str">
        <f t="shared" si="1"/>
        <v>union all  select item=33, shipno='', richan='24010-KN10D'</v>
      </c>
    </row>
    <row r="37" spans="1:5" x14ac:dyDescent="0.25">
      <c r="A37" s="12">
        <v>34</v>
      </c>
      <c r="C37" t="s">
        <v>362</v>
      </c>
      <c r="D37" t="str">
        <f t="shared" si="0"/>
        <v>union all  select item=34, shipno='PON', richan='24010-KN10D'</v>
      </c>
      <c r="E37" t="str">
        <f t="shared" si="1"/>
        <v>union all  select item=34, shipno='', richan='24010-KN10D'</v>
      </c>
    </row>
    <row r="38" spans="1:5" x14ac:dyDescent="0.25">
      <c r="A38" s="12">
        <v>35</v>
      </c>
      <c r="C38" t="s">
        <v>362</v>
      </c>
      <c r="D38" t="str">
        <f t="shared" si="0"/>
        <v>union all  select item=35, shipno='PON', richan='24010-KN10D'</v>
      </c>
      <c r="E38" t="str">
        <f t="shared" si="1"/>
        <v>union all  select item=35, shipno='', richan='24010-KN10D'</v>
      </c>
    </row>
    <row r="39" spans="1:5" x14ac:dyDescent="0.25">
      <c r="A39" s="12">
        <v>36</v>
      </c>
      <c r="C39" t="s">
        <v>362</v>
      </c>
      <c r="D39" t="str">
        <f t="shared" si="0"/>
        <v>union all  select item=36, shipno='PON', richan='24010-KN10D'</v>
      </c>
      <c r="E39" t="str">
        <f t="shared" si="1"/>
        <v>union all  select item=36, shipno='', richan='24010-KN10D'</v>
      </c>
    </row>
    <row r="40" spans="1:5" x14ac:dyDescent="0.25">
      <c r="A40" s="12">
        <v>37</v>
      </c>
      <c r="C40" t="s">
        <v>363</v>
      </c>
      <c r="D40" t="str">
        <f t="shared" si="0"/>
        <v>union all  select item=37, shipno='PON', richan='24010-KN101'</v>
      </c>
      <c r="E40" t="str">
        <f t="shared" si="1"/>
        <v>union all  select item=37, shipno='', richan='24010-KN101'</v>
      </c>
    </row>
    <row r="41" spans="1:5" x14ac:dyDescent="0.25">
      <c r="A41" s="12">
        <v>38</v>
      </c>
      <c r="C41" t="s">
        <v>363</v>
      </c>
      <c r="D41" t="str">
        <f t="shared" si="0"/>
        <v>union all  select item=38, shipno='PON', richan='24010-KN101'</v>
      </c>
      <c r="E41" t="str">
        <f t="shared" si="1"/>
        <v>union all  select item=38, shipno='', richan='24010-KN101'</v>
      </c>
    </row>
    <row r="42" spans="1:5" x14ac:dyDescent="0.25">
      <c r="A42" s="12">
        <v>39</v>
      </c>
      <c r="C42" t="s">
        <v>363</v>
      </c>
      <c r="D42" t="str">
        <f t="shared" si="0"/>
        <v>union all  select item=39, shipno='PON', richan='24010-KN101'</v>
      </c>
      <c r="E42" t="str">
        <f t="shared" si="1"/>
        <v>union all  select item=39, shipno='', richan='24010-KN101'</v>
      </c>
    </row>
    <row r="43" spans="1:5" x14ac:dyDescent="0.25">
      <c r="A43" s="12">
        <v>40</v>
      </c>
      <c r="C43" t="s">
        <v>363</v>
      </c>
      <c r="D43" t="str">
        <f t="shared" si="0"/>
        <v>union all  select item=40, shipno='PON', richan='24010-KN101'</v>
      </c>
      <c r="E43" t="str">
        <f t="shared" si="1"/>
        <v>union all  select item=40, shipno='', richan='24010-KN101'</v>
      </c>
    </row>
    <row r="44" spans="1:5" x14ac:dyDescent="0.25">
      <c r="A44" s="12">
        <v>41</v>
      </c>
      <c r="C44" t="s">
        <v>363</v>
      </c>
      <c r="D44" t="str">
        <f t="shared" si="0"/>
        <v>union all  select item=41, shipno='PON', richan='24010-KN101'</v>
      </c>
      <c r="E44" t="str">
        <f t="shared" si="1"/>
        <v>union all  select item=41, shipno='', richan='24010-KN101'</v>
      </c>
    </row>
    <row r="45" spans="1:5" x14ac:dyDescent="0.25">
      <c r="A45" s="12">
        <v>42</v>
      </c>
      <c r="C45" t="s">
        <v>363</v>
      </c>
      <c r="D45" t="str">
        <f t="shared" si="0"/>
        <v>union all  select item=42, shipno='PON', richan='24010-KN101'</v>
      </c>
      <c r="E45" t="str">
        <f t="shared" si="1"/>
        <v>union all  select item=42, shipno='', richan='24010-KN101'</v>
      </c>
    </row>
    <row r="46" spans="1:5" x14ac:dyDescent="0.25">
      <c r="A46" s="12">
        <v>43</v>
      </c>
      <c r="C46" t="s">
        <v>363</v>
      </c>
      <c r="D46" t="str">
        <f t="shared" si="0"/>
        <v>union all  select item=43, shipno='PON', richan='24010-KN101'</v>
      </c>
      <c r="E46" t="str">
        <f t="shared" si="1"/>
        <v>union all  select item=43, shipno='', richan='24010-KN101'</v>
      </c>
    </row>
    <row r="47" spans="1:5" x14ac:dyDescent="0.25">
      <c r="A47" s="12">
        <v>44</v>
      </c>
      <c r="C47" t="s">
        <v>363</v>
      </c>
      <c r="D47" t="str">
        <f t="shared" si="0"/>
        <v>union all  select item=44, shipno='PON', richan='24010-KN101'</v>
      </c>
      <c r="E47" t="str">
        <f t="shared" si="1"/>
        <v>union all  select item=44, shipno='', richan='24010-KN101'</v>
      </c>
    </row>
    <row r="48" spans="1:5" x14ac:dyDescent="0.25">
      <c r="A48" s="12">
        <v>45</v>
      </c>
      <c r="C48" t="s">
        <v>363</v>
      </c>
      <c r="D48" t="str">
        <f t="shared" si="0"/>
        <v>union all  select item=45, shipno='PON', richan='24010-KN101'</v>
      </c>
      <c r="E48" t="str">
        <f t="shared" si="1"/>
        <v>union all  select item=45, shipno='', richan='24010-KN101'</v>
      </c>
    </row>
    <row r="49" spans="1:5" x14ac:dyDescent="0.25">
      <c r="A49" s="12">
        <v>46</v>
      </c>
      <c r="C49" t="s">
        <v>363</v>
      </c>
      <c r="D49" t="str">
        <f t="shared" si="0"/>
        <v>union all  select item=46, shipno='PON', richan='24010-KN101'</v>
      </c>
      <c r="E49" t="str">
        <f t="shared" si="1"/>
        <v>union all  select item=46, shipno='', richan='24010-KN101'</v>
      </c>
    </row>
    <row r="50" spans="1:5" x14ac:dyDescent="0.25">
      <c r="A50" s="12">
        <v>47</v>
      </c>
      <c r="C50" t="s">
        <v>363</v>
      </c>
      <c r="D50" t="str">
        <f t="shared" si="0"/>
        <v>union all  select item=47, shipno='PON', richan='24010-KN101'</v>
      </c>
      <c r="E50" t="str">
        <f t="shared" si="1"/>
        <v>union all  select item=47, shipno='', richan='24010-KN101'</v>
      </c>
    </row>
    <row r="51" spans="1:5" x14ac:dyDescent="0.25">
      <c r="A51" s="12">
        <v>48</v>
      </c>
      <c r="C51" t="s">
        <v>363</v>
      </c>
      <c r="D51" t="str">
        <f t="shared" si="0"/>
        <v>union all  select item=48, shipno='PON', richan='24010-KN101'</v>
      </c>
      <c r="E51" t="str">
        <f t="shared" si="1"/>
        <v>union all  select item=48, shipno='', richan='24010-KN101'</v>
      </c>
    </row>
    <row r="52" spans="1:5" x14ac:dyDescent="0.25">
      <c r="A52" s="12">
        <v>49</v>
      </c>
      <c r="C52" t="s">
        <v>364</v>
      </c>
      <c r="D52" t="str">
        <f t="shared" si="0"/>
        <v>union all  select item=49, shipno='PON', richan='24010-KN106'</v>
      </c>
      <c r="E52" t="str">
        <f t="shared" si="1"/>
        <v>union all  select item=49, shipno='', richan='24010-KN106'</v>
      </c>
    </row>
    <row r="53" spans="1:5" x14ac:dyDescent="0.25">
      <c r="A53" s="12">
        <v>50</v>
      </c>
      <c r="C53" t="s">
        <v>364</v>
      </c>
      <c r="D53" t="str">
        <f t="shared" si="0"/>
        <v>union all  select item=50, shipno='PON', richan='24010-KN106'</v>
      </c>
      <c r="E53" t="str">
        <f t="shared" si="1"/>
        <v>union all  select item=50, shipno='', richan='24010-KN106'</v>
      </c>
    </row>
    <row r="54" spans="1:5" x14ac:dyDescent="0.25">
      <c r="A54" s="12">
        <v>51</v>
      </c>
      <c r="C54" t="s">
        <v>364</v>
      </c>
      <c r="D54" t="str">
        <f t="shared" si="0"/>
        <v>union all  select item=51, shipno='PON', richan='24010-KN106'</v>
      </c>
      <c r="E54" t="str">
        <f t="shared" si="1"/>
        <v>union all  select item=51, shipno='', richan='24010-KN106'</v>
      </c>
    </row>
    <row r="55" spans="1:5" x14ac:dyDescent="0.25">
      <c r="A55" s="12">
        <v>52</v>
      </c>
      <c r="C55" t="s">
        <v>364</v>
      </c>
      <c r="D55" t="str">
        <f t="shared" si="0"/>
        <v>union all  select item=52, shipno='PON', richan='24010-KN106'</v>
      </c>
      <c r="E55" t="str">
        <f t="shared" si="1"/>
        <v>union all  select item=52, shipno='', richan='24010-KN106'</v>
      </c>
    </row>
    <row r="56" spans="1:5" x14ac:dyDescent="0.25">
      <c r="A56" s="12">
        <v>53</v>
      </c>
      <c r="C56" t="s">
        <v>365</v>
      </c>
      <c r="D56" t="str">
        <f t="shared" si="0"/>
        <v>union all  select item=53, shipno='PON', richan='24010-KN117'</v>
      </c>
      <c r="E56" t="str">
        <f t="shared" si="1"/>
        <v>union all  select item=53, shipno='', richan='24010-KN117'</v>
      </c>
    </row>
    <row r="57" spans="1:5" x14ac:dyDescent="0.25">
      <c r="A57" s="12">
        <v>54</v>
      </c>
      <c r="C57" t="s">
        <v>365</v>
      </c>
      <c r="D57" t="str">
        <f t="shared" si="0"/>
        <v>union all  select item=54, shipno='PON', richan='24010-KN117'</v>
      </c>
      <c r="E57" t="str">
        <f t="shared" si="1"/>
        <v>union all  select item=54, shipno='', richan='24010-KN117'</v>
      </c>
    </row>
    <row r="58" spans="1:5" x14ac:dyDescent="0.25">
      <c r="A58" s="12">
        <v>55</v>
      </c>
      <c r="C58" t="s">
        <v>365</v>
      </c>
      <c r="D58" t="str">
        <f t="shared" si="0"/>
        <v>union all  select item=55, shipno='PON', richan='24010-KN117'</v>
      </c>
      <c r="E58" t="str">
        <f t="shared" si="1"/>
        <v>union all  select item=55, shipno='', richan='24010-KN117'</v>
      </c>
    </row>
    <row r="59" spans="1:5" x14ac:dyDescent="0.25">
      <c r="A59" s="12">
        <v>56</v>
      </c>
      <c r="C59" t="s">
        <v>365</v>
      </c>
      <c r="D59" t="str">
        <f t="shared" si="0"/>
        <v>union all  select item=56, shipno='PON', richan='24010-KN117'</v>
      </c>
      <c r="E59" t="str">
        <f t="shared" si="1"/>
        <v>union all  select item=56, shipno='', richan='24010-KN117'</v>
      </c>
    </row>
    <row r="60" spans="1:5" x14ac:dyDescent="0.25">
      <c r="A60" s="12">
        <v>57</v>
      </c>
      <c r="C60" t="s">
        <v>365</v>
      </c>
      <c r="D60" t="str">
        <f t="shared" si="0"/>
        <v>union all  select item=57, shipno='PON', richan='24010-KN117'</v>
      </c>
      <c r="E60" t="str">
        <f t="shared" si="1"/>
        <v>union all  select item=57, shipno='', richan='24010-KN117'</v>
      </c>
    </row>
    <row r="61" spans="1:5" x14ac:dyDescent="0.25">
      <c r="A61" s="12">
        <v>58</v>
      </c>
      <c r="C61" t="s">
        <v>365</v>
      </c>
      <c r="D61" t="str">
        <f t="shared" si="0"/>
        <v>union all  select item=58, shipno='PON', richan='24010-KN117'</v>
      </c>
      <c r="E61" t="str">
        <f t="shared" si="1"/>
        <v>union all  select item=58, shipno='', richan='24010-KN117'</v>
      </c>
    </row>
    <row r="62" spans="1:5" x14ac:dyDescent="0.25">
      <c r="A62" s="12">
        <v>59</v>
      </c>
      <c r="C62" t="s">
        <v>366</v>
      </c>
      <c r="D62" t="str">
        <f t="shared" si="0"/>
        <v>union all  select item=59, shipno='PON', richan='24010-KN576'</v>
      </c>
      <c r="E62" t="str">
        <f t="shared" si="1"/>
        <v>union all  select item=59, shipno='', richan='24010-KN576'</v>
      </c>
    </row>
    <row r="63" spans="1:5" x14ac:dyDescent="0.25">
      <c r="A63" s="12">
        <v>61</v>
      </c>
      <c r="C63" t="s">
        <v>367</v>
      </c>
      <c r="D63" t="str">
        <f t="shared" si="0"/>
        <v>union all  select item=61, shipno='PON', richan='24010-KN574'</v>
      </c>
      <c r="E63" t="str">
        <f t="shared" si="1"/>
        <v>union all  select item=61, shipno='', richan='24010-KN574'</v>
      </c>
    </row>
    <row r="64" spans="1:5" x14ac:dyDescent="0.25">
      <c r="A64" s="12">
        <v>63</v>
      </c>
      <c r="C64" t="s">
        <v>368</v>
      </c>
      <c r="D64" t="str">
        <f t="shared" si="0"/>
        <v>union all  select item=63, shipno='PON', richan='2804A-KN102'</v>
      </c>
      <c r="E64" t="str">
        <f t="shared" si="1"/>
        <v>union all  select item=63, shipno='', richan='2804A-KN102'</v>
      </c>
    </row>
    <row r="65" spans="1:5" x14ac:dyDescent="0.25">
      <c r="A65" s="12">
        <v>64</v>
      </c>
      <c r="C65" t="s">
        <v>368</v>
      </c>
      <c r="D65" t="str">
        <f t="shared" si="0"/>
        <v>union all  select item=64, shipno='PON', richan='2804A-KN102'</v>
      </c>
      <c r="E65" t="str">
        <f t="shared" si="1"/>
        <v>union all  select item=64, shipno='', richan='2804A-KN102'</v>
      </c>
    </row>
    <row r="66" spans="1:5" x14ac:dyDescent="0.25">
      <c r="A66" s="12">
        <v>65</v>
      </c>
      <c r="C66" t="s">
        <v>368</v>
      </c>
      <c r="D66" t="str">
        <f t="shared" si="0"/>
        <v>union all  select item=65, shipno='PON', richan='2804A-KN102'</v>
      </c>
      <c r="E66" t="str">
        <f t="shared" si="1"/>
        <v>union all  select item=65, shipno='', richan='2804A-KN102'</v>
      </c>
    </row>
    <row r="67" spans="1:5" x14ac:dyDescent="0.25">
      <c r="A67" s="12">
        <v>66</v>
      </c>
      <c r="C67" t="s">
        <v>368</v>
      </c>
      <c r="D67" t="str">
        <f t="shared" si="0"/>
        <v>union all  select item=66, shipno='PON', richan='2804A-KN102'</v>
      </c>
      <c r="E67" t="str">
        <f t="shared" si="1"/>
        <v>union all  select item=66, shipno='', richan='2804A-KN102'</v>
      </c>
    </row>
    <row r="68" spans="1:5" x14ac:dyDescent="0.25">
      <c r="A68" s="12">
        <v>67</v>
      </c>
      <c r="C68" t="s">
        <v>368</v>
      </c>
      <c r="D68" t="str">
        <f t="shared" si="0"/>
        <v>union all  select item=67, shipno='PON', richan='2804A-KN102'</v>
      </c>
      <c r="E68" t="str">
        <f t="shared" si="1"/>
        <v>union all  select item=67, shipno='', richan='2804A-KN102'</v>
      </c>
    </row>
    <row r="69" spans="1:5" x14ac:dyDescent="0.25">
      <c r="A69" s="12">
        <v>68</v>
      </c>
      <c r="C69" t="s">
        <v>368</v>
      </c>
      <c r="D69" t="str">
        <f t="shared" si="0"/>
        <v>union all  select item=68, shipno='PON', richan='2804A-KN102'</v>
      </c>
      <c r="E69" t="str">
        <f t="shared" si="1"/>
        <v>union all  select item=68, shipno='', richan='2804A-KN102'</v>
      </c>
    </row>
    <row r="70" spans="1:5" x14ac:dyDescent="0.25">
      <c r="A70" s="12">
        <v>69</v>
      </c>
      <c r="C70" t="s">
        <v>368</v>
      </c>
      <c r="D70" t="str">
        <f t="shared" ref="D70:D133" si="2">"union all  select item=" &amp; A70 &amp; ", shipno='PON" &amp; B70 &amp; "', richan='" &amp; C70 &amp; "'"</f>
        <v>union all  select item=69, shipno='PON', richan='2804A-KN102'</v>
      </c>
      <c r="E70" t="str">
        <f t="shared" ref="E70:E133" si="3">"union all  select item=" &amp; A70 &amp; ", shipno='" &amp; B70 &amp; "', richan='" &amp; C70 &amp; "'"</f>
        <v>union all  select item=69, shipno='', richan='2804A-KN102'</v>
      </c>
    </row>
    <row r="71" spans="1:5" x14ac:dyDescent="0.25">
      <c r="A71" s="12">
        <v>70</v>
      </c>
      <c r="C71" t="s">
        <v>368</v>
      </c>
      <c r="D71" t="str">
        <f t="shared" si="2"/>
        <v>union all  select item=70, shipno='PON', richan='2804A-KN102'</v>
      </c>
      <c r="E71" t="str">
        <f t="shared" si="3"/>
        <v>union all  select item=70, shipno='', richan='2804A-KN102'</v>
      </c>
    </row>
    <row r="72" spans="1:5" x14ac:dyDescent="0.25">
      <c r="A72" s="12">
        <v>71</v>
      </c>
      <c r="C72" t="s">
        <v>368</v>
      </c>
      <c r="D72" t="str">
        <f t="shared" si="2"/>
        <v>union all  select item=71, shipno='PON', richan='2804A-KN102'</v>
      </c>
      <c r="E72" t="str">
        <f t="shared" si="3"/>
        <v>union all  select item=71, shipno='', richan='2804A-KN102'</v>
      </c>
    </row>
    <row r="73" spans="1:5" x14ac:dyDescent="0.25">
      <c r="A73" s="12">
        <v>72</v>
      </c>
      <c r="C73" t="s">
        <v>369</v>
      </c>
      <c r="D73" t="str">
        <f t="shared" si="2"/>
        <v>union all  select item=72, shipno='PON', richan='2804A-KN103'</v>
      </c>
      <c r="E73" t="str">
        <f t="shared" si="3"/>
        <v>union all  select item=72, shipno='', richan='2804A-KN103'</v>
      </c>
    </row>
    <row r="74" spans="1:5" x14ac:dyDescent="0.25">
      <c r="A74" s="12">
        <v>73</v>
      </c>
      <c r="C74" t="s">
        <v>369</v>
      </c>
      <c r="D74" t="str">
        <f t="shared" si="2"/>
        <v>union all  select item=73, shipno='PON', richan='2804A-KN103'</v>
      </c>
      <c r="E74" t="str">
        <f t="shared" si="3"/>
        <v>union all  select item=73, shipno='', richan='2804A-KN103'</v>
      </c>
    </row>
    <row r="75" spans="1:5" x14ac:dyDescent="0.25">
      <c r="A75" s="12">
        <v>74</v>
      </c>
      <c r="C75" t="s">
        <v>369</v>
      </c>
      <c r="D75" t="str">
        <f t="shared" si="2"/>
        <v>union all  select item=74, shipno='PON', richan='2804A-KN103'</v>
      </c>
      <c r="E75" t="str">
        <f t="shared" si="3"/>
        <v>union all  select item=74, shipno='', richan='2804A-KN103'</v>
      </c>
    </row>
    <row r="76" spans="1:5" x14ac:dyDescent="0.25">
      <c r="A76" s="12">
        <v>75</v>
      </c>
      <c r="C76" t="s">
        <v>369</v>
      </c>
      <c r="D76" t="str">
        <f t="shared" si="2"/>
        <v>union all  select item=75, shipno='PON', richan='2804A-KN103'</v>
      </c>
      <c r="E76" t="str">
        <f t="shared" si="3"/>
        <v>union all  select item=75, shipno='', richan='2804A-KN103'</v>
      </c>
    </row>
    <row r="77" spans="1:5" x14ac:dyDescent="0.25">
      <c r="A77" s="12">
        <v>76</v>
      </c>
      <c r="C77" t="s">
        <v>369</v>
      </c>
      <c r="D77" t="str">
        <f t="shared" si="2"/>
        <v>union all  select item=76, shipno='PON', richan='2804A-KN103'</v>
      </c>
      <c r="E77" t="str">
        <f t="shared" si="3"/>
        <v>union all  select item=76, shipno='', richan='2804A-KN103'</v>
      </c>
    </row>
    <row r="78" spans="1:5" x14ac:dyDescent="0.25">
      <c r="A78" s="12">
        <v>77</v>
      </c>
      <c r="C78" t="s">
        <v>369</v>
      </c>
      <c r="D78" t="str">
        <f t="shared" si="2"/>
        <v>union all  select item=77, shipno='PON', richan='2804A-KN103'</v>
      </c>
      <c r="E78" t="str">
        <f t="shared" si="3"/>
        <v>union all  select item=77, shipno='', richan='2804A-KN103'</v>
      </c>
    </row>
    <row r="79" spans="1:5" x14ac:dyDescent="0.25">
      <c r="A79" s="12">
        <v>78</v>
      </c>
      <c r="C79" t="s">
        <v>369</v>
      </c>
      <c r="D79" t="str">
        <f t="shared" si="2"/>
        <v>union all  select item=78, shipno='PON', richan='2804A-KN103'</v>
      </c>
      <c r="E79" t="str">
        <f t="shared" si="3"/>
        <v>union all  select item=78, shipno='', richan='2804A-KN103'</v>
      </c>
    </row>
    <row r="80" spans="1:5" x14ac:dyDescent="0.25">
      <c r="A80" s="12">
        <v>79</v>
      </c>
      <c r="C80" t="s">
        <v>369</v>
      </c>
      <c r="D80" t="str">
        <f t="shared" si="2"/>
        <v>union all  select item=79, shipno='PON', richan='2804A-KN103'</v>
      </c>
      <c r="E80" t="str">
        <f t="shared" si="3"/>
        <v>union all  select item=79, shipno='', richan='2804A-KN103'</v>
      </c>
    </row>
    <row r="81" spans="1:5" x14ac:dyDescent="0.25">
      <c r="A81" s="12">
        <v>80</v>
      </c>
      <c r="C81" t="s">
        <v>370</v>
      </c>
      <c r="D81" t="str">
        <f t="shared" si="2"/>
        <v>union all  select item=80, shipno='PON', richan='28216-KN211'</v>
      </c>
      <c r="E81" t="str">
        <f t="shared" si="3"/>
        <v>union all  select item=80, shipno='', richan='28216-KN211'</v>
      </c>
    </row>
    <row r="82" spans="1:5" x14ac:dyDescent="0.25">
      <c r="A82" s="12">
        <v>81</v>
      </c>
      <c r="C82" t="s">
        <v>370</v>
      </c>
      <c r="D82" t="str">
        <f t="shared" si="2"/>
        <v>union all  select item=81, shipno='PON', richan='28216-KN211'</v>
      </c>
      <c r="E82" t="str">
        <f t="shared" si="3"/>
        <v>union all  select item=81, shipno='', richan='28216-KN211'</v>
      </c>
    </row>
    <row r="83" spans="1:5" x14ac:dyDescent="0.25">
      <c r="A83" s="12">
        <v>82</v>
      </c>
      <c r="C83" t="s">
        <v>370</v>
      </c>
      <c r="D83" t="str">
        <f t="shared" si="2"/>
        <v>union all  select item=82, shipno='PON', richan='28216-KN211'</v>
      </c>
      <c r="E83" t="str">
        <f t="shared" si="3"/>
        <v>union all  select item=82, shipno='', richan='28216-KN211'</v>
      </c>
    </row>
    <row r="84" spans="1:5" x14ac:dyDescent="0.25">
      <c r="A84" s="12">
        <v>83</v>
      </c>
      <c r="C84" t="s">
        <v>370</v>
      </c>
      <c r="D84" t="str">
        <f t="shared" si="2"/>
        <v>union all  select item=83, shipno='PON', richan='28216-KN211'</v>
      </c>
      <c r="E84" t="str">
        <f t="shared" si="3"/>
        <v>union all  select item=83, shipno='', richan='28216-KN211'</v>
      </c>
    </row>
    <row r="85" spans="1:5" x14ac:dyDescent="0.25">
      <c r="A85" s="12">
        <v>84</v>
      </c>
      <c r="C85" t="s">
        <v>370</v>
      </c>
      <c r="D85" t="str">
        <f t="shared" si="2"/>
        <v>union all  select item=84, shipno='PON', richan='28216-KN211'</v>
      </c>
      <c r="E85" t="str">
        <f t="shared" si="3"/>
        <v>union all  select item=84, shipno='', richan='28216-KN211'</v>
      </c>
    </row>
    <row r="86" spans="1:5" x14ac:dyDescent="0.25">
      <c r="A86" s="12">
        <v>85</v>
      </c>
      <c r="C86" t="s">
        <v>370</v>
      </c>
      <c r="D86" t="str">
        <f t="shared" si="2"/>
        <v>union all  select item=85, shipno='PON', richan='28216-KN211'</v>
      </c>
      <c r="E86" t="str">
        <f t="shared" si="3"/>
        <v>union all  select item=85, shipno='', richan='28216-KN211'</v>
      </c>
    </row>
    <row r="87" spans="1:5" x14ac:dyDescent="0.25">
      <c r="A87" s="12">
        <v>86</v>
      </c>
      <c r="C87" t="s">
        <v>370</v>
      </c>
      <c r="D87" t="str">
        <f t="shared" si="2"/>
        <v>union all  select item=86, shipno='PON', richan='28216-KN211'</v>
      </c>
      <c r="E87" t="str">
        <f t="shared" si="3"/>
        <v>union all  select item=86, shipno='', richan='28216-KN211'</v>
      </c>
    </row>
    <row r="88" spans="1:5" x14ac:dyDescent="0.25">
      <c r="A88" s="12">
        <v>87</v>
      </c>
      <c r="C88" t="s">
        <v>370</v>
      </c>
      <c r="D88" t="str">
        <f t="shared" si="2"/>
        <v>union all  select item=87, shipno='PON', richan='28216-KN211'</v>
      </c>
      <c r="E88" t="str">
        <f t="shared" si="3"/>
        <v>union all  select item=87, shipno='', richan='28216-KN211'</v>
      </c>
    </row>
    <row r="89" spans="1:5" x14ac:dyDescent="0.25">
      <c r="A89" s="12">
        <v>88</v>
      </c>
      <c r="C89" t="s">
        <v>370</v>
      </c>
      <c r="D89" t="str">
        <f t="shared" si="2"/>
        <v>union all  select item=88, shipno='PON', richan='28216-KN211'</v>
      </c>
      <c r="E89" t="str">
        <f t="shared" si="3"/>
        <v>union all  select item=88, shipno='', richan='28216-KN211'</v>
      </c>
    </row>
    <row r="90" spans="1:5" x14ac:dyDescent="0.25">
      <c r="A90" s="12">
        <v>89</v>
      </c>
      <c r="C90" t="s">
        <v>371</v>
      </c>
      <c r="D90" t="str">
        <f t="shared" si="2"/>
        <v>union all  select item=89, shipno='PON', richan='28216-KN214'</v>
      </c>
      <c r="E90" t="str">
        <f t="shared" si="3"/>
        <v>union all  select item=89, shipno='', richan='28216-KN214'</v>
      </c>
    </row>
    <row r="91" spans="1:5" x14ac:dyDescent="0.25">
      <c r="A91" s="12">
        <v>90</v>
      </c>
      <c r="C91" t="s">
        <v>371</v>
      </c>
      <c r="D91" t="str">
        <f t="shared" si="2"/>
        <v>union all  select item=90, shipno='PON', richan='28216-KN214'</v>
      </c>
      <c r="E91" t="str">
        <f t="shared" si="3"/>
        <v>union all  select item=90, shipno='', richan='28216-KN214'</v>
      </c>
    </row>
    <row r="92" spans="1:5" x14ac:dyDescent="0.25">
      <c r="A92" s="12">
        <v>91</v>
      </c>
      <c r="C92" t="s">
        <v>371</v>
      </c>
      <c r="D92" t="str">
        <f t="shared" si="2"/>
        <v>union all  select item=91, shipno='PON', richan='28216-KN214'</v>
      </c>
      <c r="E92" t="str">
        <f t="shared" si="3"/>
        <v>union all  select item=91, shipno='', richan='28216-KN214'</v>
      </c>
    </row>
    <row r="93" spans="1:5" x14ac:dyDescent="0.25">
      <c r="A93" s="12">
        <v>92</v>
      </c>
      <c r="C93" t="s">
        <v>371</v>
      </c>
      <c r="D93" t="str">
        <f t="shared" si="2"/>
        <v>union all  select item=92, shipno='PON', richan='28216-KN214'</v>
      </c>
      <c r="E93" t="str">
        <f t="shared" si="3"/>
        <v>union all  select item=92, shipno='', richan='28216-KN214'</v>
      </c>
    </row>
    <row r="94" spans="1:5" x14ac:dyDescent="0.25">
      <c r="A94" s="12">
        <v>93</v>
      </c>
      <c r="C94" t="s">
        <v>371</v>
      </c>
      <c r="D94" t="str">
        <f t="shared" si="2"/>
        <v>union all  select item=93, shipno='PON', richan='28216-KN214'</v>
      </c>
      <c r="E94" t="str">
        <f t="shared" si="3"/>
        <v>union all  select item=93, shipno='', richan='28216-KN214'</v>
      </c>
    </row>
    <row r="95" spans="1:5" x14ac:dyDescent="0.25">
      <c r="A95" s="12">
        <v>94</v>
      </c>
      <c r="C95" t="s">
        <v>371</v>
      </c>
      <c r="D95" t="str">
        <f t="shared" si="2"/>
        <v>union all  select item=94, shipno='PON', richan='28216-KN214'</v>
      </c>
      <c r="E95" t="str">
        <f t="shared" si="3"/>
        <v>union all  select item=94, shipno='', richan='28216-KN214'</v>
      </c>
    </row>
    <row r="96" spans="1:5" x14ac:dyDescent="0.25">
      <c r="A96" s="12">
        <v>95</v>
      </c>
      <c r="C96" t="s">
        <v>371</v>
      </c>
      <c r="D96" t="str">
        <f t="shared" si="2"/>
        <v>union all  select item=95, shipno='PON', richan='28216-KN214'</v>
      </c>
      <c r="E96" t="str">
        <f t="shared" si="3"/>
        <v>union all  select item=95, shipno='', richan='28216-KN214'</v>
      </c>
    </row>
    <row r="97" spans="1:5" x14ac:dyDescent="0.25">
      <c r="A97" s="12">
        <v>96</v>
      </c>
      <c r="C97" t="s">
        <v>371</v>
      </c>
      <c r="D97" t="str">
        <f t="shared" si="2"/>
        <v>union all  select item=96, shipno='PON', richan='28216-KN214'</v>
      </c>
      <c r="E97" t="str">
        <f t="shared" si="3"/>
        <v>union all  select item=96, shipno='', richan='28216-KN214'</v>
      </c>
    </row>
    <row r="98" spans="1:5" x14ac:dyDescent="0.25">
      <c r="A98" s="12">
        <v>97</v>
      </c>
      <c r="C98" t="s">
        <v>371</v>
      </c>
      <c r="D98" t="str">
        <f t="shared" si="2"/>
        <v>union all  select item=97, shipno='PON', richan='28216-KN214'</v>
      </c>
      <c r="E98" t="str">
        <f t="shared" si="3"/>
        <v>union all  select item=97, shipno='', richan='28216-KN214'</v>
      </c>
    </row>
    <row r="99" spans="1:5" x14ac:dyDescent="0.25">
      <c r="A99" s="12">
        <v>98</v>
      </c>
      <c r="C99" t="s">
        <v>371</v>
      </c>
      <c r="D99" t="str">
        <f t="shared" si="2"/>
        <v>union all  select item=98, shipno='PON', richan='28216-KN214'</v>
      </c>
      <c r="E99" t="str">
        <f t="shared" si="3"/>
        <v>union all  select item=98, shipno='', richan='28216-KN214'</v>
      </c>
    </row>
    <row r="100" spans="1:5" x14ac:dyDescent="0.25">
      <c r="A100" s="12">
        <v>99</v>
      </c>
      <c r="C100" t="s">
        <v>372</v>
      </c>
      <c r="D100" t="str">
        <f t="shared" si="2"/>
        <v>union all  select item=99, shipno='PON', richan='28216-KN215'</v>
      </c>
      <c r="E100" t="str">
        <f t="shared" si="3"/>
        <v>union all  select item=99, shipno='', richan='28216-KN215'</v>
      </c>
    </row>
    <row r="101" spans="1:5" x14ac:dyDescent="0.25">
      <c r="A101" s="12">
        <v>100</v>
      </c>
      <c r="C101" t="s">
        <v>372</v>
      </c>
      <c r="D101" t="str">
        <f t="shared" si="2"/>
        <v>union all  select item=100, shipno='PON', richan='28216-KN215'</v>
      </c>
      <c r="E101" t="str">
        <f t="shared" si="3"/>
        <v>union all  select item=100, shipno='', richan='28216-KN215'</v>
      </c>
    </row>
    <row r="102" spans="1:5" x14ac:dyDescent="0.25">
      <c r="A102" s="12">
        <v>101</v>
      </c>
      <c r="C102" t="s">
        <v>372</v>
      </c>
      <c r="D102" t="str">
        <f t="shared" si="2"/>
        <v>union all  select item=101, shipno='PON', richan='28216-KN215'</v>
      </c>
      <c r="E102" t="str">
        <f t="shared" si="3"/>
        <v>union all  select item=101, shipno='', richan='28216-KN215'</v>
      </c>
    </row>
    <row r="103" spans="1:5" x14ac:dyDescent="0.25">
      <c r="A103" s="12">
        <v>102</v>
      </c>
      <c r="C103" t="s">
        <v>372</v>
      </c>
      <c r="D103" t="str">
        <f t="shared" si="2"/>
        <v>union all  select item=102, shipno='PON', richan='28216-KN215'</v>
      </c>
      <c r="E103" t="str">
        <f t="shared" si="3"/>
        <v>union all  select item=102, shipno='', richan='28216-KN215'</v>
      </c>
    </row>
    <row r="104" spans="1:5" x14ac:dyDescent="0.25">
      <c r="A104" s="12">
        <v>103</v>
      </c>
      <c r="C104" t="s">
        <v>372</v>
      </c>
      <c r="D104" t="str">
        <f t="shared" si="2"/>
        <v>union all  select item=103, shipno='PON', richan='28216-KN215'</v>
      </c>
      <c r="E104" t="str">
        <f t="shared" si="3"/>
        <v>union all  select item=103, shipno='', richan='28216-KN215'</v>
      </c>
    </row>
    <row r="105" spans="1:5" x14ac:dyDescent="0.25">
      <c r="A105" s="12">
        <v>104</v>
      </c>
      <c r="C105" t="s">
        <v>372</v>
      </c>
      <c r="D105" t="str">
        <f t="shared" si="2"/>
        <v>union all  select item=104, shipno='PON', richan='28216-KN215'</v>
      </c>
      <c r="E105" t="str">
        <f t="shared" si="3"/>
        <v>union all  select item=104, shipno='', richan='28216-KN215'</v>
      </c>
    </row>
    <row r="106" spans="1:5" x14ac:dyDescent="0.25">
      <c r="A106" s="12">
        <v>105</v>
      </c>
      <c r="C106" t="s">
        <v>372</v>
      </c>
      <c r="D106" t="str">
        <f t="shared" si="2"/>
        <v>union all  select item=105, shipno='PON', richan='28216-KN215'</v>
      </c>
      <c r="E106" t="str">
        <f t="shared" si="3"/>
        <v>union all  select item=105, shipno='', richan='28216-KN215'</v>
      </c>
    </row>
    <row r="107" spans="1:5" x14ac:dyDescent="0.25">
      <c r="A107" s="12">
        <v>106</v>
      </c>
      <c r="C107" t="s">
        <v>372</v>
      </c>
      <c r="D107" t="str">
        <f t="shared" si="2"/>
        <v>union all  select item=106, shipno='PON', richan='28216-KN215'</v>
      </c>
      <c r="E107" t="str">
        <f t="shared" si="3"/>
        <v>union all  select item=106, shipno='', richan='28216-KN215'</v>
      </c>
    </row>
    <row r="108" spans="1:5" x14ac:dyDescent="0.25">
      <c r="A108" s="12">
        <v>107</v>
      </c>
      <c r="C108" t="s">
        <v>372</v>
      </c>
      <c r="D108" t="str">
        <f t="shared" si="2"/>
        <v>union all  select item=107, shipno='PON', richan='28216-KN215'</v>
      </c>
      <c r="E108" t="str">
        <f t="shared" si="3"/>
        <v>union all  select item=107, shipno='', richan='28216-KN215'</v>
      </c>
    </row>
    <row r="109" spans="1:5" x14ac:dyDescent="0.25">
      <c r="A109" s="12">
        <v>108</v>
      </c>
      <c r="C109" t="s">
        <v>373</v>
      </c>
      <c r="D109" t="str">
        <f t="shared" si="2"/>
        <v>union all  select item=108, shipno='PON', richan='28216-KN224'</v>
      </c>
      <c r="E109" t="str">
        <f t="shared" si="3"/>
        <v>union all  select item=108, shipno='', richan='28216-KN224'</v>
      </c>
    </row>
    <row r="110" spans="1:5" x14ac:dyDescent="0.25">
      <c r="A110" s="12">
        <v>110</v>
      </c>
      <c r="C110" t="s">
        <v>374</v>
      </c>
      <c r="D110" t="str">
        <f t="shared" si="2"/>
        <v>union all  select item=110, shipno='PON', richan='24010-SN261'</v>
      </c>
      <c r="E110" t="str">
        <f t="shared" si="3"/>
        <v>union all  select item=110, shipno='', richan='24010-SN261'</v>
      </c>
    </row>
    <row r="111" spans="1:5" x14ac:dyDescent="0.25">
      <c r="A111" s="12">
        <v>111</v>
      </c>
      <c r="C111" t="s">
        <v>374</v>
      </c>
      <c r="D111" t="str">
        <f t="shared" si="2"/>
        <v>union all  select item=111, shipno='PON', richan='24010-SN261'</v>
      </c>
      <c r="E111" t="str">
        <f t="shared" si="3"/>
        <v>union all  select item=111, shipno='', richan='24010-SN261'</v>
      </c>
    </row>
    <row r="112" spans="1:5" x14ac:dyDescent="0.25">
      <c r="A112" s="12">
        <v>112</v>
      </c>
      <c r="C112" t="s">
        <v>375</v>
      </c>
      <c r="D112" t="str">
        <f t="shared" si="2"/>
        <v>union all  select item=112, shipno='PON', richan='24010-SN262'</v>
      </c>
      <c r="E112" t="str">
        <f t="shared" si="3"/>
        <v>union all  select item=112, shipno='', richan='24010-SN262'</v>
      </c>
    </row>
    <row r="113" spans="1:5" x14ac:dyDescent="0.25">
      <c r="A113" s="12">
        <v>113</v>
      </c>
      <c r="C113" t="s">
        <v>375</v>
      </c>
      <c r="D113" t="str">
        <f t="shared" si="2"/>
        <v>union all  select item=113, shipno='PON', richan='24010-SN262'</v>
      </c>
      <c r="E113" t="str">
        <f t="shared" si="3"/>
        <v>union all  select item=113, shipno='', richan='24010-SN262'</v>
      </c>
    </row>
    <row r="114" spans="1:5" x14ac:dyDescent="0.25">
      <c r="A114" s="12">
        <v>114</v>
      </c>
      <c r="C114" t="s">
        <v>375</v>
      </c>
      <c r="D114" t="str">
        <f t="shared" si="2"/>
        <v>union all  select item=114, shipno='PON', richan='24010-SN262'</v>
      </c>
      <c r="E114" t="str">
        <f t="shared" si="3"/>
        <v>union all  select item=114, shipno='', richan='24010-SN262'</v>
      </c>
    </row>
    <row r="115" spans="1:5" x14ac:dyDescent="0.25">
      <c r="A115" s="12">
        <v>115</v>
      </c>
      <c r="C115" t="s">
        <v>375</v>
      </c>
      <c r="D115" t="str">
        <f t="shared" si="2"/>
        <v>union all  select item=115, shipno='PON', richan='24010-SN262'</v>
      </c>
      <c r="E115" t="str">
        <f t="shared" si="3"/>
        <v>union all  select item=115, shipno='', richan='24010-SN262'</v>
      </c>
    </row>
    <row r="116" spans="1:5" x14ac:dyDescent="0.25">
      <c r="A116" s="12">
        <v>116</v>
      </c>
      <c r="C116" t="s">
        <v>375</v>
      </c>
      <c r="D116" t="str">
        <f t="shared" si="2"/>
        <v>union all  select item=116, shipno='PON', richan='24010-SN262'</v>
      </c>
      <c r="E116" t="str">
        <f t="shared" si="3"/>
        <v>union all  select item=116, shipno='', richan='24010-SN262'</v>
      </c>
    </row>
    <row r="117" spans="1:5" x14ac:dyDescent="0.25">
      <c r="A117" s="12">
        <v>117</v>
      </c>
      <c r="C117" t="s">
        <v>375</v>
      </c>
      <c r="D117" t="str">
        <f t="shared" si="2"/>
        <v>union all  select item=117, shipno='PON', richan='24010-SN262'</v>
      </c>
      <c r="E117" t="str">
        <f t="shared" si="3"/>
        <v>union all  select item=117, shipno='', richan='24010-SN262'</v>
      </c>
    </row>
    <row r="118" spans="1:5" x14ac:dyDescent="0.25">
      <c r="A118" s="12">
        <v>118</v>
      </c>
      <c r="C118" t="s">
        <v>376</v>
      </c>
      <c r="D118" t="str">
        <f t="shared" si="2"/>
        <v>union all  select item=118, shipno='PON', richan='24010-SN263'</v>
      </c>
      <c r="E118" t="str">
        <f t="shared" si="3"/>
        <v>union all  select item=118, shipno='', richan='24010-SN263'</v>
      </c>
    </row>
    <row r="119" spans="1:5" x14ac:dyDescent="0.25">
      <c r="A119" s="12">
        <v>119</v>
      </c>
      <c r="C119" t="s">
        <v>376</v>
      </c>
      <c r="D119" t="str">
        <f t="shared" si="2"/>
        <v>union all  select item=119, shipno='PON', richan='24010-SN263'</v>
      </c>
      <c r="E119" t="str">
        <f t="shared" si="3"/>
        <v>union all  select item=119, shipno='', richan='24010-SN263'</v>
      </c>
    </row>
    <row r="120" spans="1:5" x14ac:dyDescent="0.25">
      <c r="A120" s="12">
        <v>120</v>
      </c>
      <c r="C120" t="s">
        <v>376</v>
      </c>
      <c r="D120" t="str">
        <f t="shared" si="2"/>
        <v>union all  select item=120, shipno='PON', richan='24010-SN263'</v>
      </c>
      <c r="E120" t="str">
        <f t="shared" si="3"/>
        <v>union all  select item=120, shipno='', richan='24010-SN263'</v>
      </c>
    </row>
    <row r="121" spans="1:5" x14ac:dyDescent="0.25">
      <c r="A121" s="12">
        <v>121</v>
      </c>
      <c r="C121" t="s">
        <v>376</v>
      </c>
      <c r="D121" t="str">
        <f t="shared" si="2"/>
        <v>union all  select item=121, shipno='PON', richan='24010-SN263'</v>
      </c>
      <c r="E121" t="str">
        <f t="shared" si="3"/>
        <v>union all  select item=121, shipno='', richan='24010-SN263'</v>
      </c>
    </row>
    <row r="122" spans="1:5" x14ac:dyDescent="0.25">
      <c r="A122" s="12">
        <v>122</v>
      </c>
      <c r="C122" t="s">
        <v>376</v>
      </c>
      <c r="D122" t="str">
        <f t="shared" si="2"/>
        <v>union all  select item=122, shipno='PON', richan='24010-SN263'</v>
      </c>
      <c r="E122" t="str">
        <f t="shared" si="3"/>
        <v>union all  select item=122, shipno='', richan='24010-SN263'</v>
      </c>
    </row>
    <row r="123" spans="1:5" x14ac:dyDescent="0.25">
      <c r="A123" s="12">
        <v>123</v>
      </c>
      <c r="C123" t="s">
        <v>376</v>
      </c>
      <c r="D123" t="str">
        <f t="shared" si="2"/>
        <v>union all  select item=123, shipno='PON', richan='24010-SN263'</v>
      </c>
      <c r="E123" t="str">
        <f t="shared" si="3"/>
        <v>union all  select item=123, shipno='', richan='24010-SN263'</v>
      </c>
    </row>
    <row r="124" spans="1:5" x14ac:dyDescent="0.25">
      <c r="A124" s="12">
        <v>124</v>
      </c>
      <c r="C124" t="s">
        <v>377</v>
      </c>
      <c r="D124" t="str">
        <f t="shared" si="2"/>
        <v>union all  select item=124, shipno='PON', richan='24010-SN264'</v>
      </c>
      <c r="E124" t="str">
        <f t="shared" si="3"/>
        <v>union all  select item=124, shipno='', richan='24010-SN264'</v>
      </c>
    </row>
    <row r="125" spans="1:5" x14ac:dyDescent="0.25">
      <c r="A125" s="12">
        <v>125</v>
      </c>
      <c r="C125" t="s">
        <v>377</v>
      </c>
      <c r="D125" t="str">
        <f t="shared" si="2"/>
        <v>union all  select item=125, shipno='PON', richan='24010-SN264'</v>
      </c>
      <c r="E125" t="str">
        <f t="shared" si="3"/>
        <v>union all  select item=125, shipno='', richan='24010-SN264'</v>
      </c>
    </row>
    <row r="126" spans="1:5" x14ac:dyDescent="0.25">
      <c r="A126" s="12">
        <v>126</v>
      </c>
      <c r="C126" t="s">
        <v>378</v>
      </c>
      <c r="D126" t="str">
        <f t="shared" si="2"/>
        <v>union all  select item=126, shipno='PON', richan='24010-SN266'</v>
      </c>
      <c r="E126" t="str">
        <f t="shared" si="3"/>
        <v>union all  select item=126, shipno='', richan='24010-SN266'</v>
      </c>
    </row>
    <row r="127" spans="1:5" x14ac:dyDescent="0.25">
      <c r="A127" s="12">
        <v>128</v>
      </c>
      <c r="C127" t="s">
        <v>379</v>
      </c>
      <c r="D127" t="str">
        <f t="shared" si="2"/>
        <v>union all  select item=128, shipno='PON', richan='24010-SN26F'</v>
      </c>
      <c r="E127" t="str">
        <f t="shared" si="3"/>
        <v>union all  select item=128, shipno='', richan='24010-SN26F'</v>
      </c>
    </row>
    <row r="128" spans="1:5" x14ac:dyDescent="0.25">
      <c r="A128" s="12">
        <v>130</v>
      </c>
      <c r="C128" s="24" t="s">
        <v>380</v>
      </c>
      <c r="D128" t="str">
        <f t="shared" si="2"/>
        <v>union all  select item=130, shipno='PON', richan='2804A-SN101'</v>
      </c>
      <c r="E128" t="str">
        <f t="shared" si="3"/>
        <v>union all  select item=130, shipno='', richan='2804A-SN101'</v>
      </c>
    </row>
    <row r="129" spans="1:5" x14ac:dyDescent="0.25">
      <c r="A129" s="12">
        <v>131</v>
      </c>
      <c r="C129" t="s">
        <v>380</v>
      </c>
      <c r="D129" t="str">
        <f t="shared" si="2"/>
        <v>union all  select item=131, shipno='PON', richan='2804A-SN101'</v>
      </c>
      <c r="E129" t="str">
        <f t="shared" si="3"/>
        <v>union all  select item=131, shipno='', richan='2804A-SN101'</v>
      </c>
    </row>
    <row r="130" spans="1:5" x14ac:dyDescent="0.25">
      <c r="A130" s="12">
        <v>132</v>
      </c>
      <c r="C130" t="s">
        <v>381</v>
      </c>
      <c r="D130" t="str">
        <f t="shared" si="2"/>
        <v>union all  select item=132, shipno='PON', richan='2804A-SN102'</v>
      </c>
      <c r="E130" t="str">
        <f t="shared" si="3"/>
        <v>union all  select item=132, shipno='', richan='2804A-SN102'</v>
      </c>
    </row>
    <row r="131" spans="1:5" x14ac:dyDescent="0.25">
      <c r="A131" s="12">
        <v>134</v>
      </c>
      <c r="C131" t="s">
        <v>382</v>
      </c>
      <c r="D131" t="str">
        <f t="shared" si="2"/>
        <v>union all  select item=134, shipno='PON', richan='2804A-SN104'</v>
      </c>
      <c r="E131" t="str">
        <f t="shared" si="3"/>
        <v>union all  select item=134, shipno='', richan='2804A-SN104'</v>
      </c>
    </row>
    <row r="132" spans="1:5" x14ac:dyDescent="0.25">
      <c r="A132" s="12">
        <v>135</v>
      </c>
      <c r="C132" t="s">
        <v>382</v>
      </c>
      <c r="D132" t="str">
        <f t="shared" si="2"/>
        <v>union all  select item=135, shipno='PON', richan='2804A-SN104'</v>
      </c>
      <c r="E132" t="str">
        <f t="shared" si="3"/>
        <v>union all  select item=135, shipno='', richan='2804A-SN104'</v>
      </c>
    </row>
    <row r="133" spans="1:5" x14ac:dyDescent="0.25">
      <c r="A133" s="12">
        <v>136</v>
      </c>
      <c r="C133" t="s">
        <v>382</v>
      </c>
      <c r="D133" t="str">
        <f t="shared" si="2"/>
        <v>union all  select item=136, shipno='PON', richan='2804A-SN104'</v>
      </c>
      <c r="E133" t="str">
        <f t="shared" si="3"/>
        <v>union all  select item=136, shipno='', richan='2804A-SN104'</v>
      </c>
    </row>
    <row r="134" spans="1:5" x14ac:dyDescent="0.25">
      <c r="A134" s="12">
        <v>137</v>
      </c>
      <c r="C134" t="s">
        <v>383</v>
      </c>
      <c r="D134" t="str">
        <f t="shared" ref="D134:D197" si="4">"union all  select item=" &amp; A134 &amp; ", shipno='PON" &amp; B134 &amp; "', richan='" &amp; C134 &amp; "'"</f>
        <v>union all  select item=137, shipno='PON', richan='2804A-SN103'</v>
      </c>
      <c r="E134" t="str">
        <f t="shared" ref="E134:E197" si="5">"union all  select item=" &amp; A134 &amp; ", shipno='" &amp; B134 &amp; "', richan='" &amp; C134 &amp; "'"</f>
        <v>union all  select item=137, shipno='', richan='2804A-SN103'</v>
      </c>
    </row>
    <row r="135" spans="1:5" x14ac:dyDescent="0.25">
      <c r="A135" s="12">
        <v>139</v>
      </c>
      <c r="C135" t="s">
        <v>384</v>
      </c>
      <c r="D135" t="str">
        <f t="shared" si="4"/>
        <v>union all  select item=139, shipno='PON', richan='28216-SN206'</v>
      </c>
      <c r="E135" t="str">
        <f t="shared" si="5"/>
        <v>union all  select item=139, shipno='', richan='28216-SN206'</v>
      </c>
    </row>
    <row r="136" spans="1:5" x14ac:dyDescent="0.25">
      <c r="A136" s="12">
        <v>141</v>
      </c>
      <c r="C136" t="s">
        <v>385</v>
      </c>
      <c r="D136" t="str">
        <f t="shared" si="4"/>
        <v>union all  select item=141, shipno='PON', richan='28216-SN211'</v>
      </c>
      <c r="E136" t="str">
        <f t="shared" si="5"/>
        <v>union all  select item=141, shipno='', richan='28216-SN211'</v>
      </c>
    </row>
    <row r="137" spans="1:5" x14ac:dyDescent="0.25">
      <c r="A137" s="12">
        <v>142</v>
      </c>
      <c r="C137" t="s">
        <v>385</v>
      </c>
      <c r="D137" t="str">
        <f t="shared" si="4"/>
        <v>union all  select item=142, shipno='PON', richan='28216-SN211'</v>
      </c>
      <c r="E137" t="str">
        <f t="shared" si="5"/>
        <v>union all  select item=142, shipno='', richan='28216-SN211'</v>
      </c>
    </row>
    <row r="138" spans="1:5" x14ac:dyDescent="0.25">
      <c r="A138" s="12">
        <v>143</v>
      </c>
      <c r="C138" t="s">
        <v>386</v>
      </c>
      <c r="D138" t="str">
        <f t="shared" si="4"/>
        <v>union all  select item=143, shipno='PON', richan='28216-SN305'</v>
      </c>
      <c r="E138" t="str">
        <f t="shared" si="5"/>
        <v>union all  select item=143, shipno='', richan='28216-SN305'</v>
      </c>
    </row>
    <row r="139" spans="1:5" x14ac:dyDescent="0.25">
      <c r="A139" s="12">
        <v>144</v>
      </c>
      <c r="D139" t="str">
        <f t="shared" si="4"/>
        <v>union all  select item=144, shipno='PON', richan=''</v>
      </c>
      <c r="E139" t="str">
        <f t="shared" si="5"/>
        <v>union all  select item=144, shipno='', richan=''</v>
      </c>
    </row>
    <row r="140" spans="1:5" x14ac:dyDescent="0.25">
      <c r="A140" s="12">
        <v>145</v>
      </c>
      <c r="D140" t="str">
        <f t="shared" si="4"/>
        <v>union all  select item=145, shipno='PON', richan=''</v>
      </c>
      <c r="E140" t="str">
        <f t="shared" si="5"/>
        <v>union all  select item=145, shipno='', richan=''</v>
      </c>
    </row>
    <row r="141" spans="1:5" x14ac:dyDescent="0.25">
      <c r="A141" s="12">
        <v>146</v>
      </c>
      <c r="D141" t="str">
        <f t="shared" si="4"/>
        <v>union all  select item=146, shipno='PON', richan=''</v>
      </c>
      <c r="E141" t="str">
        <f t="shared" si="5"/>
        <v>union all  select item=146, shipno='', richan=''</v>
      </c>
    </row>
    <row r="142" spans="1:5" x14ac:dyDescent="0.25">
      <c r="A142" s="12">
        <v>147</v>
      </c>
      <c r="D142" t="str">
        <f t="shared" si="4"/>
        <v>union all  select item=147, shipno='PON', richan=''</v>
      </c>
      <c r="E142" t="str">
        <f t="shared" si="5"/>
        <v>union all  select item=147, shipno='', richan=''</v>
      </c>
    </row>
    <row r="143" spans="1:5" x14ac:dyDescent="0.25">
      <c r="A143" s="12">
        <v>148</v>
      </c>
      <c r="D143" t="str">
        <f t="shared" si="4"/>
        <v>union all  select item=148, shipno='PON', richan=''</v>
      </c>
      <c r="E143" t="str">
        <f t="shared" si="5"/>
        <v>union all  select item=148, shipno='', richan=''</v>
      </c>
    </row>
    <row r="144" spans="1:5" x14ac:dyDescent="0.25">
      <c r="A144" s="12">
        <v>149</v>
      </c>
      <c r="D144" t="str">
        <f t="shared" si="4"/>
        <v>union all  select item=149, shipno='PON', richan=''</v>
      </c>
      <c r="E144" t="str">
        <f t="shared" si="5"/>
        <v>union all  select item=149, shipno='', richan=''</v>
      </c>
    </row>
    <row r="145" spans="1:5" x14ac:dyDescent="0.25">
      <c r="A145" s="12">
        <v>150</v>
      </c>
      <c r="D145" t="str">
        <f t="shared" si="4"/>
        <v>union all  select item=150, shipno='PON', richan=''</v>
      </c>
      <c r="E145" t="str">
        <f t="shared" si="5"/>
        <v>union all  select item=150, shipno='', richan=''</v>
      </c>
    </row>
    <row r="146" spans="1:5" x14ac:dyDescent="0.25">
      <c r="A146" s="12">
        <v>151</v>
      </c>
      <c r="D146" t="str">
        <f t="shared" si="4"/>
        <v>union all  select item=151, shipno='PON', richan=''</v>
      </c>
      <c r="E146" t="str">
        <f t="shared" si="5"/>
        <v>union all  select item=151, shipno='', richan=''</v>
      </c>
    </row>
    <row r="147" spans="1:5" x14ac:dyDescent="0.25">
      <c r="A147" s="12">
        <v>152</v>
      </c>
      <c r="D147" t="str">
        <f t="shared" si="4"/>
        <v>union all  select item=152, shipno='PON', richan=''</v>
      </c>
      <c r="E147" t="str">
        <f t="shared" si="5"/>
        <v>union all  select item=152, shipno='', richan=''</v>
      </c>
    </row>
    <row r="148" spans="1:5" x14ac:dyDescent="0.25">
      <c r="A148" s="12">
        <v>153</v>
      </c>
      <c r="D148" t="str">
        <f t="shared" si="4"/>
        <v>union all  select item=153, shipno='PON', richan=''</v>
      </c>
      <c r="E148" t="str">
        <f t="shared" si="5"/>
        <v>union all  select item=153, shipno='', richan=''</v>
      </c>
    </row>
    <row r="149" spans="1:5" x14ac:dyDescent="0.25">
      <c r="A149" s="12">
        <v>154</v>
      </c>
      <c r="D149" t="str">
        <f t="shared" si="4"/>
        <v>union all  select item=154, shipno='PON', richan=''</v>
      </c>
      <c r="E149" t="str">
        <f t="shared" si="5"/>
        <v>union all  select item=154, shipno='', richan=''</v>
      </c>
    </row>
    <row r="150" spans="1:5" x14ac:dyDescent="0.25">
      <c r="A150" s="12">
        <v>155</v>
      </c>
      <c r="D150" t="str">
        <f t="shared" si="4"/>
        <v>union all  select item=155, shipno='PON', richan=''</v>
      </c>
      <c r="E150" t="str">
        <f t="shared" si="5"/>
        <v>union all  select item=155, shipno='', richan=''</v>
      </c>
    </row>
    <row r="151" spans="1:5" x14ac:dyDescent="0.25">
      <c r="A151" s="12">
        <v>156</v>
      </c>
      <c r="D151" t="str">
        <f t="shared" si="4"/>
        <v>union all  select item=156, shipno='PON', richan=''</v>
      </c>
      <c r="E151" t="str">
        <f t="shared" si="5"/>
        <v>union all  select item=156, shipno='', richan=''</v>
      </c>
    </row>
    <row r="152" spans="1:5" x14ac:dyDescent="0.25">
      <c r="A152" s="12">
        <v>157</v>
      </c>
      <c r="D152" t="str">
        <f t="shared" si="4"/>
        <v>union all  select item=157, shipno='PON', richan=''</v>
      </c>
      <c r="E152" t="str">
        <f t="shared" si="5"/>
        <v>union all  select item=157, shipno='', richan=''</v>
      </c>
    </row>
    <row r="153" spans="1:5" x14ac:dyDescent="0.25">
      <c r="A153" s="12">
        <v>158</v>
      </c>
      <c r="D153" t="str">
        <f t="shared" si="4"/>
        <v>union all  select item=158, shipno='PON', richan=''</v>
      </c>
      <c r="E153" t="str">
        <f t="shared" si="5"/>
        <v>union all  select item=158, shipno='', richan=''</v>
      </c>
    </row>
    <row r="154" spans="1:5" x14ac:dyDescent="0.25">
      <c r="A154" s="12">
        <v>159</v>
      </c>
      <c r="D154" t="str">
        <f t="shared" si="4"/>
        <v>union all  select item=159, shipno='PON', richan=''</v>
      </c>
      <c r="E154" t="str">
        <f t="shared" si="5"/>
        <v>union all  select item=159, shipno='', richan=''</v>
      </c>
    </row>
    <row r="155" spans="1:5" x14ac:dyDescent="0.25">
      <c r="A155" s="12">
        <v>160</v>
      </c>
      <c r="D155" t="str">
        <f t="shared" si="4"/>
        <v>union all  select item=160, shipno='PON', richan=''</v>
      </c>
      <c r="E155" t="str">
        <f t="shared" si="5"/>
        <v>union all  select item=160, shipno='', richan=''</v>
      </c>
    </row>
    <row r="156" spans="1:5" x14ac:dyDescent="0.25">
      <c r="A156" s="12">
        <v>161</v>
      </c>
      <c r="D156" t="str">
        <f t="shared" si="4"/>
        <v>union all  select item=161, shipno='PON', richan=''</v>
      </c>
      <c r="E156" t="str">
        <f t="shared" si="5"/>
        <v>union all  select item=161, shipno='', richan=''</v>
      </c>
    </row>
    <row r="157" spans="1:5" x14ac:dyDescent="0.25">
      <c r="A157" s="12">
        <v>162</v>
      </c>
      <c r="D157" t="str">
        <f t="shared" si="4"/>
        <v>union all  select item=162, shipno='PON', richan=''</v>
      </c>
      <c r="E157" t="str">
        <f t="shared" si="5"/>
        <v>union all  select item=162, shipno='', richan=''</v>
      </c>
    </row>
    <row r="158" spans="1:5" x14ac:dyDescent="0.25">
      <c r="A158" s="12">
        <v>163</v>
      </c>
      <c r="D158" t="str">
        <f t="shared" si="4"/>
        <v>union all  select item=163, shipno='PON', richan=''</v>
      </c>
      <c r="E158" t="str">
        <f t="shared" si="5"/>
        <v>union all  select item=163, shipno='', richan=''</v>
      </c>
    </row>
    <row r="159" spans="1:5" x14ac:dyDescent="0.25">
      <c r="A159" s="12">
        <v>164</v>
      </c>
      <c r="D159" t="str">
        <f t="shared" si="4"/>
        <v>union all  select item=164, shipno='PON', richan=''</v>
      </c>
      <c r="E159" t="str">
        <f t="shared" si="5"/>
        <v>union all  select item=164, shipno='', richan=''</v>
      </c>
    </row>
    <row r="160" spans="1:5" x14ac:dyDescent="0.25">
      <c r="A160" s="12">
        <v>165</v>
      </c>
      <c r="D160" t="str">
        <f t="shared" si="4"/>
        <v>union all  select item=165, shipno='PON', richan=''</v>
      </c>
      <c r="E160" t="str">
        <f t="shared" si="5"/>
        <v>union all  select item=165, shipno='', richan=''</v>
      </c>
    </row>
    <row r="161" spans="1:5" x14ac:dyDescent="0.25">
      <c r="A161" s="12">
        <v>166</v>
      </c>
      <c r="D161" t="str">
        <f t="shared" si="4"/>
        <v>union all  select item=166, shipno='PON', richan=''</v>
      </c>
      <c r="E161" t="str">
        <f t="shared" si="5"/>
        <v>union all  select item=166, shipno='', richan=''</v>
      </c>
    </row>
    <row r="162" spans="1:5" x14ac:dyDescent="0.25">
      <c r="A162" s="12">
        <v>167</v>
      </c>
      <c r="D162" t="str">
        <f t="shared" si="4"/>
        <v>union all  select item=167, shipno='PON', richan=''</v>
      </c>
      <c r="E162" t="str">
        <f t="shared" si="5"/>
        <v>union all  select item=167, shipno='', richan=''</v>
      </c>
    </row>
    <row r="163" spans="1:5" x14ac:dyDescent="0.25">
      <c r="A163" s="12">
        <v>168</v>
      </c>
      <c r="D163" t="str">
        <f t="shared" si="4"/>
        <v>union all  select item=168, shipno='PON', richan=''</v>
      </c>
      <c r="E163" t="str">
        <f t="shared" si="5"/>
        <v>union all  select item=168, shipno='', richan=''</v>
      </c>
    </row>
    <row r="164" spans="1:5" x14ac:dyDescent="0.25">
      <c r="A164" s="12">
        <v>169</v>
      </c>
      <c r="D164" t="str">
        <f t="shared" si="4"/>
        <v>union all  select item=169, shipno='PON', richan=''</v>
      </c>
      <c r="E164" t="str">
        <f t="shared" si="5"/>
        <v>union all  select item=169, shipno='', richan=''</v>
      </c>
    </row>
    <row r="165" spans="1:5" x14ac:dyDescent="0.25">
      <c r="A165" s="12">
        <v>170</v>
      </c>
      <c r="D165" t="str">
        <f t="shared" si="4"/>
        <v>union all  select item=170, shipno='PON', richan=''</v>
      </c>
      <c r="E165" t="str">
        <f t="shared" si="5"/>
        <v>union all  select item=170, shipno='', richan=''</v>
      </c>
    </row>
    <row r="166" spans="1:5" x14ac:dyDescent="0.25">
      <c r="A166" s="12">
        <v>171</v>
      </c>
      <c r="D166" t="str">
        <f t="shared" si="4"/>
        <v>union all  select item=171, shipno='PON', richan=''</v>
      </c>
      <c r="E166" t="str">
        <f t="shared" si="5"/>
        <v>union all  select item=171, shipno='', richan=''</v>
      </c>
    </row>
    <row r="167" spans="1:5" x14ac:dyDescent="0.25">
      <c r="A167" s="12">
        <v>172</v>
      </c>
      <c r="D167" t="str">
        <f t="shared" si="4"/>
        <v>union all  select item=172, shipno='PON', richan=''</v>
      </c>
      <c r="E167" t="str">
        <f t="shared" si="5"/>
        <v>union all  select item=172, shipno='', richan=''</v>
      </c>
    </row>
    <row r="168" spans="1:5" x14ac:dyDescent="0.25">
      <c r="A168" s="12">
        <v>173</v>
      </c>
      <c r="D168" t="str">
        <f t="shared" si="4"/>
        <v>union all  select item=173, shipno='PON', richan=''</v>
      </c>
      <c r="E168" t="str">
        <f t="shared" si="5"/>
        <v>union all  select item=173, shipno='', richan=''</v>
      </c>
    </row>
    <row r="169" spans="1:5" x14ac:dyDescent="0.25">
      <c r="A169" s="12">
        <v>174</v>
      </c>
      <c r="D169" t="str">
        <f t="shared" si="4"/>
        <v>union all  select item=174, shipno='PON', richan=''</v>
      </c>
      <c r="E169" t="str">
        <f t="shared" si="5"/>
        <v>union all  select item=174, shipno='', richan=''</v>
      </c>
    </row>
    <row r="170" spans="1:5" x14ac:dyDescent="0.25">
      <c r="A170" s="12">
        <v>175</v>
      </c>
      <c r="D170" t="str">
        <f t="shared" si="4"/>
        <v>union all  select item=175, shipno='PON', richan=''</v>
      </c>
      <c r="E170" t="str">
        <f t="shared" si="5"/>
        <v>union all  select item=175, shipno='', richan=''</v>
      </c>
    </row>
    <row r="171" spans="1:5" x14ac:dyDescent="0.25">
      <c r="A171" s="12">
        <v>176</v>
      </c>
      <c r="D171" t="str">
        <f t="shared" si="4"/>
        <v>union all  select item=176, shipno='PON', richan=''</v>
      </c>
      <c r="E171" t="str">
        <f t="shared" si="5"/>
        <v>union all  select item=176, shipno='', richan=''</v>
      </c>
    </row>
    <row r="172" spans="1:5" x14ac:dyDescent="0.25">
      <c r="A172" s="12">
        <v>177</v>
      </c>
      <c r="D172" t="str">
        <f t="shared" si="4"/>
        <v>union all  select item=177, shipno='PON', richan=''</v>
      </c>
      <c r="E172" t="str">
        <f t="shared" si="5"/>
        <v>union all  select item=177, shipno='', richan=''</v>
      </c>
    </row>
    <row r="173" spans="1:5" x14ac:dyDescent="0.25">
      <c r="A173" s="12">
        <v>178</v>
      </c>
      <c r="D173" t="str">
        <f t="shared" si="4"/>
        <v>union all  select item=178, shipno='PON', richan=''</v>
      </c>
      <c r="E173" t="str">
        <f t="shared" si="5"/>
        <v>union all  select item=178, shipno='', richan=''</v>
      </c>
    </row>
    <row r="174" spans="1:5" x14ac:dyDescent="0.25">
      <c r="A174" s="12">
        <v>179</v>
      </c>
      <c r="D174" t="str">
        <f t="shared" si="4"/>
        <v>union all  select item=179, shipno='PON', richan=''</v>
      </c>
      <c r="E174" t="str">
        <f t="shared" si="5"/>
        <v>union all  select item=179, shipno='', richan=''</v>
      </c>
    </row>
    <row r="175" spans="1:5" x14ac:dyDescent="0.25">
      <c r="A175" s="12">
        <v>180</v>
      </c>
      <c r="D175" t="str">
        <f t="shared" si="4"/>
        <v>union all  select item=180, shipno='PON', richan=''</v>
      </c>
      <c r="E175" t="str">
        <f t="shared" si="5"/>
        <v>union all  select item=180, shipno='', richan=''</v>
      </c>
    </row>
    <row r="176" spans="1:5" x14ac:dyDescent="0.25">
      <c r="A176" s="12">
        <v>181</v>
      </c>
      <c r="D176" t="str">
        <f t="shared" si="4"/>
        <v>union all  select item=181, shipno='PON', richan=''</v>
      </c>
      <c r="E176" t="str">
        <f t="shared" si="5"/>
        <v>union all  select item=181, shipno='', richan=''</v>
      </c>
    </row>
    <row r="177" spans="1:5" x14ac:dyDescent="0.25">
      <c r="A177" s="12">
        <v>182</v>
      </c>
      <c r="D177" t="str">
        <f t="shared" si="4"/>
        <v>union all  select item=182, shipno='PON', richan=''</v>
      </c>
      <c r="E177" t="str">
        <f t="shared" si="5"/>
        <v>union all  select item=182, shipno='', richan=''</v>
      </c>
    </row>
    <row r="178" spans="1:5" x14ac:dyDescent="0.25">
      <c r="A178" s="12">
        <v>183</v>
      </c>
      <c r="D178" t="str">
        <f t="shared" si="4"/>
        <v>union all  select item=183, shipno='PON', richan=''</v>
      </c>
      <c r="E178" t="str">
        <f t="shared" si="5"/>
        <v>union all  select item=183, shipno='', richan=''</v>
      </c>
    </row>
    <row r="179" spans="1:5" x14ac:dyDescent="0.25">
      <c r="A179" s="12">
        <v>184</v>
      </c>
      <c r="D179" t="str">
        <f t="shared" si="4"/>
        <v>union all  select item=184, shipno='PON', richan=''</v>
      </c>
      <c r="E179" t="str">
        <f t="shared" si="5"/>
        <v>union all  select item=184, shipno='', richan=''</v>
      </c>
    </row>
    <row r="180" spans="1:5" x14ac:dyDescent="0.25">
      <c r="A180" s="12">
        <v>185</v>
      </c>
      <c r="D180" t="str">
        <f t="shared" si="4"/>
        <v>union all  select item=185, shipno='PON', richan=''</v>
      </c>
      <c r="E180" t="str">
        <f t="shared" si="5"/>
        <v>union all  select item=185, shipno='', richan=''</v>
      </c>
    </row>
    <row r="181" spans="1:5" x14ac:dyDescent="0.25">
      <c r="A181" s="12">
        <v>186</v>
      </c>
      <c r="D181" t="str">
        <f t="shared" si="4"/>
        <v>union all  select item=186, shipno='PON', richan=''</v>
      </c>
      <c r="E181" t="str">
        <f t="shared" si="5"/>
        <v>union all  select item=186, shipno='', richan=''</v>
      </c>
    </row>
    <row r="182" spans="1:5" x14ac:dyDescent="0.25">
      <c r="A182" s="12">
        <v>187</v>
      </c>
      <c r="D182" t="str">
        <f t="shared" si="4"/>
        <v>union all  select item=187, shipno='PON', richan=''</v>
      </c>
      <c r="E182" t="str">
        <f t="shared" si="5"/>
        <v>union all  select item=187, shipno='', richan=''</v>
      </c>
    </row>
    <row r="183" spans="1:5" x14ac:dyDescent="0.25">
      <c r="A183" s="12">
        <v>188</v>
      </c>
      <c r="D183" t="str">
        <f t="shared" si="4"/>
        <v>union all  select item=188, shipno='PON', richan=''</v>
      </c>
      <c r="E183" t="str">
        <f t="shared" si="5"/>
        <v>union all  select item=188, shipno='', richan=''</v>
      </c>
    </row>
    <row r="184" spans="1:5" x14ac:dyDescent="0.25">
      <c r="A184" s="12">
        <v>189</v>
      </c>
      <c r="D184" t="str">
        <f t="shared" si="4"/>
        <v>union all  select item=189, shipno='PON', richan=''</v>
      </c>
      <c r="E184" t="str">
        <f t="shared" si="5"/>
        <v>union all  select item=189, shipno='', richan=''</v>
      </c>
    </row>
    <row r="185" spans="1:5" x14ac:dyDescent="0.25">
      <c r="A185" s="12">
        <v>190</v>
      </c>
      <c r="D185" t="str">
        <f t="shared" si="4"/>
        <v>union all  select item=190, shipno='PON', richan=''</v>
      </c>
      <c r="E185" t="str">
        <f t="shared" si="5"/>
        <v>union all  select item=190, shipno='', richan=''</v>
      </c>
    </row>
    <row r="186" spans="1:5" x14ac:dyDescent="0.25">
      <c r="A186" s="12">
        <v>191</v>
      </c>
      <c r="D186" t="str">
        <f t="shared" si="4"/>
        <v>union all  select item=191, shipno='PON', richan=''</v>
      </c>
      <c r="E186" t="str">
        <f t="shared" si="5"/>
        <v>union all  select item=191, shipno='', richan=''</v>
      </c>
    </row>
    <row r="187" spans="1:5" x14ac:dyDescent="0.25">
      <c r="A187" s="12">
        <v>192</v>
      </c>
      <c r="D187" t="str">
        <f t="shared" si="4"/>
        <v>union all  select item=192, shipno='PON', richan=''</v>
      </c>
      <c r="E187" t="str">
        <f t="shared" si="5"/>
        <v>union all  select item=192, shipno='', richan=''</v>
      </c>
    </row>
    <row r="188" spans="1:5" x14ac:dyDescent="0.25">
      <c r="A188" s="12">
        <v>193</v>
      </c>
      <c r="D188" t="str">
        <f t="shared" si="4"/>
        <v>union all  select item=193, shipno='PON', richan=''</v>
      </c>
      <c r="E188" t="str">
        <f t="shared" si="5"/>
        <v>union all  select item=193, shipno='', richan=''</v>
      </c>
    </row>
    <row r="189" spans="1:5" x14ac:dyDescent="0.25">
      <c r="A189" s="12">
        <v>194</v>
      </c>
      <c r="D189" t="str">
        <f t="shared" si="4"/>
        <v>union all  select item=194, shipno='PON', richan=''</v>
      </c>
      <c r="E189" t="str">
        <f t="shared" si="5"/>
        <v>union all  select item=194, shipno='', richan=''</v>
      </c>
    </row>
    <row r="190" spans="1:5" x14ac:dyDescent="0.25">
      <c r="A190" s="12">
        <v>195</v>
      </c>
      <c r="D190" t="str">
        <f t="shared" si="4"/>
        <v>union all  select item=195, shipno='PON', richan=''</v>
      </c>
      <c r="E190" t="str">
        <f t="shared" si="5"/>
        <v>union all  select item=195, shipno='', richan=''</v>
      </c>
    </row>
    <row r="191" spans="1:5" x14ac:dyDescent="0.25">
      <c r="A191" s="12">
        <v>196</v>
      </c>
      <c r="D191" t="str">
        <f t="shared" si="4"/>
        <v>union all  select item=196, shipno='PON', richan=''</v>
      </c>
      <c r="E191" t="str">
        <f t="shared" si="5"/>
        <v>union all  select item=196, shipno='', richan=''</v>
      </c>
    </row>
    <row r="192" spans="1:5" x14ac:dyDescent="0.25">
      <c r="A192" s="12">
        <v>197</v>
      </c>
      <c r="D192" t="str">
        <f t="shared" si="4"/>
        <v>union all  select item=197, shipno='PON', richan=''</v>
      </c>
      <c r="E192" t="str">
        <f t="shared" si="5"/>
        <v>union all  select item=197, shipno='', richan=''</v>
      </c>
    </row>
    <row r="193" spans="1:5" x14ac:dyDescent="0.25">
      <c r="A193" s="12">
        <v>198</v>
      </c>
      <c r="D193" t="str">
        <f t="shared" si="4"/>
        <v>union all  select item=198, shipno='PON', richan=''</v>
      </c>
      <c r="E193" t="str">
        <f t="shared" si="5"/>
        <v>union all  select item=198, shipno='', richan=''</v>
      </c>
    </row>
    <row r="194" spans="1:5" x14ac:dyDescent="0.25">
      <c r="A194" s="12">
        <v>199</v>
      </c>
      <c r="D194" t="str">
        <f t="shared" si="4"/>
        <v>union all  select item=199, shipno='PON', richan=''</v>
      </c>
      <c r="E194" t="str">
        <f t="shared" si="5"/>
        <v>union all  select item=199, shipno='', richan=''</v>
      </c>
    </row>
    <row r="195" spans="1:5" x14ac:dyDescent="0.25">
      <c r="A195" s="12">
        <v>200</v>
      </c>
      <c r="D195" t="str">
        <f t="shared" si="4"/>
        <v>union all  select item=200, shipno='PON', richan=''</v>
      </c>
      <c r="E195" t="str">
        <f t="shared" si="5"/>
        <v>union all  select item=200, shipno='', richan=''</v>
      </c>
    </row>
    <row r="196" spans="1:5" x14ac:dyDescent="0.25">
      <c r="A196" s="12">
        <v>201</v>
      </c>
      <c r="D196" t="str">
        <f t="shared" si="4"/>
        <v>union all  select item=201, shipno='PON', richan=''</v>
      </c>
      <c r="E196" t="str">
        <f t="shared" si="5"/>
        <v>union all  select item=201, shipno='', richan=''</v>
      </c>
    </row>
    <row r="197" spans="1:5" x14ac:dyDescent="0.25">
      <c r="A197" s="12">
        <v>202</v>
      </c>
      <c r="D197" t="str">
        <f t="shared" si="4"/>
        <v>union all  select item=202, shipno='PON', richan=''</v>
      </c>
      <c r="E197" t="str">
        <f t="shared" si="5"/>
        <v>union all  select item=202, shipno='', richan=''</v>
      </c>
    </row>
    <row r="198" spans="1:5" x14ac:dyDescent="0.25">
      <c r="A198" s="12">
        <v>203</v>
      </c>
      <c r="D198" t="str">
        <f t="shared" ref="D198:D261" si="6">"union all  select item=" &amp; A198 &amp; ", shipno='PON" &amp; B198 &amp; "', richan='" &amp; C198 &amp; "'"</f>
        <v>union all  select item=203, shipno='PON', richan=''</v>
      </c>
      <c r="E198" t="str">
        <f t="shared" ref="E198:E261" si="7">"union all  select item=" &amp; A198 &amp; ", shipno='" &amp; B198 &amp; "', richan='" &amp; C198 &amp; "'"</f>
        <v>union all  select item=203, shipno='', richan=''</v>
      </c>
    </row>
    <row r="199" spans="1:5" x14ac:dyDescent="0.25">
      <c r="A199" s="12">
        <v>204</v>
      </c>
      <c r="D199" t="str">
        <f t="shared" si="6"/>
        <v>union all  select item=204, shipno='PON', richan=''</v>
      </c>
      <c r="E199" t="str">
        <f t="shared" si="7"/>
        <v>union all  select item=204, shipno='', richan=''</v>
      </c>
    </row>
    <row r="200" spans="1:5" x14ac:dyDescent="0.25">
      <c r="A200" s="12">
        <v>205</v>
      </c>
      <c r="D200" t="str">
        <f t="shared" si="6"/>
        <v>union all  select item=205, shipno='PON', richan=''</v>
      </c>
      <c r="E200" t="str">
        <f t="shared" si="7"/>
        <v>union all  select item=205, shipno='', richan=''</v>
      </c>
    </row>
    <row r="201" spans="1:5" x14ac:dyDescent="0.25">
      <c r="A201" s="12">
        <v>206</v>
      </c>
      <c r="D201" t="str">
        <f t="shared" si="6"/>
        <v>union all  select item=206, shipno='PON', richan=''</v>
      </c>
      <c r="E201" t="str">
        <f t="shared" si="7"/>
        <v>union all  select item=206, shipno='', richan=''</v>
      </c>
    </row>
    <row r="202" spans="1:5" x14ac:dyDescent="0.25">
      <c r="A202" s="12">
        <v>207</v>
      </c>
      <c r="D202" t="str">
        <f t="shared" si="6"/>
        <v>union all  select item=207, shipno='PON', richan=''</v>
      </c>
      <c r="E202" t="str">
        <f t="shared" si="7"/>
        <v>union all  select item=207, shipno='', richan=''</v>
      </c>
    </row>
    <row r="203" spans="1:5" x14ac:dyDescent="0.25">
      <c r="A203" s="12">
        <v>208</v>
      </c>
      <c r="D203" t="str">
        <f t="shared" si="6"/>
        <v>union all  select item=208, shipno='PON', richan=''</v>
      </c>
      <c r="E203" t="str">
        <f t="shared" si="7"/>
        <v>union all  select item=208, shipno='', richan=''</v>
      </c>
    </row>
    <row r="204" spans="1:5" x14ac:dyDescent="0.25">
      <c r="A204" s="12">
        <v>209</v>
      </c>
      <c r="D204" t="str">
        <f t="shared" si="6"/>
        <v>union all  select item=209, shipno='PON', richan=''</v>
      </c>
      <c r="E204" t="str">
        <f t="shared" si="7"/>
        <v>union all  select item=209, shipno='', richan=''</v>
      </c>
    </row>
    <row r="205" spans="1:5" x14ac:dyDescent="0.25">
      <c r="A205" s="12">
        <v>210</v>
      </c>
      <c r="D205" t="str">
        <f t="shared" si="6"/>
        <v>union all  select item=210, shipno='PON', richan=''</v>
      </c>
      <c r="E205" t="str">
        <f t="shared" si="7"/>
        <v>union all  select item=210, shipno='', richan=''</v>
      </c>
    </row>
    <row r="206" spans="1:5" x14ac:dyDescent="0.25">
      <c r="A206" s="12">
        <v>211</v>
      </c>
      <c r="D206" t="str">
        <f t="shared" si="6"/>
        <v>union all  select item=211, shipno='PON', richan=''</v>
      </c>
      <c r="E206" t="str">
        <f t="shared" si="7"/>
        <v>union all  select item=211, shipno='', richan=''</v>
      </c>
    </row>
    <row r="207" spans="1:5" x14ac:dyDescent="0.25">
      <c r="A207" s="12">
        <v>212</v>
      </c>
      <c r="D207" t="str">
        <f t="shared" si="6"/>
        <v>union all  select item=212, shipno='PON', richan=''</v>
      </c>
      <c r="E207" t="str">
        <f t="shared" si="7"/>
        <v>union all  select item=212, shipno='', richan=''</v>
      </c>
    </row>
    <row r="208" spans="1:5" x14ac:dyDescent="0.25">
      <c r="A208" s="12">
        <v>213</v>
      </c>
      <c r="D208" t="str">
        <f t="shared" si="6"/>
        <v>union all  select item=213, shipno='PON', richan=''</v>
      </c>
      <c r="E208" t="str">
        <f t="shared" si="7"/>
        <v>union all  select item=213, shipno='', richan=''</v>
      </c>
    </row>
    <row r="209" spans="1:5" x14ac:dyDescent="0.25">
      <c r="A209" s="12">
        <v>214</v>
      </c>
      <c r="D209" t="str">
        <f t="shared" si="6"/>
        <v>union all  select item=214, shipno='PON', richan=''</v>
      </c>
      <c r="E209" t="str">
        <f t="shared" si="7"/>
        <v>union all  select item=214, shipno='', richan=''</v>
      </c>
    </row>
    <row r="210" spans="1:5" x14ac:dyDescent="0.25">
      <c r="A210" s="12">
        <v>215</v>
      </c>
      <c r="D210" t="str">
        <f t="shared" si="6"/>
        <v>union all  select item=215, shipno='PON', richan=''</v>
      </c>
      <c r="E210" t="str">
        <f t="shared" si="7"/>
        <v>union all  select item=215, shipno='', richan=''</v>
      </c>
    </row>
    <row r="211" spans="1:5" x14ac:dyDescent="0.25">
      <c r="A211" s="12">
        <v>216</v>
      </c>
      <c r="D211" t="str">
        <f t="shared" si="6"/>
        <v>union all  select item=216, shipno='PON', richan=''</v>
      </c>
      <c r="E211" t="str">
        <f t="shared" si="7"/>
        <v>union all  select item=216, shipno='', richan=''</v>
      </c>
    </row>
    <row r="212" spans="1:5" x14ac:dyDescent="0.25">
      <c r="A212" s="12">
        <v>217</v>
      </c>
      <c r="D212" t="str">
        <f t="shared" si="6"/>
        <v>union all  select item=217, shipno='PON', richan=''</v>
      </c>
      <c r="E212" t="str">
        <f t="shared" si="7"/>
        <v>union all  select item=217, shipno='', richan=''</v>
      </c>
    </row>
    <row r="213" spans="1:5" x14ac:dyDescent="0.25">
      <c r="A213" s="12">
        <v>218</v>
      </c>
      <c r="D213" t="str">
        <f t="shared" si="6"/>
        <v>union all  select item=218, shipno='PON', richan=''</v>
      </c>
      <c r="E213" t="str">
        <f t="shared" si="7"/>
        <v>union all  select item=218, shipno='', richan=''</v>
      </c>
    </row>
    <row r="214" spans="1:5" x14ac:dyDescent="0.25">
      <c r="A214" s="12">
        <v>219</v>
      </c>
      <c r="D214" t="str">
        <f t="shared" si="6"/>
        <v>union all  select item=219, shipno='PON', richan=''</v>
      </c>
      <c r="E214" t="str">
        <f t="shared" si="7"/>
        <v>union all  select item=219, shipno='', richan=''</v>
      </c>
    </row>
    <row r="215" spans="1:5" x14ac:dyDescent="0.25">
      <c r="A215" s="12">
        <v>220</v>
      </c>
      <c r="D215" t="str">
        <f t="shared" si="6"/>
        <v>union all  select item=220, shipno='PON', richan=''</v>
      </c>
      <c r="E215" t="str">
        <f t="shared" si="7"/>
        <v>union all  select item=220, shipno='', richan=''</v>
      </c>
    </row>
    <row r="216" spans="1:5" x14ac:dyDescent="0.25">
      <c r="A216" s="12">
        <v>221</v>
      </c>
      <c r="D216" t="str">
        <f t="shared" si="6"/>
        <v>union all  select item=221, shipno='PON', richan=''</v>
      </c>
      <c r="E216" t="str">
        <f t="shared" si="7"/>
        <v>union all  select item=221, shipno='', richan=''</v>
      </c>
    </row>
    <row r="217" spans="1:5" x14ac:dyDescent="0.25">
      <c r="A217" s="12">
        <v>222</v>
      </c>
      <c r="D217" t="str">
        <f t="shared" si="6"/>
        <v>union all  select item=222, shipno='PON', richan=''</v>
      </c>
      <c r="E217" t="str">
        <f t="shared" si="7"/>
        <v>union all  select item=222, shipno='', richan=''</v>
      </c>
    </row>
    <row r="218" spans="1:5" x14ac:dyDescent="0.25">
      <c r="A218" s="12">
        <v>223</v>
      </c>
      <c r="D218" t="str">
        <f t="shared" si="6"/>
        <v>union all  select item=223, shipno='PON', richan=''</v>
      </c>
      <c r="E218" t="str">
        <f t="shared" si="7"/>
        <v>union all  select item=223, shipno='', richan=''</v>
      </c>
    </row>
    <row r="219" spans="1:5" x14ac:dyDescent="0.25">
      <c r="A219" s="12">
        <v>224</v>
      </c>
      <c r="D219" t="str">
        <f t="shared" si="6"/>
        <v>union all  select item=224, shipno='PON', richan=''</v>
      </c>
      <c r="E219" t="str">
        <f t="shared" si="7"/>
        <v>union all  select item=224, shipno='', richan=''</v>
      </c>
    </row>
    <row r="220" spans="1:5" x14ac:dyDescent="0.25">
      <c r="A220" s="12">
        <v>225</v>
      </c>
      <c r="D220" t="str">
        <f t="shared" si="6"/>
        <v>union all  select item=225, shipno='PON', richan=''</v>
      </c>
      <c r="E220" t="str">
        <f t="shared" si="7"/>
        <v>union all  select item=225, shipno='', richan=''</v>
      </c>
    </row>
    <row r="221" spans="1:5" x14ac:dyDescent="0.25">
      <c r="A221" s="12">
        <v>226</v>
      </c>
      <c r="D221" t="str">
        <f t="shared" si="6"/>
        <v>union all  select item=226, shipno='PON', richan=''</v>
      </c>
      <c r="E221" t="str">
        <f t="shared" si="7"/>
        <v>union all  select item=226, shipno='', richan=''</v>
      </c>
    </row>
    <row r="222" spans="1:5" x14ac:dyDescent="0.25">
      <c r="A222" s="12">
        <v>227</v>
      </c>
      <c r="D222" t="str">
        <f t="shared" si="6"/>
        <v>union all  select item=227, shipno='PON', richan=''</v>
      </c>
      <c r="E222" t="str">
        <f t="shared" si="7"/>
        <v>union all  select item=227, shipno='', richan=''</v>
      </c>
    </row>
    <row r="223" spans="1:5" x14ac:dyDescent="0.25">
      <c r="A223" s="12">
        <v>228</v>
      </c>
      <c r="D223" t="str">
        <f t="shared" si="6"/>
        <v>union all  select item=228, shipno='PON', richan=''</v>
      </c>
      <c r="E223" t="str">
        <f t="shared" si="7"/>
        <v>union all  select item=228, shipno='', richan=''</v>
      </c>
    </row>
    <row r="224" spans="1:5" x14ac:dyDescent="0.25">
      <c r="A224" s="12">
        <v>229</v>
      </c>
      <c r="D224" t="str">
        <f t="shared" si="6"/>
        <v>union all  select item=229, shipno='PON', richan=''</v>
      </c>
      <c r="E224" t="str">
        <f t="shared" si="7"/>
        <v>union all  select item=229, shipno='', richan=''</v>
      </c>
    </row>
    <row r="225" spans="1:5" x14ac:dyDescent="0.25">
      <c r="A225" s="12">
        <v>230</v>
      </c>
      <c r="D225" t="str">
        <f t="shared" si="6"/>
        <v>union all  select item=230, shipno='PON', richan=''</v>
      </c>
      <c r="E225" t="str">
        <f t="shared" si="7"/>
        <v>union all  select item=230, shipno='', richan=''</v>
      </c>
    </row>
    <row r="226" spans="1:5" x14ac:dyDescent="0.25">
      <c r="A226" s="12">
        <v>231</v>
      </c>
      <c r="D226" t="str">
        <f t="shared" si="6"/>
        <v>union all  select item=231, shipno='PON', richan=''</v>
      </c>
      <c r="E226" t="str">
        <f t="shared" si="7"/>
        <v>union all  select item=231, shipno='', richan=''</v>
      </c>
    </row>
    <row r="227" spans="1:5" x14ac:dyDescent="0.25">
      <c r="A227" s="12">
        <v>232</v>
      </c>
      <c r="D227" t="str">
        <f t="shared" si="6"/>
        <v>union all  select item=232, shipno='PON', richan=''</v>
      </c>
      <c r="E227" t="str">
        <f t="shared" si="7"/>
        <v>union all  select item=232, shipno='', richan=''</v>
      </c>
    </row>
    <row r="228" spans="1:5" x14ac:dyDescent="0.25">
      <c r="A228" s="12">
        <v>233</v>
      </c>
      <c r="D228" t="str">
        <f t="shared" si="6"/>
        <v>union all  select item=233, shipno='PON', richan=''</v>
      </c>
      <c r="E228" t="str">
        <f t="shared" si="7"/>
        <v>union all  select item=233, shipno='', richan=''</v>
      </c>
    </row>
    <row r="229" spans="1:5" x14ac:dyDescent="0.25">
      <c r="A229" s="12">
        <v>234</v>
      </c>
      <c r="D229" t="str">
        <f t="shared" si="6"/>
        <v>union all  select item=234, shipno='PON', richan=''</v>
      </c>
      <c r="E229" t="str">
        <f t="shared" si="7"/>
        <v>union all  select item=234, shipno='', richan=''</v>
      </c>
    </row>
    <row r="230" spans="1:5" x14ac:dyDescent="0.25">
      <c r="A230" s="12">
        <v>235</v>
      </c>
      <c r="D230" t="str">
        <f t="shared" si="6"/>
        <v>union all  select item=235, shipno='PON', richan=''</v>
      </c>
      <c r="E230" t="str">
        <f t="shared" si="7"/>
        <v>union all  select item=235, shipno='', richan=''</v>
      </c>
    </row>
    <row r="231" spans="1:5" x14ac:dyDescent="0.25">
      <c r="A231" s="12">
        <v>236</v>
      </c>
      <c r="D231" t="str">
        <f t="shared" si="6"/>
        <v>union all  select item=236, shipno='PON', richan=''</v>
      </c>
      <c r="E231" t="str">
        <f t="shared" si="7"/>
        <v>union all  select item=236, shipno='', richan=''</v>
      </c>
    </row>
    <row r="232" spans="1:5" x14ac:dyDescent="0.25">
      <c r="A232" s="12">
        <v>237</v>
      </c>
      <c r="D232" t="str">
        <f t="shared" si="6"/>
        <v>union all  select item=237, shipno='PON', richan=''</v>
      </c>
      <c r="E232" t="str">
        <f t="shared" si="7"/>
        <v>union all  select item=237, shipno='', richan=''</v>
      </c>
    </row>
    <row r="233" spans="1:5" x14ac:dyDescent="0.25">
      <c r="A233" s="12">
        <v>238</v>
      </c>
      <c r="D233" t="str">
        <f t="shared" si="6"/>
        <v>union all  select item=238, shipno='PON', richan=''</v>
      </c>
      <c r="E233" t="str">
        <f t="shared" si="7"/>
        <v>union all  select item=238, shipno='', richan=''</v>
      </c>
    </row>
    <row r="234" spans="1:5" x14ac:dyDescent="0.25">
      <c r="A234" s="12">
        <v>239</v>
      </c>
      <c r="D234" t="str">
        <f t="shared" si="6"/>
        <v>union all  select item=239, shipno='PON', richan=''</v>
      </c>
      <c r="E234" t="str">
        <f t="shared" si="7"/>
        <v>union all  select item=239, shipno='', richan=''</v>
      </c>
    </row>
    <row r="235" spans="1:5" x14ac:dyDescent="0.25">
      <c r="A235" s="12">
        <v>240</v>
      </c>
      <c r="D235" t="str">
        <f t="shared" si="6"/>
        <v>union all  select item=240, shipno='PON', richan=''</v>
      </c>
      <c r="E235" t="str">
        <f t="shared" si="7"/>
        <v>union all  select item=240, shipno='', richan=''</v>
      </c>
    </row>
    <row r="236" spans="1:5" x14ac:dyDescent="0.25">
      <c r="A236" s="12">
        <v>241</v>
      </c>
      <c r="D236" t="str">
        <f t="shared" si="6"/>
        <v>union all  select item=241, shipno='PON', richan=''</v>
      </c>
      <c r="E236" t="str">
        <f t="shared" si="7"/>
        <v>union all  select item=241, shipno='', richan=''</v>
      </c>
    </row>
    <row r="237" spans="1:5" x14ac:dyDescent="0.25">
      <c r="A237" s="12">
        <v>242</v>
      </c>
      <c r="D237" t="str">
        <f t="shared" si="6"/>
        <v>union all  select item=242, shipno='PON', richan=''</v>
      </c>
      <c r="E237" t="str">
        <f t="shared" si="7"/>
        <v>union all  select item=242, shipno='', richan=''</v>
      </c>
    </row>
    <row r="238" spans="1:5" x14ac:dyDescent="0.25">
      <c r="A238" s="12">
        <v>243</v>
      </c>
      <c r="D238" t="str">
        <f t="shared" si="6"/>
        <v>union all  select item=243, shipno='PON', richan=''</v>
      </c>
      <c r="E238" t="str">
        <f t="shared" si="7"/>
        <v>union all  select item=243, shipno='', richan=''</v>
      </c>
    </row>
    <row r="239" spans="1:5" x14ac:dyDescent="0.25">
      <c r="A239" s="12">
        <v>244</v>
      </c>
      <c r="D239" t="str">
        <f t="shared" si="6"/>
        <v>union all  select item=244, shipno='PON', richan=''</v>
      </c>
      <c r="E239" t="str">
        <f t="shared" si="7"/>
        <v>union all  select item=244, shipno='', richan=''</v>
      </c>
    </row>
    <row r="240" spans="1:5" x14ac:dyDescent="0.25">
      <c r="A240" s="12">
        <v>245</v>
      </c>
      <c r="D240" t="str">
        <f t="shared" si="6"/>
        <v>union all  select item=245, shipno='PON', richan=''</v>
      </c>
      <c r="E240" t="str">
        <f t="shared" si="7"/>
        <v>union all  select item=245, shipno='', richan=''</v>
      </c>
    </row>
    <row r="241" spans="1:5" x14ac:dyDescent="0.25">
      <c r="A241" s="12">
        <v>246</v>
      </c>
      <c r="D241" t="str">
        <f t="shared" si="6"/>
        <v>union all  select item=246, shipno='PON', richan=''</v>
      </c>
      <c r="E241" t="str">
        <f t="shared" si="7"/>
        <v>union all  select item=246, shipno='', richan=''</v>
      </c>
    </row>
    <row r="242" spans="1:5" x14ac:dyDescent="0.25">
      <c r="A242" s="12">
        <v>247</v>
      </c>
      <c r="D242" t="str">
        <f t="shared" si="6"/>
        <v>union all  select item=247, shipno='PON', richan=''</v>
      </c>
      <c r="E242" t="str">
        <f t="shared" si="7"/>
        <v>union all  select item=247, shipno='', richan=''</v>
      </c>
    </row>
    <row r="243" spans="1:5" x14ac:dyDescent="0.25">
      <c r="A243" s="12">
        <v>248</v>
      </c>
      <c r="D243" t="str">
        <f t="shared" si="6"/>
        <v>union all  select item=248, shipno='PON', richan=''</v>
      </c>
      <c r="E243" t="str">
        <f t="shared" si="7"/>
        <v>union all  select item=248, shipno='', richan=''</v>
      </c>
    </row>
    <row r="244" spans="1:5" x14ac:dyDescent="0.25">
      <c r="A244" s="12">
        <v>249</v>
      </c>
      <c r="D244" t="str">
        <f t="shared" si="6"/>
        <v>union all  select item=249, shipno='PON', richan=''</v>
      </c>
      <c r="E244" t="str">
        <f t="shared" si="7"/>
        <v>union all  select item=249, shipno='', richan=''</v>
      </c>
    </row>
    <row r="245" spans="1:5" x14ac:dyDescent="0.25">
      <c r="A245" s="12">
        <v>250</v>
      </c>
      <c r="D245" t="str">
        <f t="shared" si="6"/>
        <v>union all  select item=250, shipno='PON', richan=''</v>
      </c>
      <c r="E245" t="str">
        <f t="shared" si="7"/>
        <v>union all  select item=250, shipno='', richan=''</v>
      </c>
    </row>
    <row r="246" spans="1:5" x14ac:dyDescent="0.25">
      <c r="A246" s="12">
        <v>251</v>
      </c>
      <c r="D246" t="str">
        <f t="shared" si="6"/>
        <v>union all  select item=251, shipno='PON', richan=''</v>
      </c>
      <c r="E246" t="str">
        <f t="shared" si="7"/>
        <v>union all  select item=251, shipno='', richan=''</v>
      </c>
    </row>
    <row r="247" spans="1:5" x14ac:dyDescent="0.25">
      <c r="A247" s="12">
        <v>252</v>
      </c>
      <c r="D247" t="str">
        <f t="shared" si="6"/>
        <v>union all  select item=252, shipno='PON', richan=''</v>
      </c>
      <c r="E247" t="str">
        <f t="shared" si="7"/>
        <v>union all  select item=252, shipno='', richan=''</v>
      </c>
    </row>
    <row r="248" spans="1:5" x14ac:dyDescent="0.25">
      <c r="A248" s="12">
        <v>253</v>
      </c>
      <c r="D248" t="str">
        <f t="shared" si="6"/>
        <v>union all  select item=253, shipno='PON', richan=''</v>
      </c>
      <c r="E248" t="str">
        <f t="shared" si="7"/>
        <v>union all  select item=253, shipno='', richan=''</v>
      </c>
    </row>
    <row r="249" spans="1:5" x14ac:dyDescent="0.25">
      <c r="A249" s="12">
        <v>254</v>
      </c>
      <c r="D249" t="str">
        <f t="shared" si="6"/>
        <v>union all  select item=254, shipno='PON', richan=''</v>
      </c>
      <c r="E249" t="str">
        <f t="shared" si="7"/>
        <v>union all  select item=254, shipno='', richan=''</v>
      </c>
    </row>
    <row r="250" spans="1:5" x14ac:dyDescent="0.25">
      <c r="A250" s="12">
        <v>255</v>
      </c>
      <c r="D250" t="str">
        <f t="shared" si="6"/>
        <v>union all  select item=255, shipno='PON', richan=''</v>
      </c>
      <c r="E250" t="str">
        <f t="shared" si="7"/>
        <v>union all  select item=255, shipno='', richan=''</v>
      </c>
    </row>
    <row r="251" spans="1:5" x14ac:dyDescent="0.25">
      <c r="A251" s="12">
        <v>256</v>
      </c>
      <c r="D251" t="str">
        <f t="shared" si="6"/>
        <v>union all  select item=256, shipno='PON', richan=''</v>
      </c>
      <c r="E251" t="str">
        <f t="shared" si="7"/>
        <v>union all  select item=256, shipno='', richan=''</v>
      </c>
    </row>
    <row r="252" spans="1:5" x14ac:dyDescent="0.25">
      <c r="A252" s="12">
        <v>257</v>
      </c>
      <c r="D252" t="str">
        <f t="shared" si="6"/>
        <v>union all  select item=257, shipno='PON', richan=''</v>
      </c>
      <c r="E252" t="str">
        <f t="shared" si="7"/>
        <v>union all  select item=257, shipno='', richan=''</v>
      </c>
    </row>
    <row r="253" spans="1:5" x14ac:dyDescent="0.25">
      <c r="A253" s="12">
        <v>258</v>
      </c>
      <c r="D253" t="str">
        <f t="shared" si="6"/>
        <v>union all  select item=258, shipno='PON', richan=''</v>
      </c>
      <c r="E253" t="str">
        <f t="shared" si="7"/>
        <v>union all  select item=258, shipno='', richan=''</v>
      </c>
    </row>
    <row r="254" spans="1:5" x14ac:dyDescent="0.25">
      <c r="A254" s="12">
        <v>259</v>
      </c>
      <c r="D254" t="str">
        <f t="shared" si="6"/>
        <v>union all  select item=259, shipno='PON', richan=''</v>
      </c>
      <c r="E254" t="str">
        <f t="shared" si="7"/>
        <v>union all  select item=259, shipno='', richan=''</v>
      </c>
    </row>
    <row r="255" spans="1:5" x14ac:dyDescent="0.25">
      <c r="A255" s="12">
        <v>260</v>
      </c>
      <c r="D255" t="str">
        <f t="shared" si="6"/>
        <v>union all  select item=260, shipno='PON', richan=''</v>
      </c>
      <c r="E255" t="str">
        <f t="shared" si="7"/>
        <v>union all  select item=260, shipno='', richan=''</v>
      </c>
    </row>
    <row r="256" spans="1:5" x14ac:dyDescent="0.25">
      <c r="A256" s="12">
        <v>261</v>
      </c>
      <c r="D256" t="str">
        <f t="shared" si="6"/>
        <v>union all  select item=261, shipno='PON', richan=''</v>
      </c>
      <c r="E256" t="str">
        <f t="shared" si="7"/>
        <v>union all  select item=261, shipno='', richan=''</v>
      </c>
    </row>
    <row r="257" spans="1:5" x14ac:dyDescent="0.25">
      <c r="A257" s="12">
        <v>262</v>
      </c>
      <c r="D257" t="str">
        <f t="shared" si="6"/>
        <v>union all  select item=262, shipno='PON', richan=''</v>
      </c>
      <c r="E257" t="str">
        <f t="shared" si="7"/>
        <v>union all  select item=262, shipno='', richan=''</v>
      </c>
    </row>
    <row r="258" spans="1:5" x14ac:dyDescent="0.25">
      <c r="A258" s="12">
        <v>263</v>
      </c>
      <c r="D258" t="str">
        <f t="shared" si="6"/>
        <v>union all  select item=263, shipno='PON', richan=''</v>
      </c>
      <c r="E258" t="str">
        <f t="shared" si="7"/>
        <v>union all  select item=263, shipno='', richan=''</v>
      </c>
    </row>
    <row r="259" spans="1:5" x14ac:dyDescent="0.25">
      <c r="A259" s="12">
        <v>264</v>
      </c>
      <c r="D259" t="str">
        <f t="shared" si="6"/>
        <v>union all  select item=264, shipno='PON', richan=''</v>
      </c>
      <c r="E259" t="str">
        <f t="shared" si="7"/>
        <v>union all  select item=264, shipno='', richan=''</v>
      </c>
    </row>
    <row r="260" spans="1:5" x14ac:dyDescent="0.25">
      <c r="A260" s="12">
        <v>265</v>
      </c>
      <c r="D260" t="str">
        <f t="shared" si="6"/>
        <v>union all  select item=265, shipno='PON', richan=''</v>
      </c>
      <c r="E260" t="str">
        <f t="shared" si="7"/>
        <v>union all  select item=265, shipno='', richan=''</v>
      </c>
    </row>
    <row r="261" spans="1:5" x14ac:dyDescent="0.25">
      <c r="A261" s="12">
        <v>266</v>
      </c>
      <c r="D261" t="str">
        <f t="shared" si="6"/>
        <v>union all  select item=266, shipno='PON', richan=''</v>
      </c>
      <c r="E261" t="str">
        <f t="shared" si="7"/>
        <v>union all  select item=266, shipno='', richan=''</v>
      </c>
    </row>
    <row r="262" spans="1:5" x14ac:dyDescent="0.25">
      <c r="A262" s="12">
        <v>267</v>
      </c>
      <c r="D262" t="str">
        <f t="shared" ref="D262:D308" si="8">"union all  select item=" &amp; A262 &amp; ", shipno='PON" &amp; B262 &amp; "', richan='" &amp; C262 &amp; "'"</f>
        <v>union all  select item=267, shipno='PON', richan=''</v>
      </c>
      <c r="E262" t="str">
        <f t="shared" ref="E262:E325" si="9">"union all  select item=" &amp; A262 &amp; ", shipno='" &amp; B262 &amp; "', richan='" &amp; C262 &amp; "'"</f>
        <v>union all  select item=267, shipno='', richan=''</v>
      </c>
    </row>
    <row r="263" spans="1:5" x14ac:dyDescent="0.25">
      <c r="A263" s="12">
        <v>268</v>
      </c>
      <c r="D263" t="str">
        <f t="shared" si="8"/>
        <v>union all  select item=268, shipno='PON', richan=''</v>
      </c>
      <c r="E263" t="str">
        <f t="shared" si="9"/>
        <v>union all  select item=268, shipno='', richan=''</v>
      </c>
    </row>
    <row r="264" spans="1:5" x14ac:dyDescent="0.25">
      <c r="A264" s="12">
        <v>269</v>
      </c>
      <c r="D264" t="str">
        <f t="shared" si="8"/>
        <v>union all  select item=269, shipno='PON', richan=''</v>
      </c>
      <c r="E264" t="str">
        <f t="shared" si="9"/>
        <v>union all  select item=269, shipno='', richan=''</v>
      </c>
    </row>
    <row r="265" spans="1:5" x14ac:dyDescent="0.25">
      <c r="A265" s="12">
        <v>270</v>
      </c>
      <c r="D265" t="str">
        <f t="shared" si="8"/>
        <v>union all  select item=270, shipno='PON', richan=''</v>
      </c>
      <c r="E265" t="str">
        <f t="shared" si="9"/>
        <v>union all  select item=270, shipno='', richan=''</v>
      </c>
    </row>
    <row r="266" spans="1:5" x14ac:dyDescent="0.25">
      <c r="A266" s="12">
        <v>271</v>
      </c>
      <c r="D266" t="str">
        <f t="shared" si="8"/>
        <v>union all  select item=271, shipno='PON', richan=''</v>
      </c>
      <c r="E266" t="str">
        <f t="shared" si="9"/>
        <v>union all  select item=271, shipno='', richan=''</v>
      </c>
    </row>
    <row r="267" spans="1:5" x14ac:dyDescent="0.25">
      <c r="A267" s="12">
        <v>272</v>
      </c>
      <c r="D267" t="str">
        <f t="shared" si="8"/>
        <v>union all  select item=272, shipno='PON', richan=''</v>
      </c>
      <c r="E267" t="str">
        <f t="shared" si="9"/>
        <v>union all  select item=272, shipno='', richan=''</v>
      </c>
    </row>
    <row r="268" spans="1:5" x14ac:dyDescent="0.25">
      <c r="A268" s="12">
        <v>273</v>
      </c>
      <c r="D268" t="str">
        <f t="shared" si="8"/>
        <v>union all  select item=273, shipno='PON', richan=''</v>
      </c>
      <c r="E268" t="str">
        <f t="shared" si="9"/>
        <v>union all  select item=273, shipno='', richan=''</v>
      </c>
    </row>
    <row r="269" spans="1:5" x14ac:dyDescent="0.25">
      <c r="A269" s="12">
        <v>274</v>
      </c>
      <c r="D269" t="str">
        <f t="shared" si="8"/>
        <v>union all  select item=274, shipno='PON', richan=''</v>
      </c>
      <c r="E269" t="str">
        <f t="shared" si="9"/>
        <v>union all  select item=274, shipno='', richan=''</v>
      </c>
    </row>
    <row r="270" spans="1:5" x14ac:dyDescent="0.25">
      <c r="A270" s="12">
        <v>275</v>
      </c>
      <c r="D270" t="str">
        <f t="shared" si="8"/>
        <v>union all  select item=275, shipno='PON', richan=''</v>
      </c>
      <c r="E270" t="str">
        <f t="shared" si="9"/>
        <v>union all  select item=275, shipno='', richan=''</v>
      </c>
    </row>
    <row r="271" spans="1:5" x14ac:dyDescent="0.25">
      <c r="A271" s="12">
        <v>276</v>
      </c>
      <c r="D271" t="str">
        <f t="shared" si="8"/>
        <v>union all  select item=276, shipno='PON', richan=''</v>
      </c>
      <c r="E271" t="str">
        <f t="shared" si="9"/>
        <v>union all  select item=276, shipno='', richan=''</v>
      </c>
    </row>
    <row r="272" spans="1:5" x14ac:dyDescent="0.25">
      <c r="A272" s="12">
        <v>277</v>
      </c>
      <c r="D272" t="str">
        <f t="shared" si="8"/>
        <v>union all  select item=277, shipno='PON', richan=''</v>
      </c>
      <c r="E272" t="str">
        <f t="shared" si="9"/>
        <v>union all  select item=277, shipno='', richan=''</v>
      </c>
    </row>
    <row r="273" spans="1:5" x14ac:dyDescent="0.25">
      <c r="A273" s="12">
        <v>278</v>
      </c>
      <c r="D273" t="str">
        <f t="shared" si="8"/>
        <v>union all  select item=278, shipno='PON', richan=''</v>
      </c>
      <c r="E273" t="str">
        <f t="shared" si="9"/>
        <v>union all  select item=278, shipno='', richan=''</v>
      </c>
    </row>
    <row r="274" spans="1:5" x14ac:dyDescent="0.25">
      <c r="A274" s="12">
        <v>279</v>
      </c>
      <c r="D274" t="str">
        <f t="shared" si="8"/>
        <v>union all  select item=279, shipno='PON', richan=''</v>
      </c>
      <c r="E274" t="str">
        <f t="shared" si="9"/>
        <v>union all  select item=279, shipno='', richan=''</v>
      </c>
    </row>
    <row r="275" spans="1:5" x14ac:dyDescent="0.25">
      <c r="A275" s="12">
        <v>280</v>
      </c>
      <c r="D275" t="str">
        <f t="shared" si="8"/>
        <v>union all  select item=280, shipno='PON', richan=''</v>
      </c>
      <c r="E275" t="str">
        <f t="shared" si="9"/>
        <v>union all  select item=280, shipno='', richan=''</v>
      </c>
    </row>
    <row r="276" spans="1:5" x14ac:dyDescent="0.25">
      <c r="A276" s="12">
        <v>281</v>
      </c>
      <c r="D276" t="str">
        <f t="shared" si="8"/>
        <v>union all  select item=281, shipno='PON', richan=''</v>
      </c>
      <c r="E276" t="str">
        <f t="shared" si="9"/>
        <v>union all  select item=281, shipno='', richan=''</v>
      </c>
    </row>
    <row r="277" spans="1:5" x14ac:dyDescent="0.25">
      <c r="A277" s="12">
        <v>282</v>
      </c>
      <c r="D277" t="str">
        <f t="shared" si="8"/>
        <v>union all  select item=282, shipno='PON', richan=''</v>
      </c>
      <c r="E277" t="str">
        <f t="shared" si="9"/>
        <v>union all  select item=282, shipno='', richan=''</v>
      </c>
    </row>
    <row r="278" spans="1:5" x14ac:dyDescent="0.25">
      <c r="A278" s="12">
        <v>283</v>
      </c>
      <c r="D278" t="str">
        <f t="shared" si="8"/>
        <v>union all  select item=283, shipno='PON', richan=''</v>
      </c>
      <c r="E278" t="str">
        <f t="shared" si="9"/>
        <v>union all  select item=283, shipno='', richan=''</v>
      </c>
    </row>
    <row r="279" spans="1:5" x14ac:dyDescent="0.25">
      <c r="A279" s="12">
        <v>284</v>
      </c>
      <c r="D279" t="str">
        <f t="shared" si="8"/>
        <v>union all  select item=284, shipno='PON', richan=''</v>
      </c>
      <c r="E279" t="str">
        <f t="shared" si="9"/>
        <v>union all  select item=284, shipno='', richan=''</v>
      </c>
    </row>
    <row r="280" spans="1:5" x14ac:dyDescent="0.25">
      <c r="A280" s="12">
        <v>285</v>
      </c>
      <c r="D280" t="str">
        <f t="shared" si="8"/>
        <v>union all  select item=285, shipno='PON', richan=''</v>
      </c>
      <c r="E280" t="str">
        <f t="shared" si="9"/>
        <v>union all  select item=285, shipno='', richan=''</v>
      </c>
    </row>
    <row r="281" spans="1:5" x14ac:dyDescent="0.25">
      <c r="A281" s="12">
        <v>286</v>
      </c>
      <c r="D281" t="str">
        <f t="shared" si="8"/>
        <v>union all  select item=286, shipno='PON', richan=''</v>
      </c>
      <c r="E281" t="str">
        <f t="shared" si="9"/>
        <v>union all  select item=286, shipno='', richan=''</v>
      </c>
    </row>
    <row r="282" spans="1:5" x14ac:dyDescent="0.25">
      <c r="A282" s="12">
        <v>287</v>
      </c>
      <c r="D282" t="str">
        <f t="shared" si="8"/>
        <v>union all  select item=287, shipno='PON', richan=''</v>
      </c>
      <c r="E282" t="str">
        <f t="shared" si="9"/>
        <v>union all  select item=287, shipno='', richan=''</v>
      </c>
    </row>
    <row r="283" spans="1:5" x14ac:dyDescent="0.25">
      <c r="A283" s="12">
        <v>288</v>
      </c>
      <c r="D283" t="str">
        <f t="shared" si="8"/>
        <v>union all  select item=288, shipno='PON', richan=''</v>
      </c>
      <c r="E283" t="str">
        <f t="shared" si="9"/>
        <v>union all  select item=288, shipno='', richan=''</v>
      </c>
    </row>
    <row r="284" spans="1:5" x14ac:dyDescent="0.25">
      <c r="A284" s="12">
        <v>289</v>
      </c>
      <c r="D284" t="str">
        <f t="shared" si="8"/>
        <v>union all  select item=289, shipno='PON', richan=''</v>
      </c>
      <c r="E284" t="str">
        <f t="shared" si="9"/>
        <v>union all  select item=289, shipno='', richan=''</v>
      </c>
    </row>
    <row r="285" spans="1:5" x14ac:dyDescent="0.25">
      <c r="A285" s="12">
        <v>290</v>
      </c>
      <c r="D285" t="str">
        <f t="shared" si="8"/>
        <v>union all  select item=290, shipno='PON', richan=''</v>
      </c>
      <c r="E285" t="str">
        <f t="shared" si="9"/>
        <v>union all  select item=290, shipno='', richan=''</v>
      </c>
    </row>
    <row r="286" spans="1:5" x14ac:dyDescent="0.25">
      <c r="A286" s="12">
        <v>291</v>
      </c>
      <c r="D286" t="str">
        <f t="shared" si="8"/>
        <v>union all  select item=291, shipno='PON', richan=''</v>
      </c>
      <c r="E286" t="str">
        <f t="shared" si="9"/>
        <v>union all  select item=291, shipno='', richan=''</v>
      </c>
    </row>
    <row r="287" spans="1:5" x14ac:dyDescent="0.25">
      <c r="A287" s="12">
        <v>292</v>
      </c>
      <c r="D287" t="str">
        <f t="shared" si="8"/>
        <v>union all  select item=292, shipno='PON', richan=''</v>
      </c>
      <c r="E287" t="str">
        <f t="shared" si="9"/>
        <v>union all  select item=292, shipno='', richan=''</v>
      </c>
    </row>
    <row r="288" spans="1:5" x14ac:dyDescent="0.25">
      <c r="A288" s="12">
        <v>293</v>
      </c>
      <c r="D288" t="str">
        <f t="shared" si="8"/>
        <v>union all  select item=293, shipno='PON', richan=''</v>
      </c>
      <c r="E288" t="str">
        <f t="shared" si="9"/>
        <v>union all  select item=293, shipno='', richan=''</v>
      </c>
    </row>
    <row r="289" spans="1:5" x14ac:dyDescent="0.25">
      <c r="A289" s="12">
        <v>294</v>
      </c>
      <c r="D289" t="str">
        <f t="shared" si="8"/>
        <v>union all  select item=294, shipno='PON', richan=''</v>
      </c>
      <c r="E289" t="str">
        <f t="shared" si="9"/>
        <v>union all  select item=294, shipno='', richan=''</v>
      </c>
    </row>
    <row r="290" spans="1:5" x14ac:dyDescent="0.25">
      <c r="A290" s="12">
        <v>295</v>
      </c>
      <c r="D290" t="str">
        <f t="shared" si="8"/>
        <v>union all  select item=295, shipno='PON', richan=''</v>
      </c>
      <c r="E290" t="str">
        <f t="shared" si="9"/>
        <v>union all  select item=295, shipno='', richan=''</v>
      </c>
    </row>
    <row r="291" spans="1:5" x14ac:dyDescent="0.25">
      <c r="A291" s="12">
        <v>296</v>
      </c>
      <c r="D291" t="str">
        <f t="shared" si="8"/>
        <v>union all  select item=296, shipno='PON', richan=''</v>
      </c>
      <c r="E291" t="str">
        <f t="shared" si="9"/>
        <v>union all  select item=296, shipno='', richan=''</v>
      </c>
    </row>
    <row r="292" spans="1:5" x14ac:dyDescent="0.25">
      <c r="A292" s="12">
        <v>297</v>
      </c>
      <c r="D292" t="str">
        <f t="shared" si="8"/>
        <v>union all  select item=297, shipno='PON', richan=''</v>
      </c>
      <c r="E292" t="str">
        <f t="shared" si="9"/>
        <v>union all  select item=297, shipno='', richan=''</v>
      </c>
    </row>
    <row r="293" spans="1:5" x14ac:dyDescent="0.25">
      <c r="A293" s="12">
        <v>298</v>
      </c>
      <c r="D293" t="str">
        <f t="shared" si="8"/>
        <v>union all  select item=298, shipno='PON', richan=''</v>
      </c>
      <c r="E293" t="str">
        <f t="shared" si="9"/>
        <v>union all  select item=298, shipno='', richan=''</v>
      </c>
    </row>
    <row r="294" spans="1:5" x14ac:dyDescent="0.25">
      <c r="A294" s="12">
        <v>299</v>
      </c>
      <c r="D294" t="str">
        <f t="shared" si="8"/>
        <v>union all  select item=299, shipno='PON', richan=''</v>
      </c>
      <c r="E294" t="str">
        <f t="shared" si="9"/>
        <v>union all  select item=299, shipno='', richan=''</v>
      </c>
    </row>
    <row r="295" spans="1:5" x14ac:dyDescent="0.25">
      <c r="A295" s="12">
        <v>300</v>
      </c>
      <c r="D295" t="str">
        <f t="shared" si="8"/>
        <v>union all  select item=300, shipno='PON', richan=''</v>
      </c>
      <c r="E295" t="str">
        <f t="shared" si="9"/>
        <v>union all  select item=300, shipno='', richan=''</v>
      </c>
    </row>
    <row r="296" spans="1:5" x14ac:dyDescent="0.25">
      <c r="A296" s="12">
        <v>301</v>
      </c>
      <c r="D296" t="str">
        <f t="shared" si="8"/>
        <v>union all  select item=301, shipno='PON', richan=''</v>
      </c>
      <c r="E296" t="str">
        <f t="shared" si="9"/>
        <v>union all  select item=301, shipno='', richan=''</v>
      </c>
    </row>
    <row r="297" spans="1:5" x14ac:dyDescent="0.25">
      <c r="A297" s="12">
        <v>302</v>
      </c>
      <c r="D297" t="str">
        <f t="shared" si="8"/>
        <v>union all  select item=302, shipno='PON', richan=''</v>
      </c>
      <c r="E297" t="str">
        <f t="shared" si="9"/>
        <v>union all  select item=302, shipno='', richan=''</v>
      </c>
    </row>
    <row r="298" spans="1:5" x14ac:dyDescent="0.25">
      <c r="A298" s="12">
        <v>303</v>
      </c>
      <c r="D298" t="str">
        <f t="shared" si="8"/>
        <v>union all  select item=303, shipno='PON', richan=''</v>
      </c>
      <c r="E298" t="str">
        <f t="shared" si="9"/>
        <v>union all  select item=303, shipno='', richan=''</v>
      </c>
    </row>
    <row r="299" spans="1:5" x14ac:dyDescent="0.25">
      <c r="A299" s="12">
        <v>304</v>
      </c>
      <c r="D299" t="str">
        <f t="shared" si="8"/>
        <v>union all  select item=304, shipno='PON', richan=''</v>
      </c>
      <c r="E299" t="str">
        <f t="shared" si="9"/>
        <v>union all  select item=304, shipno='', richan=''</v>
      </c>
    </row>
    <row r="300" spans="1:5" x14ac:dyDescent="0.25">
      <c r="A300" s="12">
        <v>305</v>
      </c>
      <c r="D300" t="str">
        <f t="shared" si="8"/>
        <v>union all  select item=305, shipno='PON', richan=''</v>
      </c>
      <c r="E300" t="str">
        <f t="shared" si="9"/>
        <v>union all  select item=305, shipno='', richan=''</v>
      </c>
    </row>
    <row r="301" spans="1:5" x14ac:dyDescent="0.25">
      <c r="A301" s="12">
        <v>306</v>
      </c>
      <c r="D301" t="str">
        <f t="shared" si="8"/>
        <v>union all  select item=306, shipno='PON', richan=''</v>
      </c>
      <c r="E301" t="str">
        <f t="shared" si="9"/>
        <v>union all  select item=306, shipno='', richan=''</v>
      </c>
    </row>
    <row r="302" spans="1:5" x14ac:dyDescent="0.25">
      <c r="A302" s="12">
        <v>307</v>
      </c>
      <c r="D302" t="str">
        <f t="shared" si="8"/>
        <v>union all  select item=307, shipno='PON', richan=''</v>
      </c>
      <c r="E302" t="str">
        <f t="shared" si="9"/>
        <v>union all  select item=307, shipno='', richan=''</v>
      </c>
    </row>
    <row r="303" spans="1:5" x14ac:dyDescent="0.25">
      <c r="A303" s="12">
        <v>308</v>
      </c>
      <c r="D303" t="str">
        <f t="shared" si="8"/>
        <v>union all  select item=308, shipno='PON', richan=''</v>
      </c>
      <c r="E303" t="str">
        <f t="shared" si="9"/>
        <v>union all  select item=308, shipno='', richan=''</v>
      </c>
    </row>
    <row r="304" spans="1:5" x14ac:dyDescent="0.25">
      <c r="A304" s="12">
        <v>309</v>
      </c>
      <c r="D304" t="str">
        <f t="shared" si="8"/>
        <v>union all  select item=309, shipno='PON', richan=''</v>
      </c>
      <c r="E304" t="str">
        <f t="shared" si="9"/>
        <v>union all  select item=309, shipno='', richan=''</v>
      </c>
    </row>
    <row r="305" spans="1:5" x14ac:dyDescent="0.25">
      <c r="A305" s="12">
        <v>310</v>
      </c>
      <c r="D305" t="str">
        <f t="shared" si="8"/>
        <v>union all  select item=310, shipno='PON', richan=''</v>
      </c>
      <c r="E305" t="str">
        <f t="shared" si="9"/>
        <v>union all  select item=310, shipno='', richan=''</v>
      </c>
    </row>
    <row r="306" spans="1:5" x14ac:dyDescent="0.25">
      <c r="A306" s="12">
        <v>311</v>
      </c>
      <c r="D306" t="str">
        <f t="shared" si="8"/>
        <v>union all  select item=311, shipno='PON', richan=''</v>
      </c>
      <c r="E306" t="str">
        <f t="shared" si="9"/>
        <v>union all  select item=311, shipno='', richan=''</v>
      </c>
    </row>
    <row r="307" spans="1:5" x14ac:dyDescent="0.25">
      <c r="A307" s="12">
        <v>312</v>
      </c>
      <c r="D307" t="str">
        <f t="shared" si="8"/>
        <v>union all  select item=312, shipno='PON', richan=''</v>
      </c>
      <c r="E307" t="str">
        <f t="shared" si="9"/>
        <v>union all  select item=312, shipno='', richan=''</v>
      </c>
    </row>
    <row r="308" spans="1:5" x14ac:dyDescent="0.25">
      <c r="A308" s="12">
        <v>313</v>
      </c>
      <c r="D308" t="str">
        <f t="shared" si="8"/>
        <v>union all  select item=313, shipno='PON', richan=''</v>
      </c>
      <c r="E308" t="str">
        <f t="shared" si="9"/>
        <v>union all  select item=313, shipno='', richan=''</v>
      </c>
    </row>
    <row r="309" spans="1:5" x14ac:dyDescent="0.25">
      <c r="A309" s="12">
        <v>314</v>
      </c>
      <c r="E309" t="str">
        <f t="shared" si="9"/>
        <v>union all  select item=314, shipno='', richan=''</v>
      </c>
    </row>
    <row r="310" spans="1:5" x14ac:dyDescent="0.25">
      <c r="A310" s="12">
        <v>315</v>
      </c>
      <c r="E310" t="str">
        <f t="shared" si="9"/>
        <v>union all  select item=315, shipno='', richan=''</v>
      </c>
    </row>
    <row r="311" spans="1:5" x14ac:dyDescent="0.25">
      <c r="A311" s="12">
        <v>316</v>
      </c>
      <c r="E311" t="str">
        <f t="shared" si="9"/>
        <v>union all  select item=316, shipno='', richan=''</v>
      </c>
    </row>
    <row r="312" spans="1:5" x14ac:dyDescent="0.25">
      <c r="A312" s="12">
        <v>317</v>
      </c>
      <c r="E312" t="str">
        <f t="shared" si="9"/>
        <v>union all  select item=317, shipno='', richan=''</v>
      </c>
    </row>
    <row r="313" spans="1:5" x14ac:dyDescent="0.25">
      <c r="A313" s="12">
        <v>318</v>
      </c>
      <c r="E313" t="str">
        <f t="shared" si="9"/>
        <v>union all  select item=318, shipno='', richan=''</v>
      </c>
    </row>
    <row r="314" spans="1:5" x14ac:dyDescent="0.25">
      <c r="A314" s="12">
        <v>319</v>
      </c>
      <c r="E314" t="str">
        <f t="shared" si="9"/>
        <v>union all  select item=319, shipno='', richan=''</v>
      </c>
    </row>
    <row r="315" spans="1:5" x14ac:dyDescent="0.25">
      <c r="A315" s="12">
        <v>320</v>
      </c>
      <c r="E315" t="str">
        <f t="shared" si="9"/>
        <v>union all  select item=320, shipno='', richan=''</v>
      </c>
    </row>
    <row r="316" spans="1:5" x14ac:dyDescent="0.25">
      <c r="A316" s="12">
        <v>321</v>
      </c>
      <c r="E316" t="str">
        <f t="shared" si="9"/>
        <v>union all  select item=321, shipno='', richan=''</v>
      </c>
    </row>
    <row r="317" spans="1:5" x14ac:dyDescent="0.25">
      <c r="A317" s="12">
        <v>322</v>
      </c>
      <c r="E317" t="str">
        <f t="shared" si="9"/>
        <v>union all  select item=322, shipno='', richan=''</v>
      </c>
    </row>
    <row r="318" spans="1:5" x14ac:dyDescent="0.25">
      <c r="A318" s="12">
        <v>323</v>
      </c>
      <c r="E318" t="str">
        <f t="shared" si="9"/>
        <v>union all  select item=323, shipno='', richan=''</v>
      </c>
    </row>
    <row r="319" spans="1:5" x14ac:dyDescent="0.25">
      <c r="A319" s="12">
        <v>324</v>
      </c>
      <c r="E319" t="str">
        <f t="shared" si="9"/>
        <v>union all  select item=324, shipno='', richan=''</v>
      </c>
    </row>
    <row r="320" spans="1:5" x14ac:dyDescent="0.25">
      <c r="A320" s="12">
        <v>325</v>
      </c>
      <c r="E320" t="str">
        <f t="shared" si="9"/>
        <v>union all  select item=325, shipno='', richan=''</v>
      </c>
    </row>
    <row r="321" spans="1:5" x14ac:dyDescent="0.25">
      <c r="A321" s="12">
        <v>326</v>
      </c>
      <c r="E321" t="str">
        <f t="shared" si="9"/>
        <v>union all  select item=326, shipno='', richan=''</v>
      </c>
    </row>
    <row r="322" spans="1:5" x14ac:dyDescent="0.25">
      <c r="A322" s="12">
        <v>327</v>
      </c>
      <c r="E322" t="str">
        <f t="shared" si="9"/>
        <v>union all  select item=327, shipno='', richan=''</v>
      </c>
    </row>
    <row r="323" spans="1:5" x14ac:dyDescent="0.25">
      <c r="A323" s="12">
        <v>328</v>
      </c>
      <c r="E323" t="str">
        <f t="shared" si="9"/>
        <v>union all  select item=328, shipno='', richan=''</v>
      </c>
    </row>
    <row r="324" spans="1:5" x14ac:dyDescent="0.25">
      <c r="A324" s="12">
        <v>329</v>
      </c>
      <c r="E324" t="str">
        <f t="shared" si="9"/>
        <v>union all  select item=329, shipno='', richan=''</v>
      </c>
    </row>
    <row r="325" spans="1:5" x14ac:dyDescent="0.25">
      <c r="A325" s="12">
        <v>330</v>
      </c>
      <c r="E325" t="str">
        <f t="shared" si="9"/>
        <v>union all  select item=330, shipno='', richan=''</v>
      </c>
    </row>
    <row r="326" spans="1:5" x14ac:dyDescent="0.25">
      <c r="A326" s="12">
        <v>331</v>
      </c>
      <c r="E326" t="str">
        <f t="shared" ref="E326:E335" si="10">"union all  select item=" &amp; A326 &amp; ", shipno='" &amp; B326 &amp; "', richan='" &amp; C326 &amp; "'"</f>
        <v>union all  select item=331, shipno='', richan=''</v>
      </c>
    </row>
    <row r="327" spans="1:5" x14ac:dyDescent="0.25">
      <c r="A327" s="12">
        <v>332</v>
      </c>
      <c r="E327" t="str">
        <f t="shared" si="10"/>
        <v>union all  select item=332, shipno='', richan=''</v>
      </c>
    </row>
    <row r="328" spans="1:5" x14ac:dyDescent="0.25">
      <c r="A328" s="12">
        <v>333</v>
      </c>
      <c r="E328" t="str">
        <f t="shared" si="10"/>
        <v>union all  select item=333, shipno='', richan=''</v>
      </c>
    </row>
    <row r="329" spans="1:5" x14ac:dyDescent="0.25">
      <c r="A329" s="12">
        <v>334</v>
      </c>
      <c r="E329" t="str">
        <f t="shared" si="10"/>
        <v>union all  select item=334, shipno='', richan=''</v>
      </c>
    </row>
    <row r="330" spans="1:5" x14ac:dyDescent="0.25">
      <c r="A330" s="12">
        <v>335</v>
      </c>
      <c r="E330" t="str">
        <f t="shared" si="10"/>
        <v>union all  select item=335, shipno='', richan=''</v>
      </c>
    </row>
    <row r="331" spans="1:5" x14ac:dyDescent="0.25">
      <c r="A331" s="12">
        <v>336</v>
      </c>
      <c r="E331" t="str">
        <f t="shared" si="10"/>
        <v>union all  select item=336, shipno='', richan=''</v>
      </c>
    </row>
    <row r="332" spans="1:5" x14ac:dyDescent="0.25">
      <c r="A332" s="12">
        <v>337</v>
      </c>
      <c r="E332" t="str">
        <f t="shared" si="10"/>
        <v>union all  select item=337, shipno='', richan=''</v>
      </c>
    </row>
    <row r="333" spans="1:5" x14ac:dyDescent="0.25">
      <c r="A333" s="12">
        <v>338</v>
      </c>
      <c r="E333" t="str">
        <f t="shared" si="10"/>
        <v>union all  select item=338, shipno='', richan=''</v>
      </c>
    </row>
    <row r="334" spans="1:5" x14ac:dyDescent="0.25">
      <c r="A334" s="12">
        <v>339</v>
      </c>
      <c r="E334" t="str">
        <f t="shared" si="10"/>
        <v>union all  select item=339, shipno='', richan=''</v>
      </c>
    </row>
    <row r="335" spans="1:5" x14ac:dyDescent="0.25">
      <c r="A335" s="12">
        <v>340</v>
      </c>
      <c r="E335" t="str">
        <f t="shared" si="10"/>
        <v>union all  select item=340, shipno='', richan=''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規格-裕隆</vt:lpstr>
      <vt:lpstr>規格-裕器CPM</vt:lpstr>
      <vt:lpstr>規格-裕器</vt:lpstr>
      <vt:lpstr>Datas-裕隆</vt:lpstr>
      <vt:lpstr>Datas-裕器</vt:lpstr>
      <vt:lpstr>SQL-裕隆</vt:lpstr>
      <vt:lpstr>SQL-裕器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2015-02-10T03:02:40Z</dcterms:modified>
</cp:coreProperties>
</file>