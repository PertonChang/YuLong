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62" activeTab="4"/>
  </bookViews>
  <sheets>
    <sheet name="規格-裕隆" sheetId="1" r:id="rId1"/>
    <sheet name="規格-裕器CPM" sheetId="5" r:id="rId2"/>
    <sheet name="規格-裕器" sheetId="6" r:id="rId3"/>
    <sheet name="Datas-裕隆" sheetId="3" r:id="rId4"/>
    <sheet name="Datas-裕器" sheetId="7" r:id="rId5"/>
    <sheet name="SQL-裕隆" sheetId="4" r:id="rId6"/>
    <sheet name="SQL-裕器" sheetId="9" r:id="rId7"/>
  </sheets>
  <functionGroups builtInGroupCount="18"/>
  <calcPr calcId="152511"/>
</workbook>
</file>

<file path=xl/calcChain.xml><?xml version="1.0" encoding="utf-8"?>
<calcChain xmlns="http://schemas.openxmlformats.org/spreadsheetml/2006/main">
  <c r="E6" i="9" l="1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5" i="9"/>
  <c r="E4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5" i="9"/>
  <c r="D4" i="9"/>
  <c r="G3" i="5" l="1"/>
  <c r="G4" i="5"/>
  <c r="G5" i="5"/>
  <c r="G6" i="5"/>
  <c r="G7" i="5"/>
  <c r="G8" i="5"/>
  <c r="G9" i="5"/>
  <c r="G10" i="5"/>
  <c r="G11" i="5"/>
  <c r="G12" i="5"/>
  <c r="G13" i="5"/>
  <c r="G2" i="5"/>
  <c r="AM2" i="7"/>
  <c r="D13" i="6"/>
  <c r="D12" i="6"/>
  <c r="D11" i="6"/>
  <c r="D10" i="6"/>
  <c r="D9" i="6"/>
  <c r="D8" i="6"/>
  <c r="D7" i="6"/>
  <c r="D6" i="6"/>
  <c r="D5" i="6"/>
  <c r="D4" i="6"/>
  <c r="D3" i="6"/>
  <c r="D2" i="6"/>
  <c r="D13" i="5"/>
  <c r="D12" i="5"/>
  <c r="D11" i="5"/>
  <c r="D10" i="5"/>
  <c r="D9" i="5"/>
  <c r="D8" i="5"/>
  <c r="D7" i="5"/>
  <c r="D6" i="5"/>
  <c r="D5" i="5"/>
  <c r="D4" i="5"/>
  <c r="D3" i="5"/>
  <c r="D2" i="5"/>
  <c r="AP2" i="3" l="1"/>
  <c r="C4" i="4" l="1"/>
  <c r="C152" i="4" l="1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141" i="4"/>
  <c r="C142" i="4"/>
  <c r="C143" i="4"/>
  <c r="C144" i="4"/>
  <c r="C145" i="4"/>
  <c r="C146" i="4"/>
  <c r="C147" i="4"/>
  <c r="C148" i="4"/>
  <c r="C149" i="4"/>
  <c r="C150" i="4"/>
  <c r="C151" i="4"/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2" i="1"/>
  <c r="J3" i="1" l="1"/>
  <c r="J4" i="1"/>
  <c r="J5" i="1"/>
  <c r="J6" i="1"/>
  <c r="J7" i="1"/>
  <c r="J8" i="1"/>
  <c r="J9" i="1"/>
  <c r="J10" i="1"/>
  <c r="J11" i="1"/>
  <c r="J12" i="1"/>
  <c r="J13" i="1"/>
  <c r="J32" i="1"/>
  <c r="J14" i="1"/>
  <c r="J15" i="1"/>
  <c r="J16" i="1"/>
  <c r="J17" i="1"/>
  <c r="J18" i="1"/>
  <c r="J19" i="1"/>
  <c r="J20" i="1"/>
  <c r="J21" i="1"/>
  <c r="J22" i="1"/>
  <c r="J23" i="1"/>
  <c r="J33" i="1"/>
  <c r="J24" i="1"/>
  <c r="J25" i="1"/>
  <c r="J26" i="1"/>
  <c r="J27" i="1"/>
  <c r="J28" i="1"/>
  <c r="J29" i="1"/>
  <c r="J30" i="1"/>
  <c r="J2" i="1"/>
  <c r="F33" i="1" l="1"/>
  <c r="F3" i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32" i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3" i="1"/>
  <c r="L23" i="1" s="1"/>
  <c r="F24" i="1"/>
  <c r="L24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2" i="1"/>
  <c r="L2" i="1" s="1"/>
  <c r="K30" i="1" l="1"/>
  <c r="K26" i="1"/>
  <c r="K22" i="1"/>
  <c r="K14" i="1"/>
  <c r="K15" i="1"/>
  <c r="K11" i="1"/>
  <c r="K7" i="1"/>
  <c r="K3" i="1"/>
  <c r="K29" i="1"/>
  <c r="K25" i="1"/>
  <c r="K21" i="1"/>
  <c r="K18" i="1"/>
  <c r="L32" i="1"/>
  <c r="K32" i="1"/>
  <c r="K10" i="1"/>
  <c r="K6" i="1"/>
  <c r="L33" i="1"/>
  <c r="K33" i="1"/>
  <c r="K28" i="1"/>
  <c r="K24" i="1"/>
  <c r="K20" i="1"/>
  <c r="K17" i="1"/>
  <c r="K13" i="1"/>
  <c r="K9" i="1"/>
  <c r="K5" i="1"/>
  <c r="K2" i="1"/>
  <c r="K27" i="1"/>
  <c r="K23" i="1"/>
  <c r="K19" i="1"/>
  <c r="K16" i="1"/>
  <c r="K12" i="1"/>
  <c r="K8" i="1"/>
  <c r="K4" i="1"/>
</calcChain>
</file>

<file path=xl/comments1.xml><?xml version="1.0" encoding="utf-8"?>
<comments xmlns="http://schemas.openxmlformats.org/spreadsheetml/2006/main">
  <authors>
    <author>作者</author>
  </authors>
  <commentList>
    <comment ref="C18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後三碼為小數點以下</t>
        </r>
      </text>
    </comment>
  </commentList>
</comments>
</file>

<file path=xl/sharedStrings.xml><?xml version="1.0" encoding="utf-8"?>
<sst xmlns="http://schemas.openxmlformats.org/spreadsheetml/2006/main" count="5376" uniqueCount="966">
  <si>
    <t>C:       [42 to 43]</t>
  </si>
  <si>
    <r>
      <t>應付外包件金額</t>
    </r>
    <r>
      <rPr>
        <sz val="11"/>
        <color theme="1"/>
        <rFont val="Times New Roman"/>
        <family val="1"/>
      </rPr>
      <t xml:space="preserve">:[76 to 85] </t>
    </r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</si>
  <si>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:[93 to 102]</t>
    </r>
  </si>
  <si>
    <r>
      <t>其他扣款額</t>
    </r>
    <r>
      <rPr>
        <sz val="11"/>
        <color theme="1"/>
        <rFont val="Times New Roman"/>
        <family val="1"/>
      </rPr>
      <t>:[102 to 111]</t>
    </r>
  </si>
  <si>
    <r>
      <t>實付金額</t>
    </r>
    <r>
      <rPr>
        <sz val="11"/>
        <color theme="1"/>
        <rFont val="Times New Roman"/>
        <family val="1"/>
      </rPr>
      <t>:[111 to 120]</t>
    </r>
  </si>
  <si>
    <r>
      <t>首字為</t>
    </r>
    <r>
      <rPr>
        <sz val="11"/>
        <color theme="1"/>
        <rFont val="Times New Roman"/>
        <family val="1"/>
      </rPr>
      <t>1 (</t>
    </r>
    <r>
      <rPr>
        <sz val="11"/>
        <color theme="1"/>
        <rFont val="新細明體"/>
        <family val="1"/>
        <charset val="136"/>
      </rPr>
      <t>表頭</t>
    </r>
    <r>
      <rPr>
        <sz val="11"/>
        <color theme="1"/>
        <rFont val="Times New Roman"/>
        <family val="1"/>
      </rPr>
      <t>)</t>
    </r>
    <phoneticPr fontId="3" type="noConversion"/>
  </si>
  <si>
    <t>表頭</t>
  </si>
  <si>
    <r>
      <t>廠商代碼</t>
    </r>
    <r>
      <rPr>
        <sz val="11"/>
        <color theme="1"/>
        <rFont val="Times New Roman"/>
        <family val="1"/>
      </rPr>
      <t>: [11 t0 15]</t>
    </r>
    <phoneticPr fontId="3" type="noConversion"/>
  </si>
  <si>
    <t>廠商代碼</t>
  </si>
  <si>
    <r>
      <t>入帳日期</t>
    </r>
    <r>
      <rPr>
        <sz val="11"/>
        <color theme="1"/>
        <rFont val="Times New Roman"/>
        <family val="1"/>
      </rPr>
      <t xml:space="preserve">: </t>
    </r>
    <r>
      <rPr>
        <sz val="11"/>
        <color theme="1"/>
        <rFont val="新細明體"/>
        <family val="1"/>
        <charset val="136"/>
      </rPr>
      <t>入帳日起</t>
    </r>
    <r>
      <rPr>
        <sz val="11"/>
        <color theme="1"/>
        <rFont val="Times New Roman"/>
        <family val="1"/>
      </rPr>
      <t xml:space="preserve">[16 to 22] </t>
    </r>
    <r>
      <rPr>
        <sz val="11"/>
        <color theme="1"/>
        <rFont val="新細明體"/>
        <family val="1"/>
        <charset val="136"/>
      </rPr>
      <t>入帳日迄</t>
    </r>
    <r>
      <rPr>
        <sz val="11"/>
        <color theme="1"/>
        <rFont val="Times New Roman"/>
        <family val="1"/>
      </rPr>
      <t>[22 to 28]</t>
    </r>
    <phoneticPr fontId="3" type="noConversion"/>
  </si>
  <si>
    <t>入帳日起</t>
  </si>
  <si>
    <t>入帳日迄</t>
  </si>
  <si>
    <r>
      <t>首字為</t>
    </r>
    <r>
      <rPr>
        <sz val="11"/>
        <color theme="1"/>
        <rFont val="Times New Roman"/>
        <family val="1"/>
      </rPr>
      <t>2 (</t>
    </r>
    <r>
      <rPr>
        <sz val="11"/>
        <color theme="1"/>
        <rFont val="新細明體"/>
        <family val="1"/>
        <charset val="136"/>
      </rPr>
      <t>表身</t>
    </r>
    <r>
      <rPr>
        <sz val="11"/>
        <color theme="1"/>
        <rFont val="Times New Roman"/>
        <family val="1"/>
      </rPr>
      <t>)</t>
    </r>
    <phoneticPr fontId="3" type="noConversion"/>
  </si>
  <si>
    <t>表身</t>
  </si>
  <si>
    <r>
      <t>憑單編號</t>
    </r>
    <r>
      <rPr>
        <sz val="11"/>
        <color theme="1"/>
        <rFont val="Times New Roman"/>
        <family val="1"/>
      </rPr>
      <t>:[2 to 9]</t>
    </r>
    <phoneticPr fontId="3" type="noConversion"/>
  </si>
  <si>
    <t>憑單編號</t>
  </si>
  <si>
    <r>
      <t>序號</t>
    </r>
    <r>
      <rPr>
        <sz val="11"/>
        <color theme="1"/>
        <rFont val="Times New Roman"/>
        <family val="1"/>
      </rPr>
      <t>:    [9 to 11]</t>
    </r>
    <phoneticPr fontId="3" type="noConversion"/>
  </si>
  <si>
    <t>序號</t>
  </si>
  <si>
    <r>
      <t>單別</t>
    </r>
    <r>
      <rPr>
        <sz val="11"/>
        <color theme="1"/>
        <rFont val="Times New Roman"/>
        <family val="1"/>
      </rPr>
      <t>:    [11 to 13]</t>
    </r>
    <phoneticPr fontId="3" type="noConversion"/>
  </si>
  <si>
    <t>單別</t>
  </si>
  <si>
    <t>I1</t>
    <phoneticPr fontId="3" type="noConversion"/>
  </si>
  <si>
    <r>
      <t>合約號</t>
    </r>
    <r>
      <rPr>
        <sz val="11"/>
        <color theme="1"/>
        <rFont val="Times New Roman"/>
        <family val="1"/>
      </rPr>
      <t>:  [13 to 20]</t>
    </r>
    <phoneticPr fontId="3" type="noConversion"/>
  </si>
  <si>
    <t>合約號</t>
  </si>
  <si>
    <r>
      <t>交貨指示</t>
    </r>
    <r>
      <rPr>
        <sz val="11"/>
        <color theme="1"/>
        <rFont val="Times New Roman"/>
        <family val="1"/>
      </rPr>
      <t>:[20 to 30]</t>
    </r>
    <phoneticPr fontId="3" type="noConversion"/>
  </si>
  <si>
    <r>
      <t>類別</t>
    </r>
    <r>
      <rPr>
        <sz val="11"/>
        <color theme="1"/>
        <rFont val="Times New Roman"/>
        <family val="1"/>
      </rPr>
      <t>:    [30 t0 32]</t>
    </r>
    <phoneticPr fontId="3" type="noConversion"/>
  </si>
  <si>
    <t>類別</t>
  </si>
  <si>
    <r>
      <t>料號</t>
    </r>
    <r>
      <rPr>
        <sz val="11"/>
        <color theme="1"/>
        <rFont val="Times New Roman"/>
        <family val="1"/>
      </rPr>
      <t>:    [32 to 42]</t>
    </r>
    <phoneticPr fontId="3" type="noConversion"/>
  </si>
  <si>
    <r>
      <t>交貨量</t>
    </r>
    <r>
      <rPr>
        <sz val="11"/>
        <color theme="1"/>
        <rFont val="Times New Roman"/>
        <family val="1"/>
      </rPr>
      <t>:  [43 to 52]</t>
    </r>
    <phoneticPr fontId="3" type="noConversion"/>
  </si>
  <si>
    <t>交貨量</t>
  </si>
  <si>
    <r>
      <t>單位</t>
    </r>
    <r>
      <rPr>
        <sz val="11"/>
        <color theme="1"/>
        <rFont val="Times New Roman"/>
        <family val="1"/>
      </rPr>
      <t>:    [61 to 63]</t>
    </r>
    <phoneticPr fontId="3" type="noConversion"/>
  </si>
  <si>
    <t>單位</t>
  </si>
  <si>
    <r>
      <t>首字為</t>
    </r>
    <r>
      <rPr>
        <sz val="11"/>
        <color theme="1"/>
        <rFont val="Times New Roman"/>
        <family val="1"/>
      </rPr>
      <t>3 (</t>
    </r>
    <r>
      <rPr>
        <sz val="11"/>
        <color theme="1"/>
        <rFont val="新細明體"/>
        <family val="1"/>
        <charset val="136"/>
      </rPr>
      <t>表尾，總計</t>
    </r>
    <r>
      <rPr>
        <sz val="11"/>
        <color theme="1"/>
        <rFont val="Times New Roman"/>
        <family val="1"/>
      </rPr>
      <t>)</t>
    </r>
    <phoneticPr fontId="3" type="noConversion"/>
  </si>
  <si>
    <t>表尾</t>
  </si>
  <si>
    <r>
      <t>應付外包件金額</t>
    </r>
    <r>
      <rPr>
        <sz val="11"/>
        <color theme="1"/>
        <rFont val="Times New Roman"/>
        <family val="1"/>
      </rPr>
      <t>:[2 to 10]</t>
    </r>
    <phoneticPr fontId="3" type="noConversion"/>
  </si>
  <si>
    <t>應付外包件金額</t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</si>
  <si>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:[10 to 20]</t>
    </r>
    <phoneticPr fontId="3" type="noConversion"/>
  </si>
  <si>
    <t>00扣款</t>
  </si>
  <si>
    <r>
      <t>其他扣款額</t>
    </r>
    <r>
      <rPr>
        <sz val="11"/>
        <color theme="1"/>
        <rFont val="Times New Roman"/>
        <family val="1"/>
      </rPr>
      <t>:[20 to 29]</t>
    </r>
    <phoneticPr fontId="3" type="noConversion"/>
  </si>
  <si>
    <t>其他扣款額</t>
  </si>
  <si>
    <r>
      <t>實付金額</t>
    </r>
    <r>
      <rPr>
        <sz val="11"/>
        <color theme="1"/>
        <rFont val="Times New Roman"/>
        <family val="1"/>
      </rPr>
      <t>:[29 to 38]</t>
    </r>
    <phoneticPr fontId="3" type="noConversion"/>
  </si>
  <si>
    <t>實付金額</t>
  </si>
  <si>
    <r>
      <t>開票期間</t>
    </r>
    <r>
      <rPr>
        <sz val="11"/>
        <color theme="1"/>
        <rFont val="Times New Roman"/>
        <family val="1"/>
      </rPr>
      <t>:[121 to 122]</t>
    </r>
    <phoneticPr fontId="3" type="noConversion"/>
  </si>
  <si>
    <t>開票期間</t>
  </si>
  <si>
    <r>
      <t>紀錄代號</t>
    </r>
    <r>
      <rPr>
        <sz val="11"/>
        <color theme="1"/>
        <rFont val="Times New Roman"/>
        <family val="1"/>
      </rPr>
      <t>:[122 to 123]</t>
    </r>
    <phoneticPr fontId="3" type="noConversion"/>
  </si>
  <si>
    <t>紀錄代號</t>
  </si>
  <si>
    <t>交貨指示編號</t>
    <phoneticPr fontId="3" type="noConversion"/>
  </si>
  <si>
    <t>3</t>
    <phoneticPr fontId="3" type="noConversion"/>
  </si>
  <si>
    <r>
      <t>付款單價</t>
    </r>
    <r>
      <rPr>
        <sz val="11"/>
        <color theme="1"/>
        <rFont val="Times New Roman"/>
        <family val="1"/>
      </rPr>
      <t>:[64 to 76](</t>
    </r>
    <r>
      <rPr>
        <sz val="11"/>
        <color theme="1"/>
        <rFont val="新細明體"/>
        <family val="1"/>
        <charset val="136"/>
      </rPr>
      <t>後三碼為小數點以下</t>
    </r>
    <r>
      <rPr>
        <sz val="11"/>
        <color theme="1"/>
        <rFont val="Times New Roman"/>
        <family val="1"/>
      </rPr>
      <t>)</t>
    </r>
    <phoneticPr fontId="3" type="noConversion"/>
  </si>
  <si>
    <t>H3</t>
    <phoneticPr fontId="3" type="noConversion"/>
  </si>
  <si>
    <t>9</t>
    <phoneticPr fontId="3" type="noConversion"/>
  </si>
  <si>
    <t>實收及格數量</t>
    <phoneticPr fontId="3" type="noConversion"/>
  </si>
  <si>
    <r>
      <t>檢驗品質</t>
    </r>
    <r>
      <rPr>
        <sz val="11"/>
        <color theme="1"/>
        <rFont val="Times New Roman"/>
        <family val="1"/>
      </rPr>
      <t>:[42 to 43]</t>
    </r>
    <phoneticPr fontId="3" type="noConversion"/>
  </si>
  <si>
    <t>檢驗品質</t>
  </si>
  <si>
    <t>付款單價</t>
  </si>
  <si>
    <r>
      <t>交貨日期</t>
    </r>
    <r>
      <rPr>
        <sz val="11"/>
        <color theme="1"/>
        <rFont val="Times New Roman"/>
        <family val="1"/>
      </rPr>
      <t>:[85 to 93]</t>
    </r>
    <phoneticPr fontId="3" type="noConversion"/>
  </si>
  <si>
    <t>交貨日期</t>
  </si>
  <si>
    <t>Y</t>
    <phoneticPr fontId="3" type="noConversion"/>
  </si>
  <si>
    <t>A</t>
    <phoneticPr fontId="3" type="noConversion"/>
  </si>
  <si>
    <t>C</t>
    <phoneticPr fontId="3" type="noConversion"/>
  </si>
  <si>
    <t>欄位</t>
    <phoneticPr fontId="3" type="noConversion"/>
  </si>
  <si>
    <t>起位</t>
    <phoneticPr fontId="3" type="noConversion"/>
  </si>
  <si>
    <t>迄位</t>
    <phoneticPr fontId="3" type="noConversion"/>
  </si>
  <si>
    <t>字數</t>
    <phoneticPr fontId="3" type="noConversion"/>
  </si>
  <si>
    <t>預設值</t>
    <phoneticPr fontId="3" type="noConversion"/>
  </si>
  <si>
    <t>日產原料號</t>
    <phoneticPr fontId="3" type="noConversion"/>
  </si>
  <si>
    <t>檔案路徑：</t>
    <phoneticPr fontId="3" type="noConversion"/>
  </si>
  <si>
    <t>檔案名稱：</t>
    <phoneticPr fontId="3" type="noConversion"/>
  </si>
  <si>
    <t>tag</t>
    <phoneticPr fontId="3" type="noConversion"/>
  </si>
  <si>
    <t>CuNo</t>
    <phoneticPr fontId="3" type="noConversion"/>
  </si>
  <si>
    <t>AccBd</t>
    <phoneticPr fontId="3" type="noConversion"/>
  </si>
  <si>
    <t>AccEd</t>
    <phoneticPr fontId="3" type="noConversion"/>
  </si>
  <si>
    <t>ListNo</t>
    <phoneticPr fontId="3" type="noConversion"/>
  </si>
  <si>
    <t>ListSeq</t>
    <phoneticPr fontId="3" type="noConversion"/>
  </si>
  <si>
    <t>ListType</t>
    <phoneticPr fontId="3" type="noConversion"/>
  </si>
  <si>
    <t>Contract</t>
    <phoneticPr fontId="3" type="noConversion"/>
  </si>
  <si>
    <t>ShipNote</t>
    <phoneticPr fontId="3" type="noConversion"/>
  </si>
  <si>
    <t>Class</t>
    <phoneticPr fontId="3" type="noConversion"/>
  </si>
  <si>
    <t>c</t>
    <phoneticPr fontId="3" type="noConversion"/>
  </si>
  <si>
    <t>Quality</t>
    <phoneticPr fontId="3" type="noConversion"/>
  </si>
  <si>
    <t>Qty</t>
    <phoneticPr fontId="3" type="noConversion"/>
  </si>
  <si>
    <t>QtyOK</t>
    <phoneticPr fontId="3" type="noConversion"/>
  </si>
  <si>
    <t>Unit</t>
    <phoneticPr fontId="3" type="noConversion"/>
  </si>
  <si>
    <t>Price</t>
    <phoneticPr fontId="3" type="noConversion"/>
  </si>
  <si>
    <t>DevD</t>
    <phoneticPr fontId="3" type="noConversion"/>
  </si>
  <si>
    <t>Amt00</t>
    <phoneticPr fontId="3" type="noConversion"/>
  </si>
  <si>
    <t>Amt01</t>
    <phoneticPr fontId="3" type="noConversion"/>
  </si>
  <si>
    <t>cc</t>
    <phoneticPr fontId="3" type="noConversion"/>
  </si>
  <si>
    <t>Check</t>
    <phoneticPr fontId="3" type="noConversion"/>
  </si>
  <si>
    <t>Rec</t>
    <phoneticPr fontId="3" type="noConversion"/>
  </si>
  <si>
    <t>Amt11</t>
    <phoneticPr fontId="3" type="noConversion"/>
  </si>
  <si>
    <t>Amt12</t>
    <phoneticPr fontId="3" type="noConversion"/>
  </si>
  <si>
    <t>KouKan01</t>
    <phoneticPr fontId="3" type="noConversion"/>
  </si>
  <si>
    <t>KouKan02</t>
    <phoneticPr fontId="3" type="noConversion"/>
  </si>
  <si>
    <t>KouKan11</t>
    <phoneticPr fontId="3" type="noConversion"/>
  </si>
  <si>
    <t>KouKan12</t>
    <phoneticPr fontId="3" type="noConversion"/>
  </si>
  <si>
    <t>OrgElNo</t>
    <phoneticPr fontId="3" type="noConversion"/>
  </si>
  <si>
    <t>Cols</t>
    <phoneticPr fontId="3" type="noConversion"/>
  </si>
  <si>
    <t>Ary</t>
    <phoneticPr fontId="3" type="noConversion"/>
  </si>
  <si>
    <t xml:space="preserve">          </t>
  </si>
  <si>
    <t>序號</t>
    <phoneticPr fontId="3" type="noConversion"/>
  </si>
  <si>
    <t>客戶代號</t>
    <phoneticPr fontId="3" type="noConversion"/>
  </si>
  <si>
    <t>S訂單</t>
    <phoneticPr fontId="3" type="noConversion"/>
  </si>
  <si>
    <t>批號</t>
    <phoneticPr fontId="3" type="noConversion"/>
  </si>
  <si>
    <t>數量</t>
    <phoneticPr fontId="3" type="noConversion"/>
  </si>
  <si>
    <t>單價</t>
    <phoneticPr fontId="3" type="noConversion"/>
  </si>
  <si>
    <t>料號</t>
    <phoneticPr fontId="3" type="noConversion"/>
  </si>
  <si>
    <t>版本</t>
    <phoneticPr fontId="3" type="noConversion"/>
  </si>
  <si>
    <t>處理代號</t>
    <phoneticPr fontId="3" type="noConversion"/>
  </si>
  <si>
    <t>客戶料號</t>
    <phoneticPr fontId="3" type="noConversion"/>
  </si>
  <si>
    <t>原客戶PO</t>
    <phoneticPr fontId="3" type="noConversion"/>
  </si>
  <si>
    <t>對帳單文字檔_區間20141101-20141130_201412.txt</t>
    <phoneticPr fontId="3" type="noConversion"/>
  </si>
  <si>
    <t>對帳單文字檔_區間20150101-20150131_201502.txt</t>
    <phoneticPr fontId="3" type="noConversion"/>
  </si>
  <si>
    <t>BD03802201</t>
  </si>
  <si>
    <t>BD03749901</t>
  </si>
  <si>
    <t>BD03750001</t>
  </si>
  <si>
    <t>BE00097901</t>
  </si>
  <si>
    <t>BE00098001</t>
  </si>
  <si>
    <t>BE00098101</t>
  </si>
  <si>
    <t>細項金額</t>
    <phoneticPr fontId="3" type="noConversion"/>
  </si>
  <si>
    <t>項次</t>
    <phoneticPr fontId="3" type="noConversion"/>
  </si>
  <si>
    <t>材料編號</t>
    <phoneticPr fontId="3" type="noConversion"/>
  </si>
  <si>
    <t>單位</t>
    <phoneticPr fontId="3" type="noConversion"/>
  </si>
  <si>
    <t>品料</t>
    <phoneticPr fontId="3" type="noConversion"/>
  </si>
  <si>
    <t>驗收數量</t>
    <phoneticPr fontId="3" type="noConversion"/>
  </si>
  <si>
    <t>金額</t>
    <phoneticPr fontId="3" type="noConversion"/>
  </si>
  <si>
    <t>幣別</t>
    <phoneticPr fontId="3" type="noConversion"/>
  </si>
  <si>
    <t>驗收日期</t>
    <phoneticPr fontId="3" type="noConversion"/>
  </si>
  <si>
    <t>訂單編號</t>
    <phoneticPr fontId="3" type="noConversion"/>
  </si>
  <si>
    <t xml:space="preserve">單據編號 </t>
    <phoneticPr fontId="3" type="noConversion"/>
  </si>
  <si>
    <t>日產料號</t>
    <phoneticPr fontId="3" type="noConversion"/>
  </si>
  <si>
    <t>D:\GitHub\YuLong\對帳單\對帳單TXT_2015</t>
    <phoneticPr fontId="3" type="noConversion"/>
  </si>
  <si>
    <t>1RA018500</t>
  </si>
  <si>
    <t xml:space="preserve">   </t>
  </si>
  <si>
    <t xml:space="preserve">  </t>
  </si>
  <si>
    <t>1RA120154</t>
  </si>
  <si>
    <t>1RA129841</t>
  </si>
  <si>
    <t>1RA129840</t>
  </si>
  <si>
    <t>1RA128709</t>
  </si>
  <si>
    <t>1RA124413</t>
  </si>
  <si>
    <t>1RA129033</t>
  </si>
  <si>
    <t>1RA125198</t>
  </si>
  <si>
    <t>1RA123782</t>
  </si>
  <si>
    <t>1RA120196</t>
  </si>
  <si>
    <t>1RA129007</t>
  </si>
  <si>
    <t>1RA015171</t>
  </si>
  <si>
    <t>1RA012601</t>
  </si>
  <si>
    <t>1RA018497</t>
  </si>
  <si>
    <t>1RA010416</t>
  </si>
  <si>
    <t>1RA019024</t>
  </si>
  <si>
    <t>1RA121675</t>
  </si>
  <si>
    <t>1RA125799</t>
  </si>
  <si>
    <t>1RA128885</t>
  </si>
  <si>
    <t>1RA122788</t>
  </si>
  <si>
    <t>1RA124626</t>
  </si>
  <si>
    <t>1RA128327</t>
  </si>
  <si>
    <t>1RA123864</t>
  </si>
  <si>
    <t>1RA120184</t>
  </si>
  <si>
    <t>1RA010551</t>
  </si>
  <si>
    <t>1RA018536</t>
  </si>
  <si>
    <t>1RA019204</t>
  </si>
  <si>
    <t>1RA013851</t>
  </si>
  <si>
    <t>1RA014142</t>
  </si>
  <si>
    <t>1RA011013</t>
  </si>
  <si>
    <t>1RA013264</t>
  </si>
  <si>
    <t>1RA010853</t>
  </si>
  <si>
    <t>1RA011813</t>
  </si>
  <si>
    <t>1RA010952</t>
  </si>
  <si>
    <t>1RA010955</t>
  </si>
  <si>
    <t>1RA010727</t>
  </si>
  <si>
    <t>1RA015170</t>
  </si>
  <si>
    <t>1RA019931</t>
  </si>
  <si>
    <t>1RA018542</t>
  </si>
  <si>
    <t>1RA019207</t>
  </si>
  <si>
    <t>1RA018496</t>
  </si>
  <si>
    <t>1RA014152</t>
  </si>
  <si>
    <t>1RA019023</t>
  </si>
  <si>
    <t>1RA017846</t>
  </si>
  <si>
    <t>1RA011650</t>
  </si>
  <si>
    <t>1RA010493</t>
  </si>
  <si>
    <t>1RA010950</t>
  </si>
  <si>
    <t>1RA017767</t>
  </si>
  <si>
    <t>1RA018537</t>
  </si>
  <si>
    <t>1RA013852</t>
  </si>
  <si>
    <t>1RA010956</t>
  </si>
  <si>
    <t>1RA010728</t>
  </si>
  <si>
    <t>1RA010567</t>
  </si>
  <si>
    <t>1RA019208</t>
  </si>
  <si>
    <t>1RA014731</t>
  </si>
  <si>
    <t>1RA010417</t>
  </si>
  <si>
    <t>1RA019025</t>
  </si>
  <si>
    <t>1RA015341</t>
  </si>
  <si>
    <t>1RA010688</t>
  </si>
  <si>
    <t>1RA010687</t>
  </si>
  <si>
    <t>1RA010554</t>
  </si>
  <si>
    <t>1RA010568</t>
  </si>
  <si>
    <t>1RA012602</t>
  </si>
  <si>
    <t>1RA014732</t>
  </si>
  <si>
    <t>1RA014143</t>
  </si>
  <si>
    <t>1RA010414</t>
  </si>
  <si>
    <t>1RA015339</t>
  </si>
  <si>
    <t>1RA010856</t>
  </si>
  <si>
    <t>1RA010953</t>
  </si>
  <si>
    <t>1RA018543</t>
  </si>
  <si>
    <t>1RA018498</t>
  </si>
  <si>
    <t>1RA019026</t>
  </si>
  <si>
    <t>1RA011651</t>
  </si>
  <si>
    <t>1RA010494</t>
  </si>
  <si>
    <t>1RA017768</t>
  </si>
  <si>
    <t>1RA010729</t>
  </si>
  <si>
    <t>1RA010735</t>
  </si>
  <si>
    <t>1RA018544</t>
  </si>
  <si>
    <t>1RA018499</t>
  </si>
  <si>
    <t>1RA019027</t>
  </si>
  <si>
    <t>1RA019766</t>
  </si>
  <si>
    <t>1RA011652</t>
  </si>
  <si>
    <t>1RA010951</t>
  </si>
  <si>
    <t>1RA010957</t>
  </si>
  <si>
    <t>1RA017769</t>
  </si>
  <si>
    <t>1RA010736</t>
  </si>
  <si>
    <t>1RA010569</t>
  </si>
  <si>
    <t>1RA018538</t>
  </si>
  <si>
    <t>1RA012603</t>
  </si>
  <si>
    <t>1RA014733</t>
  </si>
  <si>
    <t>1RA010415</t>
  </si>
  <si>
    <t>1RA011014</t>
  </si>
  <si>
    <t>1RA019028</t>
  </si>
  <si>
    <t>1RA017845</t>
  </si>
  <si>
    <t>1RA010854</t>
  </si>
  <si>
    <t>1RA010954</t>
  </si>
  <si>
    <t>1RA010552</t>
  </si>
  <si>
    <t>1RA010570</t>
  </si>
  <si>
    <t>1RA013853</t>
  </si>
  <si>
    <t>1RA014734</t>
  </si>
  <si>
    <t>1RA019733</t>
  </si>
  <si>
    <t>1RA015340</t>
  </si>
  <si>
    <t>1RA010855</t>
  </si>
  <si>
    <t>1RA011814</t>
  </si>
  <si>
    <t>1RA010730</t>
  </si>
  <si>
    <t>1RA010553</t>
  </si>
  <si>
    <t>1RA019172</t>
  </si>
  <si>
    <t>1RA012763</t>
  </si>
  <si>
    <t>1RA010549</t>
  </si>
  <si>
    <t>1RA013896</t>
  </si>
  <si>
    <t>1RA018533</t>
  </si>
  <si>
    <t>1RA018492</t>
  </si>
  <si>
    <t>1RA013849</t>
  </si>
  <si>
    <t>1RA012764</t>
  </si>
  <si>
    <t>1RA018534</t>
  </si>
  <si>
    <t>1RA012598</t>
  </si>
  <si>
    <t>1RA019203</t>
  </si>
  <si>
    <t>1RA018493</t>
  </si>
  <si>
    <t>1RA013850</t>
  </si>
  <si>
    <t>1RA012765</t>
  </si>
  <si>
    <t>1RA018494</t>
  </si>
  <si>
    <t>1RA012766</t>
  </si>
  <si>
    <t>1RA013897</t>
  </si>
  <si>
    <t>1RA071243</t>
  </si>
  <si>
    <t>1RA010550</t>
  </si>
  <si>
    <t>1RA014140</t>
  </si>
  <si>
    <t>1RA018535</t>
  </si>
  <si>
    <t>1RA103655</t>
  </si>
  <si>
    <t>1RA065334</t>
  </si>
  <si>
    <t>1RA010420</t>
  </si>
  <si>
    <t>1RA065305</t>
  </si>
  <si>
    <t>1RA019173</t>
  </si>
  <si>
    <t>1RA019174</t>
  </si>
  <si>
    <t>1RA014141</t>
  </si>
  <si>
    <t>1RA010421</t>
  </si>
  <si>
    <t/>
  </si>
  <si>
    <t>1</t>
  </si>
  <si>
    <t>C524B</t>
  </si>
  <si>
    <t>040101</t>
  </si>
  <si>
    <t>040131</t>
  </si>
  <si>
    <t>2</t>
  </si>
  <si>
    <t>H500051</t>
  </si>
  <si>
    <t>I1</t>
  </si>
  <si>
    <t>CL02319</t>
  </si>
  <si>
    <t>H3</t>
  </si>
  <si>
    <t>24010KN103</t>
  </si>
  <si>
    <t xml:space="preserve">PC </t>
  </si>
  <si>
    <t>Y</t>
  </si>
  <si>
    <t>A</t>
  </si>
  <si>
    <t>CL02786</t>
  </si>
  <si>
    <t>2590AKN300</t>
  </si>
  <si>
    <t>CL02477</t>
  </si>
  <si>
    <t>28216SA206</t>
  </si>
  <si>
    <t>H502064</t>
  </si>
  <si>
    <t>DL01965</t>
  </si>
  <si>
    <t>24080SN102</t>
  </si>
  <si>
    <t>CL02885</t>
  </si>
  <si>
    <t>2590ASN300</t>
  </si>
  <si>
    <t>28360SN100</t>
  </si>
  <si>
    <t>H500668</t>
  </si>
  <si>
    <t>AL03351</t>
  </si>
  <si>
    <t>24010KN10C</t>
  </si>
  <si>
    <t>H500669</t>
  </si>
  <si>
    <t>24010KN10D</t>
  </si>
  <si>
    <t>H500670</t>
  </si>
  <si>
    <t>H500671</t>
  </si>
  <si>
    <t>24012KN100</t>
  </si>
  <si>
    <t>24012KN102</t>
  </si>
  <si>
    <t>24012KN103</t>
  </si>
  <si>
    <t>H500672</t>
  </si>
  <si>
    <t>24012KN105</t>
  </si>
  <si>
    <t>CL02976</t>
  </si>
  <si>
    <t>24012KN108</t>
  </si>
  <si>
    <t>24012KN109</t>
  </si>
  <si>
    <t>H500673</t>
  </si>
  <si>
    <t>CL02564</t>
  </si>
  <si>
    <t>24012SN261</t>
  </si>
  <si>
    <t>24012SN262</t>
  </si>
  <si>
    <t>24012SN263</t>
  </si>
  <si>
    <t>24012SN264</t>
  </si>
  <si>
    <t>24012SN266</t>
  </si>
  <si>
    <t>24080SN100</t>
  </si>
  <si>
    <t>H500674</t>
  </si>
  <si>
    <t>H500675</t>
  </si>
  <si>
    <t>CL02648</t>
  </si>
  <si>
    <t>2590AMA200</t>
  </si>
  <si>
    <t>AL03378</t>
  </si>
  <si>
    <t>2590AMA230</t>
  </si>
  <si>
    <t>2590ASA230</t>
  </si>
  <si>
    <t>AL02884</t>
  </si>
  <si>
    <t>28216MA105</t>
  </si>
  <si>
    <t>28216MA113</t>
  </si>
  <si>
    <t>BL02884</t>
  </si>
  <si>
    <t>28216MA123</t>
  </si>
  <si>
    <t>28216MA313</t>
  </si>
  <si>
    <t>CL02594</t>
  </si>
  <si>
    <t>28216SA123</t>
  </si>
  <si>
    <t>28216SA124</t>
  </si>
  <si>
    <t>BL03131</t>
  </si>
  <si>
    <t>28216SN304</t>
  </si>
  <si>
    <t>28216SN306</t>
  </si>
  <si>
    <t>H500676</t>
  </si>
  <si>
    <t>H500678</t>
  </si>
  <si>
    <t xml:space="preserve"> </t>
  </si>
  <si>
    <t>E001285</t>
  </si>
  <si>
    <t>E001286</t>
  </si>
  <si>
    <t>24010KN104</t>
  </si>
  <si>
    <t>H502409</t>
  </si>
  <si>
    <t>H502410</t>
  </si>
  <si>
    <t>AL03132</t>
  </si>
  <si>
    <t>24012KN572</t>
  </si>
  <si>
    <t>24012KN573</t>
  </si>
  <si>
    <t>H502411</t>
  </si>
  <si>
    <t>24080SN105</t>
  </si>
  <si>
    <t>28216KN316</t>
  </si>
  <si>
    <t>H502412</t>
  </si>
  <si>
    <t>select a.*, c.cu_no, b.od_serno, b.od_no, b.mu_qty, b.mu_price, b.el_no, b.el_ver, b.cr_code, b.cu_elnoold, b.cu_po_no1 from (</t>
    <phoneticPr fontId="3" type="noConversion"/>
  </si>
  <si>
    <t>) a left join (select cu_no, od_serno, od_no, mu_qty, mu_price, el_no, el_ver, cr_code, cu_elnoold, cu_po_no1 from ieod01d1 (nolock)) b on a.shipno=b.cu_po_no1 left join ieod01h c (nolock) on b.od_serno=c.od_serno order by a.item</t>
    <phoneticPr fontId="3" type="noConversion"/>
  </si>
  <si>
    <t>CPM (三義)</t>
    <phoneticPr fontId="3" type="noConversion"/>
  </si>
  <si>
    <t>No CPM (湖口)</t>
    <phoneticPr fontId="3" type="noConversion"/>
  </si>
  <si>
    <t>) a left join (select cu_no, od_serno, od_no, mu_qty, mu_price, el_no, el_ver, cr_code, cu_elnoold, cu_po_no1 from ieod01d1 (nolock)) b on a.shipno=b.cu_po_no1 and a.richan=b.cu_elnoold left join ieod01h c (nolock) on b.od_serno=c.od_serno order by a.item</t>
    <phoneticPr fontId="3" type="noConversion"/>
  </si>
  <si>
    <t>0A712_樂榮工業(CPM).txt</t>
    <phoneticPr fontId="3" type="noConversion"/>
  </si>
  <si>
    <t>EA</t>
  </si>
  <si>
    <t xml:space="preserve"> 4</t>
  </si>
  <si>
    <t>151C0045</t>
  </si>
  <si>
    <t>20150114</t>
  </si>
  <si>
    <t xml:space="preserve">NT </t>
  </si>
  <si>
    <t>14CA0017</t>
  </si>
  <si>
    <t>20141212</t>
  </si>
  <si>
    <t>14CB0013</t>
  </si>
  <si>
    <t>20141215</t>
  </si>
  <si>
    <t>14CC0017</t>
  </si>
  <si>
    <t>14CF0021</t>
  </si>
  <si>
    <t>20141217</t>
  </si>
  <si>
    <t>14CG0022</t>
  </si>
  <si>
    <t>20141218</t>
  </si>
  <si>
    <t>14CH0023</t>
  </si>
  <si>
    <t>14CI0034</t>
  </si>
  <si>
    <t>20141219</t>
  </si>
  <si>
    <t>14CI0035</t>
  </si>
  <si>
    <t>20141222</t>
  </si>
  <si>
    <t>14CQ0003</t>
  </si>
  <si>
    <t>20141229</t>
  </si>
  <si>
    <t>14CT0021</t>
  </si>
  <si>
    <t>20141230</t>
  </si>
  <si>
    <t>15150029</t>
  </si>
  <si>
    <t>20150107</t>
  </si>
  <si>
    <t>15180020</t>
  </si>
  <si>
    <t>20150112</t>
  </si>
  <si>
    <t>151C0041</t>
  </si>
  <si>
    <t>151F0031</t>
  </si>
  <si>
    <t>20150116</t>
  </si>
  <si>
    <t>151J0027</t>
  </si>
  <si>
    <t>20150121</t>
  </si>
  <si>
    <t>14C30023</t>
  </si>
  <si>
    <t>20141204</t>
  </si>
  <si>
    <t>14C40026</t>
  </si>
  <si>
    <t>20141205</t>
  </si>
  <si>
    <t>14C50027</t>
  </si>
  <si>
    <t>20141209</t>
  </si>
  <si>
    <t>14C90019</t>
  </si>
  <si>
    <t>20141211</t>
  </si>
  <si>
    <t>14CN0029</t>
  </si>
  <si>
    <t>20141225</t>
  </si>
  <si>
    <t>14CO0027</t>
  </si>
  <si>
    <t>20141226</t>
  </si>
  <si>
    <t>14CP0023</t>
  </si>
  <si>
    <t>14CQ0016</t>
  </si>
  <si>
    <t>14CV0023</t>
  </si>
  <si>
    <t>20150106</t>
  </si>
  <si>
    <t>15170028</t>
  </si>
  <si>
    <t>20150109</t>
  </si>
  <si>
    <t>15190021</t>
  </si>
  <si>
    <t>20150113</t>
  </si>
  <si>
    <t>151D0022</t>
  </si>
  <si>
    <t>20150115</t>
  </si>
  <si>
    <t>151E0039</t>
  </si>
  <si>
    <t>151F0024</t>
  </si>
  <si>
    <t>20150119</t>
  </si>
  <si>
    <t>151J0024</t>
  </si>
  <si>
    <t>20150120</t>
  </si>
  <si>
    <t>151N0016</t>
  </si>
  <si>
    <t>20150127</t>
  </si>
  <si>
    <t>151Q0019</t>
  </si>
  <si>
    <t>20150128</t>
  </si>
  <si>
    <t>151R0018</t>
  </si>
  <si>
    <t>20150129</t>
  </si>
  <si>
    <t>151S0014</t>
  </si>
  <si>
    <t>151T0016</t>
  </si>
  <si>
    <t>20150130</t>
  </si>
  <si>
    <t>15150028</t>
  </si>
  <si>
    <t>15160026</t>
  </si>
  <si>
    <t>20150108</t>
  </si>
  <si>
    <t>15170033</t>
  </si>
  <si>
    <t>15190023</t>
  </si>
  <si>
    <t>151C0040</t>
  </si>
  <si>
    <t>151E0041</t>
  </si>
  <si>
    <t>151J0026</t>
  </si>
  <si>
    <t>151L0004</t>
  </si>
  <si>
    <t>20150123</t>
  </si>
  <si>
    <t>151N0027</t>
  </si>
  <si>
    <t>151Q0026</t>
  </si>
  <si>
    <t>151R0028</t>
  </si>
  <si>
    <t>151S0025</t>
  </si>
  <si>
    <t>15170029</t>
  </si>
  <si>
    <t>151D0023</t>
  </si>
  <si>
    <t>151S0015</t>
  </si>
  <si>
    <t>151T0017</t>
  </si>
  <si>
    <t>14CV0034</t>
  </si>
  <si>
    <t>15190024</t>
  </si>
  <si>
    <t>151D0033</t>
  </si>
  <si>
    <t>151F0041</t>
  </si>
  <si>
    <t>151J0028</t>
  </si>
  <si>
    <t>151K0028</t>
  </si>
  <si>
    <t>20150122</t>
  </si>
  <si>
    <t>151F0043</t>
  </si>
  <si>
    <t>151F0042</t>
  </si>
  <si>
    <t>14CV0026</t>
  </si>
  <si>
    <t>14CV0035</t>
  </si>
  <si>
    <t>15180021</t>
  </si>
  <si>
    <t>151D0034</t>
  </si>
  <si>
    <t>151E0040</t>
  </si>
  <si>
    <t>151F0029</t>
  </si>
  <si>
    <t>151K0019</t>
  </si>
  <si>
    <t>151N0019</t>
  </si>
  <si>
    <t>151R0019</t>
  </si>
  <si>
    <t>15170034</t>
  </si>
  <si>
    <t>151C0042</t>
  </si>
  <si>
    <t>151J0029</t>
  </si>
  <si>
    <t>151N0028</t>
  </si>
  <si>
    <t>151Q0027</t>
  </si>
  <si>
    <t>151S0026</t>
  </si>
  <si>
    <t>151T0018</t>
  </si>
  <si>
    <t>151T0025</t>
  </si>
  <si>
    <t>15170035</t>
  </si>
  <si>
    <t>151C0043</t>
  </si>
  <si>
    <t>151J0030</t>
  </si>
  <si>
    <t>151M0025</t>
  </si>
  <si>
    <t>20150126</t>
  </si>
  <si>
    <t>151N0029</t>
  </si>
  <si>
    <t>151R0029</t>
  </si>
  <si>
    <t>151S0016</t>
  </si>
  <si>
    <t>151S0027</t>
  </si>
  <si>
    <t>151T0026</t>
  </si>
  <si>
    <t>14CV0036</t>
  </si>
  <si>
    <t>15170030</t>
  </si>
  <si>
    <t>15180022</t>
  </si>
  <si>
    <t>151D0035</t>
  </si>
  <si>
    <t>151F0030</t>
  </si>
  <si>
    <t>151F0025</t>
  </si>
  <si>
    <t>151J0031</t>
  </si>
  <si>
    <t>151L0001</t>
  </si>
  <si>
    <t>151N0017</t>
  </si>
  <si>
    <t>151R0020</t>
  </si>
  <si>
    <t>14CV0024</t>
  </si>
  <si>
    <t>14CV0037</t>
  </si>
  <si>
    <t>151D0024</t>
  </si>
  <si>
    <t>151D0036</t>
  </si>
  <si>
    <t>151G0028</t>
  </si>
  <si>
    <t>151K0020</t>
  </si>
  <si>
    <t>151N0018</t>
  </si>
  <si>
    <t>151Q0020</t>
  </si>
  <si>
    <t>151T0019</t>
  </si>
  <si>
    <t>14CV0025</t>
  </si>
  <si>
    <t>15160011</t>
  </si>
  <si>
    <t>151E0017</t>
  </si>
  <si>
    <t>14CV0014</t>
  </si>
  <si>
    <t>15150016</t>
  </si>
  <si>
    <t>15170014</t>
  </si>
  <si>
    <t>151C0022</t>
  </si>
  <si>
    <t>151D0009</t>
  </si>
  <si>
    <t>151E0018</t>
  </si>
  <si>
    <t>15170015</t>
  </si>
  <si>
    <t>15180011</t>
  </si>
  <si>
    <t>15190011</t>
  </si>
  <si>
    <t>151C0023</t>
  </si>
  <si>
    <t>151D0010</t>
  </si>
  <si>
    <t>151E0019</t>
  </si>
  <si>
    <t>151C0024</t>
  </si>
  <si>
    <t>151E0020</t>
  </si>
  <si>
    <t>15150017</t>
  </si>
  <si>
    <t>147F0030</t>
  </si>
  <si>
    <t>20140725</t>
  </si>
  <si>
    <t>14CV0015</t>
  </si>
  <si>
    <t>151E0021</t>
  </si>
  <si>
    <t>15170016</t>
  </si>
  <si>
    <t>149U0048</t>
  </si>
  <si>
    <t>20141017</t>
  </si>
  <si>
    <t>145S0005</t>
  </si>
  <si>
    <t>20140612</t>
  </si>
  <si>
    <t>14CV0049</t>
  </si>
  <si>
    <t>145S0004</t>
  </si>
  <si>
    <t>15160012</t>
  </si>
  <si>
    <t>15160013</t>
  </si>
  <si>
    <t>151E0022</t>
  </si>
  <si>
    <t>14CV0050</t>
  </si>
  <si>
    <t>KKN-24010-048C</t>
  </si>
  <si>
    <t>KKN-24010-048D</t>
  </si>
  <si>
    <t>KKN-24010-1480</t>
  </si>
  <si>
    <t>KKN-24010-6480</t>
  </si>
  <si>
    <t>KKN-24010-A480</t>
  </si>
  <si>
    <t>KKN-24010-H480</t>
  </si>
  <si>
    <t>KKN-24010-L480</t>
  </si>
  <si>
    <t>KKN-2804A-2480</t>
  </si>
  <si>
    <t>KKN-2804A-3480</t>
  </si>
  <si>
    <t>KKN-28216-048A</t>
  </si>
  <si>
    <t>KKN-28216-148A</t>
  </si>
  <si>
    <t>KKN-28216-248A</t>
  </si>
  <si>
    <t>KKN-28216-4480</t>
  </si>
  <si>
    <t>KSN-24010-F480</t>
  </si>
  <si>
    <t>KSN-24010-G480</t>
  </si>
  <si>
    <t>KSN-24010-H480</t>
  </si>
  <si>
    <t>KSN-24010-I480</t>
  </si>
  <si>
    <t>KSN-24010-K480</t>
  </si>
  <si>
    <t>KSN-24010-K48A</t>
  </si>
  <si>
    <t>KSN-2804A-0480</t>
  </si>
  <si>
    <t>KSN-2804A-1480</t>
  </si>
  <si>
    <t>KSN-2804A-3480</t>
  </si>
  <si>
    <t>KSN-2804A-4480</t>
  </si>
  <si>
    <t>KSN-28216-4480</t>
  </si>
  <si>
    <t>KSN-28216-5480</t>
  </si>
  <si>
    <t>KSN-28216-7480</t>
  </si>
  <si>
    <t>KKN-24010-0480</t>
    <phoneticPr fontId="3" type="noConversion"/>
  </si>
  <si>
    <t>24010-KN100</t>
  </si>
  <si>
    <t>24010-KN10C</t>
  </si>
  <si>
    <t>24010-KN10D</t>
  </si>
  <si>
    <t>24010-KN101</t>
  </si>
  <si>
    <t>24010-KN106</t>
  </si>
  <si>
    <t>24010-KN117</t>
  </si>
  <si>
    <t>24010-KN576</t>
  </si>
  <si>
    <t>24010-KN574</t>
  </si>
  <si>
    <t>2804A-KN102</t>
  </si>
  <si>
    <t>2804A-KN103</t>
  </si>
  <si>
    <t>28216-KN211</t>
  </si>
  <si>
    <t>28216-KN214</t>
  </si>
  <si>
    <t>28216-KN215</t>
  </si>
  <si>
    <t>28216-KN224</t>
  </si>
  <si>
    <t>24010-SN261</t>
  </si>
  <si>
    <t>24010-SN262</t>
  </si>
  <si>
    <t>24010-SN263</t>
  </si>
  <si>
    <t>24010-SN264</t>
  </si>
  <si>
    <t>24010-SN266</t>
  </si>
  <si>
    <t>24010-SN26F</t>
  </si>
  <si>
    <t>2804A-SN101</t>
  </si>
  <si>
    <t>2804A-SN102</t>
  </si>
  <si>
    <t>2804A-SN104</t>
  </si>
  <si>
    <t>2804A-SN103</t>
  </si>
  <si>
    <t>28216-SN206</t>
  </si>
  <si>
    <t>28216-SN211</t>
  </si>
  <si>
    <t>28216-SN305</t>
  </si>
  <si>
    <t>PON151C0045</t>
  </si>
  <si>
    <t>A554FW16</t>
  </si>
  <si>
    <t>S15A2333</t>
  </si>
  <si>
    <t>L88560</t>
  </si>
  <si>
    <t>PWHAZ2S8900A101BA554</t>
  </si>
  <si>
    <t>PON14CA0017</t>
  </si>
  <si>
    <t>NULL</t>
  </si>
  <si>
    <t>PON14CB0013</t>
  </si>
  <si>
    <t>S14H0536</t>
  </si>
  <si>
    <t>L70741</t>
  </si>
  <si>
    <t>PWHAA2B5900A00QBA554</t>
  </si>
  <si>
    <t>S14L1353</t>
  </si>
  <si>
    <t>L70739</t>
  </si>
  <si>
    <t>PON14CC0017</t>
  </si>
  <si>
    <t>S14L1354</t>
  </si>
  <si>
    <t>L70740</t>
  </si>
  <si>
    <t>PON14CF0021</t>
  </si>
  <si>
    <t>S14L1453</t>
  </si>
  <si>
    <t>L71125</t>
  </si>
  <si>
    <t>PON14CG0022</t>
  </si>
  <si>
    <t>S14L1799</t>
  </si>
  <si>
    <t>L72368</t>
  </si>
  <si>
    <t>PON14CH0023</t>
  </si>
  <si>
    <t>S14L1800</t>
  </si>
  <si>
    <t>L72369</t>
  </si>
  <si>
    <t>PON14CI0034</t>
  </si>
  <si>
    <t>S15A0072</t>
  </si>
  <si>
    <t>L78048</t>
  </si>
  <si>
    <t>PON14CI0035</t>
  </si>
  <si>
    <t>S14L2520</t>
  </si>
  <si>
    <t>L75908</t>
  </si>
  <si>
    <t>PON14CQ0003</t>
  </si>
  <si>
    <t>S14L2699</t>
  </si>
  <si>
    <t>L76788</t>
  </si>
  <si>
    <t>PON14CT0021</t>
  </si>
  <si>
    <t>S14L2702</t>
  </si>
  <si>
    <t>L76791</t>
  </si>
  <si>
    <t>PON15150029</t>
  </si>
  <si>
    <t>S15A0102</t>
  </si>
  <si>
    <t>L78088</t>
  </si>
  <si>
    <t>PON15180020</t>
  </si>
  <si>
    <t>S15A2323</t>
  </si>
  <si>
    <t>L88550</t>
  </si>
  <si>
    <t>PON151C0041</t>
  </si>
  <si>
    <t>S15A2332</t>
  </si>
  <si>
    <t>L88559</t>
  </si>
  <si>
    <t>PON151F0031</t>
  </si>
  <si>
    <t>S15A2346</t>
  </si>
  <si>
    <t>L88573</t>
  </si>
  <si>
    <t>PON151J0027</t>
  </si>
  <si>
    <t>S15A2350</t>
  </si>
  <si>
    <t>L88577</t>
  </si>
  <si>
    <t>PON14C30023</t>
  </si>
  <si>
    <t>A554</t>
  </si>
  <si>
    <t>S14F1943</t>
  </si>
  <si>
    <t>L05822</t>
  </si>
  <si>
    <t>PWHAA2S5900A017BA554</t>
  </si>
  <si>
    <t>L22437</t>
  </si>
  <si>
    <t>PON14C40026</t>
  </si>
  <si>
    <t>L70196</t>
  </si>
  <si>
    <t>PON14C50027</t>
  </si>
  <si>
    <t>L70197</t>
  </si>
  <si>
    <t>S14L1176</t>
  </si>
  <si>
    <t>L70108</t>
  </si>
  <si>
    <t>PON14C90019</t>
  </si>
  <si>
    <t>S14L1351</t>
  </si>
  <si>
    <t>L70737</t>
  </si>
  <si>
    <t>PON14CN0029</t>
  </si>
  <si>
    <t>S14L2528</t>
  </si>
  <si>
    <t>L75917</t>
  </si>
  <si>
    <t>PON14CO0027</t>
  </si>
  <si>
    <t>S14L2531</t>
  </si>
  <si>
    <t>L75920</t>
  </si>
  <si>
    <t>PON14CP0023</t>
  </si>
  <si>
    <t>S14L2533</t>
  </si>
  <si>
    <t>L75922</t>
  </si>
  <si>
    <t>PON14CQ0016</t>
  </si>
  <si>
    <t>S14L2701</t>
  </si>
  <si>
    <t>L76790</t>
  </si>
  <si>
    <t>PON14CV0023</t>
  </si>
  <si>
    <t>S15A0097</t>
  </si>
  <si>
    <t>L78083</t>
  </si>
  <si>
    <t>PON15170028</t>
  </si>
  <si>
    <t>S15A2319</t>
  </si>
  <si>
    <t>L88546</t>
  </si>
  <si>
    <t>PON15190021</t>
  </si>
  <si>
    <t>S15A2325</t>
  </si>
  <si>
    <t>L88552</t>
  </si>
  <si>
    <t>PON151D0022</t>
  </si>
  <si>
    <t>S15A2336</t>
  </si>
  <si>
    <t>L88563</t>
  </si>
  <si>
    <t>PON151E0039</t>
  </si>
  <si>
    <t>S15A2343</t>
  </si>
  <si>
    <t>L88570</t>
  </si>
  <si>
    <t>PON151F0024</t>
  </si>
  <si>
    <t>S15A2345</t>
  </si>
  <si>
    <t>L88572</t>
  </si>
  <si>
    <t>PON151J0024</t>
  </si>
  <si>
    <t>S15A2348</t>
  </si>
  <si>
    <t>L88575</t>
  </si>
  <si>
    <t>PON151N0016</t>
  </si>
  <si>
    <t>S15B0707</t>
  </si>
  <si>
    <t>L92610</t>
  </si>
  <si>
    <t>PON151Q0019</t>
  </si>
  <si>
    <t>S15B0709</t>
  </si>
  <si>
    <t>L92612</t>
  </si>
  <si>
    <t>PON151R0018</t>
  </si>
  <si>
    <t>S15B0711</t>
  </si>
  <si>
    <t>L92614</t>
  </si>
  <si>
    <t>PON151S0014</t>
  </si>
  <si>
    <t>S15B0713</t>
  </si>
  <si>
    <t>L92616</t>
  </si>
  <si>
    <t>PON151T0016</t>
  </si>
  <si>
    <t>S15B0716</t>
  </si>
  <si>
    <t>L92619</t>
  </si>
  <si>
    <t>PON15150028</t>
  </si>
  <si>
    <t>S15A0101</t>
  </si>
  <si>
    <t>L78087</t>
  </si>
  <si>
    <t>PWHAZ2S8900A102BA554</t>
  </si>
  <si>
    <t>PON15160026</t>
  </si>
  <si>
    <t>S15A2316</t>
  </si>
  <si>
    <t>L88543</t>
  </si>
  <si>
    <t>PON15170033</t>
  </si>
  <si>
    <t>S15A2321</t>
  </si>
  <si>
    <t>L88548</t>
  </si>
  <si>
    <t>PON15190023</t>
  </si>
  <si>
    <t>S15A2326</t>
  </si>
  <si>
    <t>L88553</t>
  </si>
  <si>
    <t>PON151C0040</t>
  </si>
  <si>
    <t>S15A2331</t>
  </si>
  <si>
    <t>L88558</t>
  </si>
  <si>
    <t>PON151E0041</t>
  </si>
  <si>
    <t>S15A2344</t>
  </si>
  <si>
    <t>L88571</t>
  </si>
  <si>
    <t>PON151J0026</t>
  </si>
  <si>
    <t>S15A2349</t>
  </si>
  <si>
    <t>L88576</t>
  </si>
  <si>
    <t>PON151L0004</t>
  </si>
  <si>
    <t>S15B0706</t>
  </si>
  <si>
    <t>L92609</t>
  </si>
  <si>
    <t>PON151N0027</t>
  </si>
  <si>
    <t>S15B0708</t>
  </si>
  <si>
    <t>L92611</t>
  </si>
  <si>
    <t>PON151Q0026</t>
  </si>
  <si>
    <t>S15B0710</t>
  </si>
  <si>
    <t>L92613</t>
  </si>
  <si>
    <t>PON151R0028</t>
  </si>
  <si>
    <t>S15B0712</t>
  </si>
  <si>
    <t>L92615</t>
  </si>
  <si>
    <t>PON151S0025</t>
  </si>
  <si>
    <t>S15B0715</t>
  </si>
  <si>
    <t>L92618</t>
  </si>
  <si>
    <t>PON15170029</t>
  </si>
  <si>
    <t>S15A2320</t>
  </si>
  <si>
    <t>L88547</t>
  </si>
  <si>
    <t>PWHAZ2S8900A107BA554</t>
  </si>
  <si>
    <t>PON151D0023</t>
  </si>
  <si>
    <t>S15A2337</t>
  </si>
  <si>
    <t>L88564</t>
  </si>
  <si>
    <t>PON151S0015</t>
  </si>
  <si>
    <t>S15B0714</t>
  </si>
  <si>
    <t>L92617</t>
  </si>
  <si>
    <t>PON151T0017</t>
  </si>
  <si>
    <t>S15B0717</t>
  </si>
  <si>
    <t>L92620</t>
  </si>
  <si>
    <t>PON14CV0034</t>
  </si>
  <si>
    <t>S15A0098</t>
  </si>
  <si>
    <t>L78084</t>
  </si>
  <si>
    <t>PWHAA2S5900A01ABA554</t>
  </si>
  <si>
    <t>PON15190024</t>
  </si>
  <si>
    <t>S15A2327</t>
  </si>
  <si>
    <t>L88554</t>
  </si>
  <si>
    <t>PON151D0033</t>
  </si>
  <si>
    <t>S15A2338</t>
  </si>
  <si>
    <t>L88565</t>
  </si>
  <si>
    <t>PON151F0041</t>
  </si>
  <si>
    <t>S15A2347</t>
  </si>
  <si>
    <t>L88574</t>
  </si>
  <si>
    <t>PON151J0028</t>
  </si>
  <si>
    <t>S15A2351</t>
  </si>
  <si>
    <t>L88578</t>
  </si>
  <si>
    <t>PON151K0028</t>
  </si>
  <si>
    <t>S15A2352</t>
  </si>
  <si>
    <t>L88579</t>
  </si>
  <si>
    <t>PON151F0043</t>
  </si>
  <si>
    <t>PON151F0042</t>
  </si>
  <si>
    <t>PON14CV0026</t>
  </si>
  <si>
    <t>A554F</t>
  </si>
  <si>
    <t>S15A0105</t>
  </si>
  <si>
    <t>L78091</t>
  </si>
  <si>
    <t>PVAAA000000Z160BA554</t>
  </si>
  <si>
    <t>B0</t>
  </si>
  <si>
    <t>PON14CV0035</t>
  </si>
  <si>
    <t>S15A0106</t>
  </si>
  <si>
    <t>L78092</t>
  </si>
  <si>
    <t>PON15180021</t>
  </si>
  <si>
    <t>S15A2222</t>
  </si>
  <si>
    <t>L88320</t>
  </si>
  <si>
    <t>PON151D0034</t>
  </si>
  <si>
    <t>S15A2227</t>
  </si>
  <si>
    <t>L88325</t>
  </si>
  <si>
    <t>PON151E0040</t>
  </si>
  <si>
    <t>S15A2232</t>
  </si>
  <si>
    <t>L88330</t>
  </si>
  <si>
    <t>PON151F0029</t>
  </si>
  <si>
    <t>S15A2234</t>
  </si>
  <si>
    <t>L88332</t>
  </si>
  <si>
    <t>PON151K0019</t>
  </si>
  <si>
    <t>S15A2240</t>
  </si>
  <si>
    <t>L88338</t>
  </si>
  <si>
    <t>PON151N0019</t>
  </si>
  <si>
    <t>PON151R0019</t>
  </si>
  <si>
    <t>PON15170034</t>
  </si>
  <si>
    <t>S15A2220</t>
  </si>
  <si>
    <t>L88318</t>
  </si>
  <si>
    <t>PVAAA000000Z161BA554</t>
  </si>
  <si>
    <t>PON151C0042</t>
  </si>
  <si>
    <t>S15A2224</t>
  </si>
  <si>
    <t>L88322</t>
  </si>
  <si>
    <t>PON151J0029</t>
  </si>
  <si>
    <t>S15A2237</t>
  </si>
  <si>
    <t>L88335</t>
  </si>
  <si>
    <t>PON151N0028</t>
  </si>
  <si>
    <t>PON151Q0027</t>
  </si>
  <si>
    <t>PON151S0026</t>
  </si>
  <si>
    <t>PON151T0018</t>
  </si>
  <si>
    <t>PON151T0025</t>
  </si>
  <si>
    <t>PON15170035</t>
  </si>
  <si>
    <t>S15A2221</t>
  </si>
  <si>
    <t>L88319</t>
  </si>
  <si>
    <t>PCAWLK04803Z101BA554</t>
  </si>
  <si>
    <t>PON151C0043</t>
  </si>
  <si>
    <t>S15A2225</t>
  </si>
  <si>
    <t>L88323</t>
  </si>
  <si>
    <t>PON151J0030</t>
  </si>
  <si>
    <t>S15A2238</t>
  </si>
  <si>
    <t>L88336</t>
  </si>
  <si>
    <t>PON151M0025</t>
  </si>
  <si>
    <t>PON151N0029</t>
  </si>
  <si>
    <t>PON151R0029</t>
  </si>
  <si>
    <t>PON151S0016</t>
  </si>
  <si>
    <t>PON151S0027</t>
  </si>
  <si>
    <t>PON151T0026</t>
  </si>
  <si>
    <t>PON14CV0036</t>
  </si>
  <si>
    <t>S15A0107</t>
  </si>
  <si>
    <t>L78093</t>
  </si>
  <si>
    <t>PCAWLL04800Z102BA554</t>
  </si>
  <si>
    <t>PON15170030</t>
  </si>
  <si>
    <t>S15A2219</t>
  </si>
  <si>
    <t>L88317</t>
  </si>
  <si>
    <t>PON15180022</t>
  </si>
  <si>
    <t>S15A2223</t>
  </si>
  <si>
    <t>L88321</t>
  </si>
  <si>
    <t>PON151D0035</t>
  </si>
  <si>
    <t>S15A2228</t>
  </si>
  <si>
    <t>L88326</t>
  </si>
  <si>
    <t>PON151F0030</t>
  </si>
  <si>
    <t>S15A2235</t>
  </si>
  <si>
    <t>L88333</t>
  </si>
  <si>
    <t>PON151F0025</t>
  </si>
  <si>
    <t>S15A2233</t>
  </si>
  <si>
    <t>L88331</t>
  </si>
  <si>
    <t>PON151J0031</t>
  </si>
  <si>
    <t>S15A2239</t>
  </si>
  <si>
    <t>L88337</t>
  </si>
  <si>
    <t>PON151L0001</t>
  </si>
  <si>
    <t>PON151N0017</t>
  </si>
  <si>
    <t>PON151R0020</t>
  </si>
  <si>
    <t>PON14CV0024</t>
  </si>
  <si>
    <t>S15A0104</t>
  </si>
  <si>
    <t>L78090</t>
  </si>
  <si>
    <t>PWHA719DB00A001BA554</t>
  </si>
  <si>
    <t>PON14CV0037</t>
  </si>
  <si>
    <t>S15A0108</t>
  </si>
  <si>
    <t>L78094</t>
  </si>
  <si>
    <t>PON151D0024</t>
  </si>
  <si>
    <t>S15A2226</t>
  </si>
  <si>
    <t>L88324</t>
  </si>
  <si>
    <t>PON151D0036</t>
  </si>
  <si>
    <t>S15A2229</t>
  </si>
  <si>
    <t>L88327</t>
  </si>
  <si>
    <t>PON151G0028</t>
  </si>
  <si>
    <t>S15A2236</t>
  </si>
  <si>
    <t>L88334</t>
  </si>
  <si>
    <t>PON151K0020</t>
  </si>
  <si>
    <t>S15A2241</t>
  </si>
  <si>
    <t>L88339</t>
  </si>
  <si>
    <t>PON151N0018</t>
  </si>
  <si>
    <t>PON151Q0020</t>
  </si>
  <si>
    <t>PON151T0019</t>
  </si>
  <si>
    <t>PON14CV0025</t>
  </si>
  <si>
    <t>A554B</t>
  </si>
  <si>
    <t>S13K1683</t>
  </si>
  <si>
    <t>L76880</t>
  </si>
  <si>
    <t>PCABLU04C01Z001BA554</t>
  </si>
  <si>
    <t>PON15160011</t>
  </si>
  <si>
    <t>S15A2315</t>
  </si>
  <si>
    <t>L88542</t>
  </si>
  <si>
    <t>PWHAZ2SA900A007BA554</t>
  </si>
  <si>
    <t>PON151E0017</t>
  </si>
  <si>
    <t>S15A2339</t>
  </si>
  <si>
    <t>L88566</t>
  </si>
  <si>
    <t>PON14CV0014</t>
  </si>
  <si>
    <t>S15A0096</t>
  </si>
  <si>
    <t>L78082</t>
  </si>
  <si>
    <t>PWHAZ2SA900A008BA554</t>
  </si>
  <si>
    <t>PON15150016</t>
  </si>
  <si>
    <t>S15A0099</t>
  </si>
  <si>
    <t>L78085</t>
  </si>
  <si>
    <t>PON15170014</t>
  </si>
  <si>
    <t>S15A2317</t>
  </si>
  <si>
    <t>L88544</t>
  </si>
  <si>
    <t>PON151C0022</t>
  </si>
  <si>
    <t>S15A2328</t>
  </si>
  <si>
    <t>L88555</t>
  </si>
  <si>
    <t>PON151D0009</t>
  </si>
  <si>
    <t>S15A2334</t>
  </si>
  <si>
    <t>L88561</t>
  </si>
  <si>
    <t>PON151E0018</t>
  </si>
  <si>
    <t>S15A2340</t>
  </si>
  <si>
    <t>L88567</t>
  </si>
  <si>
    <t>PON15170015</t>
  </si>
  <si>
    <t>S15A2318</t>
  </si>
  <si>
    <t>L88545</t>
  </si>
  <si>
    <t>PWHAZ2SA900A009BA554</t>
  </si>
  <si>
    <t>PON15180011</t>
  </si>
  <si>
    <t>S15A2322</t>
  </si>
  <si>
    <t>L88549</t>
  </si>
  <si>
    <t>PON15190011</t>
  </si>
  <si>
    <t>S15A2324</t>
  </si>
  <si>
    <t>L88551</t>
  </si>
  <si>
    <t>PON151C0023</t>
  </si>
  <si>
    <t>S15A2329</t>
  </si>
  <si>
    <t>L88556</t>
  </si>
  <si>
    <t>PON151D0010</t>
  </si>
  <si>
    <t>S15A2335</t>
  </si>
  <si>
    <t>L88562</t>
  </si>
  <si>
    <t>PON151E0019</t>
  </si>
  <si>
    <t>S15A2341</t>
  </si>
  <si>
    <t>L88568</t>
  </si>
  <si>
    <t>PON151C0024</t>
  </si>
  <si>
    <t>S15A2330</t>
  </si>
  <si>
    <t>L88557</t>
  </si>
  <si>
    <t>PWHAZ2SA900A00ABA554</t>
  </si>
  <si>
    <t>PON151E0020</t>
  </si>
  <si>
    <t>S15A2342</t>
  </si>
  <si>
    <t>L88569</t>
  </si>
  <si>
    <t>PON15150017</t>
  </si>
  <si>
    <t>S15A0100</t>
  </si>
  <si>
    <t>L78086</t>
  </si>
  <si>
    <t>PWHAZ2SA900A00CBA554</t>
  </si>
  <si>
    <t>PON147F0030</t>
  </si>
  <si>
    <t>PON14CV0015</t>
  </si>
  <si>
    <t>S15A0103</t>
  </si>
  <si>
    <t>L78089</t>
  </si>
  <si>
    <t>PVAAQ000000Z103BA554</t>
  </si>
  <si>
    <t>B1</t>
  </si>
  <si>
    <t>PON151E0021</t>
  </si>
  <si>
    <t>S15A2230</t>
  </si>
  <si>
    <t>L88328</t>
  </si>
  <si>
    <t>PON15170016</t>
  </si>
  <si>
    <t>S15A2218</t>
  </si>
  <si>
    <t>L88316</t>
  </si>
  <si>
    <t>PVAAN000000Z112BA554</t>
  </si>
  <si>
    <t>PON149U0048</t>
  </si>
  <si>
    <t>PON145S0005</t>
  </si>
  <si>
    <t>PON14CV0049</t>
  </si>
  <si>
    <t>PON145S0004</t>
  </si>
  <si>
    <t>PON15160012</t>
  </si>
  <si>
    <t>S15A2216</t>
  </si>
  <si>
    <t>L88314</t>
  </si>
  <si>
    <t>PWHAZ2SA900A00LBA554</t>
  </si>
  <si>
    <t>PON15160013</t>
  </si>
  <si>
    <t>S15A2217</t>
  </si>
  <si>
    <t>L88315</t>
  </si>
  <si>
    <t>PCABLU04Z04Z003BA554</t>
  </si>
  <si>
    <t>PON151E0022</t>
  </si>
  <si>
    <t>S15A2231</t>
  </si>
  <si>
    <t>L88329</t>
  </si>
  <si>
    <t>PON14CV0050</t>
  </si>
  <si>
    <t>S14E1093</t>
  </si>
  <si>
    <t>L87017</t>
  </si>
  <si>
    <t>PCABLU04000Z102BA554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</si>
</sst>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_ "/>
    <numFmt numFmtId="177" formatCode="0.000_);[Red]\(0.000\)"/>
  </numFmts>
  <fonts count="11" x14ac:knownFonts="1">
    <font>
      <sz val="12"/>
      <color theme="1"/>
      <name val="新細明體"/>
      <family val="2"/>
      <scheme val="minor"/>
    </font>
    <font>
      <sz val="11"/>
      <color theme="1"/>
      <name val="新細明體"/>
      <family val="1"/>
      <charset val="136"/>
    </font>
    <font>
      <sz val="11"/>
      <color theme="1"/>
      <name val="Times New Roman"/>
      <family val="1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theme="1"/>
      <name val="新細明體"/>
      <family val="1"/>
      <charset val="136"/>
      <scheme val="minor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  <font>
      <sz val="12"/>
      <color rgb="FFFF0000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2" fillId="2" borderId="0" xfId="0" applyFont="1" applyFill="1" applyAlignment="1">
      <alignment vertical="center"/>
    </xf>
    <xf numFmtId="0" fontId="0" fillId="2" borderId="0" xfId="0" applyFill="1"/>
    <xf numFmtId="49" fontId="0" fillId="2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0" fontId="4" fillId="0" borderId="0" xfId="0" applyFont="1"/>
    <xf numFmtId="0" fontId="0" fillId="0" borderId="0" xfId="0" applyFont="1"/>
    <xf numFmtId="0" fontId="1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vertical="center"/>
    </xf>
    <xf numFmtId="0" fontId="4" fillId="4" borderId="0" xfId="0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0" fontId="4" fillId="6" borderId="0" xfId="0" applyFont="1" applyFill="1"/>
    <xf numFmtId="49" fontId="4" fillId="6" borderId="0" xfId="0" applyNumberFormat="1" applyFont="1" applyFill="1"/>
    <xf numFmtId="176" fontId="0" fillId="0" borderId="0" xfId="0" applyNumberFormat="1" applyFont="1"/>
    <xf numFmtId="176" fontId="4" fillId="0" borderId="0" xfId="0" applyNumberFormat="1" applyFont="1"/>
    <xf numFmtId="176" fontId="0" fillId="0" borderId="0" xfId="0" applyNumberFormat="1"/>
    <xf numFmtId="0" fontId="0" fillId="0" borderId="1" xfId="0" applyNumberFormat="1" applyBorder="1" applyAlignment="1">
      <alignment horizontal="center"/>
    </xf>
    <xf numFmtId="176" fontId="0" fillId="0" borderId="0" xfId="0" applyNumberFormat="1" applyAlignment="1">
      <alignment horizontal="center"/>
    </xf>
    <xf numFmtId="176" fontId="4" fillId="6" borderId="0" xfId="0" applyNumberFormat="1" applyFont="1" applyFill="1"/>
    <xf numFmtId="49" fontId="0" fillId="4" borderId="1" xfId="0" applyNumberForma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4" fillId="4" borderId="0" xfId="0" applyNumberFormat="1" applyFont="1" applyFill="1"/>
    <xf numFmtId="49" fontId="4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0" fontId="0" fillId="5" borderId="0" xfId="0" applyFill="1"/>
    <xf numFmtId="49" fontId="9" fillId="0" borderId="0" xfId="0" applyNumberFormat="1" applyFont="1"/>
    <xf numFmtId="0" fontId="4" fillId="0" borderId="0" xfId="0" applyFont="1" applyAlignment="1">
      <alignment horizontal="center"/>
    </xf>
    <xf numFmtId="0" fontId="10" fillId="0" borderId="0" xfId="0" applyFont="1"/>
    <xf numFmtId="49" fontId="0" fillId="0" borderId="1" xfId="0" applyNumberFormat="1" applyFill="1" applyBorder="1" applyAlignment="1">
      <alignment horizontal="center"/>
    </xf>
    <xf numFmtId="49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center"/>
    </xf>
    <xf numFmtId="49" fontId="0" fillId="0" borderId="3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177" fontId="0" fillId="0" borderId="1" xfId="0" applyNumberFormat="1" applyFill="1" applyBorder="1" applyAlignment="1">
      <alignment horizontal="center"/>
    </xf>
    <xf numFmtId="177" fontId="0" fillId="0" borderId="0" xfId="0" applyNumberFormat="1"/>
    <xf numFmtId="177" fontId="0" fillId="0" borderId="0" xfId="0" applyNumberFormat="1" applyFont="1"/>
    <xf numFmtId="177" fontId="0" fillId="0" borderId="0" xfId="0" applyNumberFormat="1" applyFill="1" applyBorder="1" applyAlignment="1">
      <alignment horizontal="center"/>
    </xf>
    <xf numFmtId="177" fontId="4" fillId="6" borderId="0" xfId="0" applyNumberFormat="1" applyFont="1" applyFill="1"/>
    <xf numFmtId="0" fontId="0" fillId="2" borderId="0" xfId="0" applyFill="1" applyAlignment="1">
      <alignment horizontal="center"/>
    </xf>
    <xf numFmtId="49" fontId="0" fillId="5" borderId="2" xfId="0" applyNumberFormat="1" applyFont="1" applyFill="1" applyBorder="1" applyAlignment="1"/>
    <xf numFmtId="0" fontId="0" fillId="5" borderId="2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0</xdr:row>
          <xdr:rowOff>0</xdr:rowOff>
        </xdr:from>
        <xdr:to>
          <xdr:col>20</xdr:col>
          <xdr:colOff>247650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小計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0</xdr:row>
          <xdr:rowOff>0</xdr:rowOff>
        </xdr:from>
        <xdr:to>
          <xdr:col>21</xdr:col>
          <xdr:colOff>285750</xdr:colOff>
          <xdr:row>0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清除小計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0</xdr:row>
          <xdr:rowOff>9525</xdr:rowOff>
        </xdr:from>
        <xdr:to>
          <xdr:col>14</xdr:col>
          <xdr:colOff>180975</xdr:colOff>
          <xdr:row>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0</xdr:row>
          <xdr:rowOff>9525</xdr:rowOff>
        </xdr:from>
        <xdr:to>
          <xdr:col>15</xdr:col>
          <xdr:colOff>314325</xdr:colOff>
          <xdr:row>1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0</xdr:rowOff>
        </xdr:from>
        <xdr:to>
          <xdr:col>17</xdr:col>
          <xdr:colOff>247650</xdr:colOff>
          <xdr:row>0</xdr:row>
          <xdr:rowOff>266700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小計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257175</xdr:colOff>
          <xdr:row>0</xdr:row>
          <xdr:rowOff>0</xdr:rowOff>
        </xdr:from>
        <xdr:to>
          <xdr:col>18</xdr:col>
          <xdr:colOff>285750</xdr:colOff>
          <xdr:row>0</xdr:row>
          <xdr:rowOff>266700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清除小計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rgb="FF00B0F0"/>
    <pageSetUpPr fitToPage="1"/>
  </sheetPr>
  <dimension ref="A1:M33"/>
  <sheetViews>
    <sheetView workbookViewId="0">
      <selection activeCell="L10" sqref="L10"/>
    </sheetView>
  </sheetViews>
  <sheetFormatPr defaultRowHeight="16.5" x14ac:dyDescent="0.25"/>
  <cols>
    <col min="1" max="1" width="23.75" customWidth="1"/>
    <col min="2" max="2" width="5.875" hidden="1" customWidth="1"/>
    <col min="3" max="3" width="16.125" bestFit="1" customWidth="1"/>
    <col min="7" max="7" width="9" style="3"/>
    <col min="8" max="8" width="7.125" style="3" customWidth="1"/>
    <col min="9" max="9" width="7.5" style="12" customWidth="1"/>
    <col min="10" max="10" width="7" hidden="1" customWidth="1"/>
    <col min="11" max="11" width="7.125" hidden="1" customWidth="1"/>
    <col min="12" max="12" width="27.625" customWidth="1"/>
    <col min="13" max="13" width="29.125" customWidth="1"/>
  </cols>
  <sheetData>
    <row r="1" spans="1:13" x14ac:dyDescent="0.25">
      <c r="C1" t="s">
        <v>59</v>
      </c>
      <c r="D1" t="s">
        <v>60</v>
      </c>
      <c r="E1" t="s">
        <v>61</v>
      </c>
      <c r="F1" t="s">
        <v>62</v>
      </c>
      <c r="G1" s="3" t="s">
        <v>63</v>
      </c>
      <c r="H1" s="3" t="s">
        <v>96</v>
      </c>
      <c r="I1" s="12" t="s">
        <v>97</v>
      </c>
    </row>
    <row r="2" spans="1:13" x14ac:dyDescent="0.25">
      <c r="A2" s="1" t="s">
        <v>5</v>
      </c>
      <c r="B2" s="1" t="s">
        <v>67</v>
      </c>
      <c r="C2" t="s">
        <v>6</v>
      </c>
      <c r="D2">
        <v>1</v>
      </c>
      <c r="E2">
        <v>1</v>
      </c>
      <c r="F2">
        <f>E2-D2+1</f>
        <v>1</v>
      </c>
      <c r="G2" s="7">
        <v>1</v>
      </c>
      <c r="H2" s="12">
        <v>1</v>
      </c>
      <c r="I2" s="19">
        <v>1</v>
      </c>
      <c r="J2" t="str">
        <f>"Dim " &amp; B2 &amp; " as string"</f>
        <v>Dim tag as string</v>
      </c>
      <c r="K2" t="str">
        <f>B2 &amp; " = " &amp; "Mid(InputStr, " &amp; D2 &amp; ", " &amp; F2 &amp; ")"</f>
        <v>tag = Mid(InputStr, 1, 1)</v>
      </c>
      <c r="L2" t="str">
        <f>"strAry(" &amp; I2 &amp; ") = " &amp; "Mid(pStr, " &amp; D2 &amp; ", " &amp; F2 &amp; ")"</f>
        <v>strAry(1) = Mid(pStr, 1, 1)</v>
      </c>
      <c r="M2" t="str">
        <f>"Cells(pPos, " &amp; H2 &amp; ")=strAry(" &amp; I2 &amp; ")"</f>
        <v>Cells(pPos, 1)=strAry(1)</v>
      </c>
    </row>
    <row r="3" spans="1:13" x14ac:dyDescent="0.25">
      <c r="A3" s="1" t="s">
        <v>7</v>
      </c>
      <c r="B3" s="1" t="s">
        <v>68</v>
      </c>
      <c r="C3" t="s">
        <v>8</v>
      </c>
      <c r="D3">
        <v>11</v>
      </c>
      <c r="E3">
        <v>15</v>
      </c>
      <c r="F3">
        <f t="shared" ref="F3:F30" si="0">E3-D3+1</f>
        <v>5</v>
      </c>
      <c r="H3" s="12">
        <v>2</v>
      </c>
      <c r="I3" s="19">
        <v>2</v>
      </c>
      <c r="J3" t="str">
        <f t="shared" ref="J3:J30" si="1">"Dim " &amp; B3 &amp; " as string"</f>
        <v>Dim CuNo as string</v>
      </c>
      <c r="K3" t="str">
        <f t="shared" ref="K3:K30" si="2">B3 &amp; " = " &amp; "Mid(InputStr, " &amp; D3 &amp; ", " &amp; F3 &amp; ")"</f>
        <v>CuNo = Mid(InputStr, 11, 5)</v>
      </c>
      <c r="L3" t="str">
        <f t="shared" ref="L3:L30" si="3">"strAry(" &amp; I3 &amp; ") = " &amp; "Mid(pStr, " &amp; D3 &amp; ", " &amp; F3 &amp; ")"</f>
        <v>strAry(2) = Mid(pStr, 11, 5)</v>
      </c>
      <c r="M3" t="str">
        <f t="shared" ref="M3:M30" si="4">"Cells(pPos, " &amp; H3 &amp; ")=strAry(" &amp; I3 &amp; ")"</f>
        <v>Cells(pPos, 2)=strAry(2)</v>
      </c>
    </row>
    <row r="4" spans="1:13" x14ac:dyDescent="0.25">
      <c r="A4" s="1" t="s">
        <v>9</v>
      </c>
      <c r="B4" s="1" t="s">
        <v>69</v>
      </c>
      <c r="C4" t="s">
        <v>10</v>
      </c>
      <c r="D4">
        <v>16</v>
      </c>
      <c r="E4">
        <v>21</v>
      </c>
      <c r="F4">
        <f t="shared" si="0"/>
        <v>6</v>
      </c>
      <c r="H4" s="12">
        <v>3</v>
      </c>
      <c r="I4" s="19">
        <v>3</v>
      </c>
      <c r="J4" t="str">
        <f t="shared" si="1"/>
        <v>Dim AccBd as string</v>
      </c>
      <c r="K4" t="str">
        <f t="shared" si="2"/>
        <v>AccBd = Mid(InputStr, 16, 6)</v>
      </c>
      <c r="L4" t="str">
        <f t="shared" si="3"/>
        <v>strAry(3) = Mid(pStr, 16, 6)</v>
      </c>
      <c r="M4" t="str">
        <f t="shared" si="4"/>
        <v>Cells(pPos, 3)=strAry(3)</v>
      </c>
    </row>
    <row r="5" spans="1:13" x14ac:dyDescent="0.25">
      <c r="B5" s="1" t="s">
        <v>70</v>
      </c>
      <c r="C5" t="s">
        <v>11</v>
      </c>
      <c r="D5">
        <v>22</v>
      </c>
      <c r="E5">
        <v>27</v>
      </c>
      <c r="F5">
        <f t="shared" si="0"/>
        <v>6</v>
      </c>
      <c r="H5" s="12">
        <v>4</v>
      </c>
      <c r="I5" s="19">
        <v>4</v>
      </c>
      <c r="J5" t="str">
        <f t="shared" si="1"/>
        <v>Dim AccEd as string</v>
      </c>
      <c r="K5" t="str">
        <f t="shared" si="2"/>
        <v>AccEd = Mid(InputStr, 22, 6)</v>
      </c>
      <c r="L5" t="str">
        <f t="shared" si="3"/>
        <v>strAry(4) = Mid(pStr, 22, 6)</v>
      </c>
      <c r="M5" t="str">
        <f t="shared" si="4"/>
        <v>Cells(pPos, 4)=strAry(4)</v>
      </c>
    </row>
    <row r="6" spans="1:13" x14ac:dyDescent="0.25">
      <c r="A6" s="1" t="s">
        <v>12</v>
      </c>
      <c r="B6" s="1" t="s">
        <v>67</v>
      </c>
      <c r="C6" t="s">
        <v>13</v>
      </c>
      <c r="D6">
        <v>1</v>
      </c>
      <c r="E6">
        <v>1</v>
      </c>
      <c r="F6">
        <f t="shared" si="0"/>
        <v>1</v>
      </c>
      <c r="G6" s="7">
        <v>2</v>
      </c>
      <c r="H6" s="12">
        <v>5</v>
      </c>
      <c r="I6" s="12">
        <v>1</v>
      </c>
      <c r="J6" t="str">
        <f t="shared" si="1"/>
        <v>Dim tag as string</v>
      </c>
      <c r="K6" t="str">
        <f t="shared" si="2"/>
        <v>tag = Mid(InputStr, 1, 1)</v>
      </c>
      <c r="L6" t="str">
        <f t="shared" si="3"/>
        <v>strAry(1) = Mid(pStr, 1, 1)</v>
      </c>
      <c r="M6" t="str">
        <f t="shared" si="4"/>
        <v>Cells(pPos, 5)=strAry(1)</v>
      </c>
    </row>
    <row r="7" spans="1:13" x14ac:dyDescent="0.25">
      <c r="A7" s="1" t="s">
        <v>14</v>
      </c>
      <c r="B7" s="1" t="s">
        <v>71</v>
      </c>
      <c r="C7" t="s">
        <v>15</v>
      </c>
      <c r="D7">
        <v>2</v>
      </c>
      <c r="E7">
        <v>8</v>
      </c>
      <c r="F7">
        <f t="shared" si="0"/>
        <v>7</v>
      </c>
      <c r="H7" s="12">
        <v>6</v>
      </c>
      <c r="I7" s="12">
        <v>2</v>
      </c>
      <c r="J7" t="str">
        <f t="shared" si="1"/>
        <v>Dim ListNo as string</v>
      </c>
      <c r="K7" t="str">
        <f t="shared" si="2"/>
        <v>ListNo = Mid(InputStr, 2, 7)</v>
      </c>
      <c r="L7" t="str">
        <f t="shared" si="3"/>
        <v>strAry(2) = Mid(pStr, 2, 7)</v>
      </c>
      <c r="M7" t="str">
        <f t="shared" si="4"/>
        <v>Cells(pPos, 6)=strAry(2)</v>
      </c>
    </row>
    <row r="8" spans="1:13" x14ac:dyDescent="0.25">
      <c r="A8" s="1" t="s">
        <v>16</v>
      </c>
      <c r="B8" s="1" t="s">
        <v>72</v>
      </c>
      <c r="C8" t="s">
        <v>17</v>
      </c>
      <c r="D8">
        <v>9</v>
      </c>
      <c r="E8">
        <v>10</v>
      </c>
      <c r="F8">
        <f t="shared" si="0"/>
        <v>2</v>
      </c>
      <c r="H8" s="12">
        <v>7</v>
      </c>
      <c r="I8" s="12">
        <v>3</v>
      </c>
      <c r="J8" t="str">
        <f t="shared" si="1"/>
        <v>Dim ListSeq as string</v>
      </c>
      <c r="K8" t="str">
        <f t="shared" si="2"/>
        <v>ListSeq = Mid(InputStr, 9, 2)</v>
      </c>
      <c r="L8" t="str">
        <f t="shared" si="3"/>
        <v>strAry(3) = Mid(pStr, 9, 2)</v>
      </c>
      <c r="M8" t="str">
        <f t="shared" si="4"/>
        <v>Cells(pPos, 7)=strAry(3)</v>
      </c>
    </row>
    <row r="9" spans="1:13" x14ac:dyDescent="0.25">
      <c r="A9" s="1" t="s">
        <v>18</v>
      </c>
      <c r="B9" s="1" t="s">
        <v>73</v>
      </c>
      <c r="C9" t="s">
        <v>19</v>
      </c>
      <c r="D9">
        <v>11</v>
      </c>
      <c r="E9">
        <v>12</v>
      </c>
      <c r="F9">
        <f t="shared" si="0"/>
        <v>2</v>
      </c>
      <c r="G9" s="3" t="s">
        <v>20</v>
      </c>
      <c r="H9" s="12">
        <v>8</v>
      </c>
      <c r="I9" s="12">
        <v>4</v>
      </c>
      <c r="J9" t="str">
        <f t="shared" si="1"/>
        <v>Dim ListType as string</v>
      </c>
      <c r="K9" t="str">
        <f t="shared" si="2"/>
        <v>ListType = Mid(InputStr, 11, 2)</v>
      </c>
      <c r="L9" t="str">
        <f t="shared" si="3"/>
        <v>strAry(4) = Mid(pStr, 11, 2)</v>
      </c>
      <c r="M9" t="str">
        <f t="shared" si="4"/>
        <v>Cells(pPos, 8)=strAry(4)</v>
      </c>
    </row>
    <row r="10" spans="1:13" x14ac:dyDescent="0.25">
      <c r="A10" s="1" t="s">
        <v>21</v>
      </c>
      <c r="B10" s="1" t="s">
        <v>74</v>
      </c>
      <c r="C10" t="s">
        <v>22</v>
      </c>
      <c r="D10">
        <v>13</v>
      </c>
      <c r="E10">
        <v>19</v>
      </c>
      <c r="F10">
        <f t="shared" si="0"/>
        <v>7</v>
      </c>
      <c r="H10" s="12">
        <v>9</v>
      </c>
      <c r="I10" s="12">
        <v>5</v>
      </c>
      <c r="J10" t="str">
        <f t="shared" si="1"/>
        <v>Dim Contract as string</v>
      </c>
      <c r="K10" t="str">
        <f t="shared" si="2"/>
        <v>Contract = Mid(InputStr, 13, 7)</v>
      </c>
      <c r="L10" t="str">
        <f t="shared" si="3"/>
        <v>strAry(5) = Mid(pStr, 13, 7)</v>
      </c>
      <c r="M10" t="str">
        <f t="shared" si="4"/>
        <v>Cells(pPos, 9)=strAry(5)</v>
      </c>
    </row>
    <row r="11" spans="1:13" x14ac:dyDescent="0.25">
      <c r="A11" s="1" t="s">
        <v>23</v>
      </c>
      <c r="B11" s="1" t="s">
        <v>75</v>
      </c>
      <c r="C11" t="s">
        <v>45</v>
      </c>
      <c r="D11">
        <v>20</v>
      </c>
      <c r="E11">
        <v>29</v>
      </c>
      <c r="F11">
        <f t="shared" si="0"/>
        <v>10</v>
      </c>
      <c r="H11" s="12">
        <v>10</v>
      </c>
      <c r="I11" s="12">
        <v>6</v>
      </c>
      <c r="J11" t="str">
        <f t="shared" si="1"/>
        <v>Dim ShipNote as string</v>
      </c>
      <c r="K11" t="str">
        <f t="shared" si="2"/>
        <v>ShipNote = Mid(InputStr, 20, 10)</v>
      </c>
      <c r="L11" t="str">
        <f t="shared" si="3"/>
        <v>strAry(6) = Mid(pStr, 20, 10)</v>
      </c>
      <c r="M11" t="str">
        <f t="shared" si="4"/>
        <v>Cells(pPos, 10)=strAry(6)</v>
      </c>
    </row>
    <row r="12" spans="1:13" x14ac:dyDescent="0.25">
      <c r="A12" s="1" t="s">
        <v>24</v>
      </c>
      <c r="B12" s="1" t="s">
        <v>76</v>
      </c>
      <c r="C12" t="s">
        <v>25</v>
      </c>
      <c r="D12">
        <v>30</v>
      </c>
      <c r="E12">
        <v>31</v>
      </c>
      <c r="F12">
        <f t="shared" si="0"/>
        <v>2</v>
      </c>
      <c r="G12" s="3" t="s">
        <v>48</v>
      </c>
      <c r="H12" s="12">
        <v>11</v>
      </c>
      <c r="I12" s="12">
        <v>7</v>
      </c>
      <c r="J12" t="str">
        <f t="shared" si="1"/>
        <v>Dim Class as string</v>
      </c>
      <c r="K12" t="str">
        <f t="shared" si="2"/>
        <v>Class = Mid(InputStr, 30, 2)</v>
      </c>
      <c r="L12" t="str">
        <f t="shared" si="3"/>
        <v>strAry(7) = Mid(pStr, 30, 2)</v>
      </c>
      <c r="M12" t="str">
        <f t="shared" si="4"/>
        <v>Cells(pPos, 11)=strAry(7)</v>
      </c>
    </row>
    <row r="13" spans="1:13" x14ac:dyDescent="0.25">
      <c r="A13" s="1" t="s">
        <v>26</v>
      </c>
      <c r="B13" s="1" t="s">
        <v>95</v>
      </c>
      <c r="C13" t="s">
        <v>64</v>
      </c>
      <c r="D13">
        <v>32</v>
      </c>
      <c r="E13">
        <v>41</v>
      </c>
      <c r="F13">
        <f t="shared" si="0"/>
        <v>10</v>
      </c>
      <c r="H13" s="12">
        <v>12</v>
      </c>
      <c r="I13" s="12">
        <v>8</v>
      </c>
      <c r="J13" t="str">
        <f t="shared" si="1"/>
        <v>Dim OrgElNo as string</v>
      </c>
      <c r="K13" t="str">
        <f t="shared" si="2"/>
        <v>OrgElNo = Mid(InputStr, 32, 10)</v>
      </c>
      <c r="L13" t="str">
        <f t="shared" si="3"/>
        <v>strAry(8) = Mid(pStr, 32, 10)</v>
      </c>
      <c r="M13" t="str">
        <f t="shared" si="4"/>
        <v>Cells(pPos, 12)=strAry(8)</v>
      </c>
    </row>
    <row r="14" spans="1:13" x14ac:dyDescent="0.25">
      <c r="A14" s="1" t="s">
        <v>51</v>
      </c>
      <c r="B14" s="1" t="s">
        <v>78</v>
      </c>
      <c r="C14" t="s">
        <v>52</v>
      </c>
      <c r="D14">
        <v>42</v>
      </c>
      <c r="E14">
        <v>42</v>
      </c>
      <c r="F14">
        <f>E14-D14+1</f>
        <v>1</v>
      </c>
      <c r="G14" s="3" t="s">
        <v>49</v>
      </c>
      <c r="H14" s="12">
        <v>13</v>
      </c>
      <c r="I14" s="12">
        <v>10</v>
      </c>
      <c r="J14" t="str">
        <f t="shared" si="1"/>
        <v>Dim Quality as string</v>
      </c>
      <c r="K14" t="str">
        <f t="shared" si="2"/>
        <v>Quality = Mid(InputStr, 42, 1)</v>
      </c>
      <c r="L14" t="str">
        <f t="shared" si="3"/>
        <v>strAry(10) = Mid(pStr, 42, 1)</v>
      </c>
      <c r="M14" t="str">
        <f t="shared" si="4"/>
        <v>Cells(pPos, 13)=strAry(10)</v>
      </c>
    </row>
    <row r="15" spans="1:13" x14ac:dyDescent="0.25">
      <c r="A15" s="1" t="s">
        <v>27</v>
      </c>
      <c r="B15" s="1" t="s">
        <v>79</v>
      </c>
      <c r="C15" t="s">
        <v>28</v>
      </c>
      <c r="D15">
        <v>43</v>
      </c>
      <c r="E15">
        <v>51</v>
      </c>
      <c r="F15">
        <f t="shared" si="0"/>
        <v>9</v>
      </c>
      <c r="H15" s="12">
        <v>14</v>
      </c>
      <c r="I15" s="12">
        <v>11</v>
      </c>
      <c r="J15" t="str">
        <f t="shared" si="1"/>
        <v>Dim Qty as string</v>
      </c>
      <c r="K15" t="str">
        <f t="shared" si="2"/>
        <v>Qty = Mid(InputStr, 43, 9)</v>
      </c>
      <c r="L15" t="str">
        <f t="shared" si="3"/>
        <v>strAry(11) = Mid(pStr, 43, 9)</v>
      </c>
      <c r="M15" t="str">
        <f t="shared" si="4"/>
        <v>Cells(pPos, 14)=strAry(11)</v>
      </c>
    </row>
    <row r="16" spans="1:13" x14ac:dyDescent="0.25">
      <c r="A16" s="10"/>
      <c r="B16" s="10" t="s">
        <v>80</v>
      </c>
      <c r="C16" t="s">
        <v>50</v>
      </c>
      <c r="D16">
        <v>52</v>
      </c>
      <c r="E16">
        <v>60</v>
      </c>
      <c r="F16">
        <f t="shared" si="0"/>
        <v>9</v>
      </c>
      <c r="H16" s="12">
        <v>15</v>
      </c>
      <c r="I16" s="12">
        <v>12</v>
      </c>
      <c r="J16" t="str">
        <f t="shared" si="1"/>
        <v>Dim QtyOK as string</v>
      </c>
      <c r="K16" t="str">
        <f t="shared" si="2"/>
        <v>QtyOK = Mid(InputStr, 52, 9)</v>
      </c>
      <c r="L16" t="str">
        <f t="shared" si="3"/>
        <v>strAry(12) = Mid(pStr, 52, 9)</v>
      </c>
      <c r="M16" t="str">
        <f t="shared" si="4"/>
        <v>Cells(pPos, 15)=strAry(12)</v>
      </c>
    </row>
    <row r="17" spans="1:13" x14ac:dyDescent="0.25">
      <c r="A17" s="1" t="s">
        <v>29</v>
      </c>
      <c r="B17" s="1" t="s">
        <v>81</v>
      </c>
      <c r="C17" t="s">
        <v>30</v>
      </c>
      <c r="D17">
        <v>61</v>
      </c>
      <c r="E17">
        <v>63</v>
      </c>
      <c r="F17">
        <f t="shared" si="0"/>
        <v>3</v>
      </c>
      <c r="H17" s="12">
        <v>16</v>
      </c>
      <c r="I17" s="12">
        <v>13</v>
      </c>
      <c r="J17" t="str">
        <f t="shared" si="1"/>
        <v>Dim Unit as string</v>
      </c>
      <c r="K17" t="str">
        <f t="shared" si="2"/>
        <v>Unit = Mid(InputStr, 61, 3)</v>
      </c>
      <c r="L17" t="str">
        <f t="shared" si="3"/>
        <v>strAry(13) = Mid(pStr, 61, 3)</v>
      </c>
      <c r="M17" t="str">
        <f t="shared" si="4"/>
        <v>Cells(pPos, 16)=strAry(13)</v>
      </c>
    </row>
    <row r="18" spans="1:13" x14ac:dyDescent="0.25">
      <c r="A18" s="1" t="s">
        <v>47</v>
      </c>
      <c r="B18" s="1" t="s">
        <v>82</v>
      </c>
      <c r="C18" t="s">
        <v>53</v>
      </c>
      <c r="D18">
        <v>64</v>
      </c>
      <c r="E18">
        <v>75</v>
      </c>
      <c r="F18">
        <f t="shared" si="0"/>
        <v>12</v>
      </c>
      <c r="H18" s="12">
        <v>17</v>
      </c>
      <c r="I18" s="12">
        <v>14</v>
      </c>
      <c r="J18" t="str">
        <f t="shared" si="1"/>
        <v>Dim Price as string</v>
      </c>
      <c r="K18" t="str">
        <f t="shared" si="2"/>
        <v>Price = Mid(InputStr, 64, 12)</v>
      </c>
      <c r="L18" t="str">
        <f t="shared" si="3"/>
        <v>strAry(14) = Mid(pStr, 64, 12)</v>
      </c>
      <c r="M18" t="str">
        <f t="shared" si="4"/>
        <v>Cells(pPos, 17)=strAry(14)</v>
      </c>
    </row>
    <row r="19" spans="1:13" x14ac:dyDescent="0.25">
      <c r="A19" s="1" t="s">
        <v>1</v>
      </c>
      <c r="B19" s="1" t="s">
        <v>84</v>
      </c>
      <c r="C19" t="s">
        <v>34</v>
      </c>
      <c r="D19">
        <v>76</v>
      </c>
      <c r="E19">
        <v>84</v>
      </c>
      <c r="F19">
        <f t="shared" si="0"/>
        <v>9</v>
      </c>
      <c r="H19" s="12">
        <v>18</v>
      </c>
      <c r="I19" s="12">
        <v>15</v>
      </c>
      <c r="J19" t="str">
        <f t="shared" si="1"/>
        <v>Dim Amt00 as string</v>
      </c>
      <c r="K19" t="str">
        <f t="shared" si="2"/>
        <v>Amt00 = Mid(InputStr, 76, 9)</v>
      </c>
      <c r="L19" t="str">
        <f t="shared" si="3"/>
        <v>strAry(15) = Mid(pStr, 76, 9)</v>
      </c>
      <c r="M19" t="str">
        <f t="shared" si="4"/>
        <v>Cells(pPos, 18)=strAry(15)</v>
      </c>
    </row>
    <row r="20" spans="1:13" x14ac:dyDescent="0.25">
      <c r="A20" s="1" t="s">
        <v>54</v>
      </c>
      <c r="B20" s="1" t="s">
        <v>83</v>
      </c>
      <c r="C20" t="s">
        <v>55</v>
      </c>
      <c r="D20">
        <v>85</v>
      </c>
      <c r="E20">
        <v>92</v>
      </c>
      <c r="F20">
        <f t="shared" si="0"/>
        <v>8</v>
      </c>
      <c r="H20" s="12">
        <v>19</v>
      </c>
      <c r="I20" s="12">
        <v>16</v>
      </c>
      <c r="J20" t="str">
        <f t="shared" si="1"/>
        <v>Dim DevD as string</v>
      </c>
      <c r="K20" t="str">
        <f t="shared" si="2"/>
        <v>DevD = Mid(InputStr, 85, 8)</v>
      </c>
      <c r="L20" t="str">
        <f t="shared" si="3"/>
        <v>strAry(16) = Mid(pStr, 85, 8)</v>
      </c>
      <c r="M20" t="str">
        <f t="shared" si="4"/>
        <v>Cells(pPos, 19)=strAry(16)</v>
      </c>
    </row>
    <row r="21" spans="1:13" x14ac:dyDescent="0.25">
      <c r="A21" s="2" t="s">
        <v>2</v>
      </c>
      <c r="B21" s="11" t="s">
        <v>91</v>
      </c>
      <c r="C21" t="s">
        <v>36</v>
      </c>
      <c r="D21">
        <v>93</v>
      </c>
      <c r="E21">
        <v>101</v>
      </c>
      <c r="F21">
        <f t="shared" si="0"/>
        <v>9</v>
      </c>
      <c r="H21" s="12">
        <v>20</v>
      </c>
      <c r="I21" s="12">
        <v>17</v>
      </c>
      <c r="J21" t="str">
        <f t="shared" si="1"/>
        <v>Dim KouKan01 as string</v>
      </c>
      <c r="K21" t="str">
        <f t="shared" si="2"/>
        <v>KouKan01 = Mid(InputStr, 93, 9)</v>
      </c>
      <c r="L21" t="str">
        <f t="shared" si="3"/>
        <v>strAry(17) = Mid(pStr, 93, 9)</v>
      </c>
      <c r="M21" t="str">
        <f t="shared" si="4"/>
        <v>Cells(pPos, 20)=strAry(17)</v>
      </c>
    </row>
    <row r="22" spans="1:13" x14ac:dyDescent="0.25">
      <c r="A22" s="1" t="s">
        <v>3</v>
      </c>
      <c r="B22" s="1" t="s">
        <v>92</v>
      </c>
      <c r="C22" t="s">
        <v>38</v>
      </c>
      <c r="D22">
        <v>102</v>
      </c>
      <c r="E22">
        <v>110</v>
      </c>
      <c r="F22">
        <f t="shared" si="0"/>
        <v>9</v>
      </c>
      <c r="H22" s="12">
        <v>21</v>
      </c>
      <c r="I22" s="12">
        <v>18</v>
      </c>
      <c r="J22" t="str">
        <f t="shared" si="1"/>
        <v>Dim KouKan02 as string</v>
      </c>
      <c r="K22" t="str">
        <f t="shared" si="2"/>
        <v>KouKan02 = Mid(InputStr, 102, 9)</v>
      </c>
      <c r="L22" t="str">
        <f t="shared" si="3"/>
        <v>strAry(18) = Mid(pStr, 102, 9)</v>
      </c>
      <c r="M22" t="str">
        <f t="shared" si="4"/>
        <v>Cells(pPos, 21)=strAry(18)</v>
      </c>
    </row>
    <row r="23" spans="1:13" x14ac:dyDescent="0.25">
      <c r="A23" s="1" t="s">
        <v>4</v>
      </c>
      <c r="B23" s="1" t="s">
        <v>85</v>
      </c>
      <c r="C23" t="s">
        <v>40</v>
      </c>
      <c r="D23">
        <v>111</v>
      </c>
      <c r="E23">
        <v>119</v>
      </c>
      <c r="F23">
        <f t="shared" si="0"/>
        <v>9</v>
      </c>
      <c r="H23" s="12">
        <v>22</v>
      </c>
      <c r="I23" s="12">
        <v>19</v>
      </c>
      <c r="J23" t="str">
        <f t="shared" si="1"/>
        <v>Dim Amt01 as string</v>
      </c>
      <c r="K23" t="str">
        <f t="shared" si="2"/>
        <v>Amt01 = Mid(InputStr, 111, 9)</v>
      </c>
      <c r="L23" t="str">
        <f t="shared" si="3"/>
        <v>strAry(19) = Mid(pStr, 111, 9)</v>
      </c>
      <c r="M23" t="str">
        <f t="shared" si="4"/>
        <v>Cells(pPos, 22)=strAry(19)</v>
      </c>
    </row>
    <row r="24" spans="1:13" x14ac:dyDescent="0.25">
      <c r="A24" s="1" t="s">
        <v>41</v>
      </c>
      <c r="B24" s="1" t="s">
        <v>87</v>
      </c>
      <c r="C24" t="s">
        <v>42</v>
      </c>
      <c r="D24">
        <v>121</v>
      </c>
      <c r="E24">
        <v>121</v>
      </c>
      <c r="F24">
        <f t="shared" si="0"/>
        <v>1</v>
      </c>
      <c r="G24" s="3" t="s">
        <v>56</v>
      </c>
      <c r="H24" s="12">
        <v>23</v>
      </c>
      <c r="I24" s="12">
        <v>21</v>
      </c>
      <c r="J24" t="str">
        <f t="shared" si="1"/>
        <v>Dim Check as string</v>
      </c>
      <c r="K24" t="str">
        <f t="shared" si="2"/>
        <v>Check = Mid(InputStr, 121, 1)</v>
      </c>
      <c r="L24" t="str">
        <f t="shared" si="3"/>
        <v>strAry(21) = Mid(pStr, 121, 1)</v>
      </c>
      <c r="M24" t="str">
        <f t="shared" si="4"/>
        <v>Cells(pPos, 23)=strAry(21)</v>
      </c>
    </row>
    <row r="25" spans="1:13" x14ac:dyDescent="0.25">
      <c r="A25" s="1" t="s">
        <v>43</v>
      </c>
      <c r="B25" s="1" t="s">
        <v>88</v>
      </c>
      <c r="C25" t="s">
        <v>44</v>
      </c>
      <c r="D25">
        <v>122</v>
      </c>
      <c r="E25">
        <v>122</v>
      </c>
      <c r="F25">
        <f t="shared" si="0"/>
        <v>1</v>
      </c>
      <c r="G25" s="3" t="s">
        <v>57</v>
      </c>
      <c r="H25" s="12">
        <v>24</v>
      </c>
      <c r="I25" s="12">
        <v>22</v>
      </c>
      <c r="J25" t="str">
        <f t="shared" si="1"/>
        <v>Dim Rec as string</v>
      </c>
      <c r="K25" t="str">
        <f t="shared" si="2"/>
        <v>Rec = Mid(InputStr, 122, 1)</v>
      </c>
      <c r="L25" t="str">
        <f t="shared" si="3"/>
        <v>strAry(22) = Mid(pStr, 122, 1)</v>
      </c>
      <c r="M25" t="str">
        <f t="shared" si="4"/>
        <v>Cells(pPos, 24)=strAry(22)</v>
      </c>
    </row>
    <row r="26" spans="1:13" x14ac:dyDescent="0.25">
      <c r="A26" s="1" t="s">
        <v>31</v>
      </c>
      <c r="B26" s="1" t="s">
        <v>67</v>
      </c>
      <c r="C26" t="s">
        <v>32</v>
      </c>
      <c r="D26">
        <v>1</v>
      </c>
      <c r="E26">
        <v>1</v>
      </c>
      <c r="F26">
        <f t="shared" si="0"/>
        <v>1</v>
      </c>
      <c r="G26" s="7" t="s">
        <v>46</v>
      </c>
      <c r="H26" s="12">
        <v>25</v>
      </c>
      <c r="I26" s="19">
        <v>1</v>
      </c>
      <c r="J26" t="str">
        <f t="shared" si="1"/>
        <v>Dim tag as string</v>
      </c>
      <c r="K26" t="str">
        <f t="shared" si="2"/>
        <v>tag = Mid(InputStr, 1, 1)</v>
      </c>
      <c r="L26" t="str">
        <f t="shared" si="3"/>
        <v>strAry(1) = Mid(pStr, 1, 1)</v>
      </c>
      <c r="M26" t="str">
        <f t="shared" si="4"/>
        <v>Cells(pPos, 25)=strAry(1)</v>
      </c>
    </row>
    <row r="27" spans="1:13" x14ac:dyDescent="0.25">
      <c r="A27" s="1" t="s">
        <v>33</v>
      </c>
      <c r="B27" s="1" t="s">
        <v>89</v>
      </c>
      <c r="C27" t="s">
        <v>34</v>
      </c>
      <c r="D27">
        <v>2</v>
      </c>
      <c r="E27">
        <v>10</v>
      </c>
      <c r="F27">
        <f t="shared" si="0"/>
        <v>9</v>
      </c>
      <c r="H27" s="12">
        <v>26</v>
      </c>
      <c r="I27" s="19">
        <v>2</v>
      </c>
      <c r="J27" t="str">
        <f t="shared" si="1"/>
        <v>Dim Amt11 as string</v>
      </c>
      <c r="K27" t="str">
        <f t="shared" si="2"/>
        <v>Amt11 = Mid(InputStr, 2, 9)</v>
      </c>
      <c r="L27" t="str">
        <f t="shared" si="3"/>
        <v>strAry(2) = Mid(pStr, 2, 9)</v>
      </c>
      <c r="M27" t="str">
        <f t="shared" si="4"/>
        <v>Cells(pPos, 26)=strAry(2)</v>
      </c>
    </row>
    <row r="28" spans="1:13" x14ac:dyDescent="0.25">
      <c r="A28" s="2" t="s">
        <v>35</v>
      </c>
      <c r="B28" s="11" t="s">
        <v>93</v>
      </c>
      <c r="C28" t="s">
        <v>36</v>
      </c>
      <c r="D28">
        <v>11</v>
      </c>
      <c r="E28">
        <v>19</v>
      </c>
      <c r="F28">
        <f t="shared" si="0"/>
        <v>9</v>
      </c>
      <c r="H28" s="12">
        <v>27</v>
      </c>
      <c r="I28" s="19">
        <v>3</v>
      </c>
      <c r="J28" t="str">
        <f t="shared" si="1"/>
        <v>Dim KouKan11 as string</v>
      </c>
      <c r="K28" t="str">
        <f t="shared" si="2"/>
        <v>KouKan11 = Mid(InputStr, 11, 9)</v>
      </c>
      <c r="L28" t="str">
        <f t="shared" si="3"/>
        <v>strAry(3) = Mid(pStr, 11, 9)</v>
      </c>
      <c r="M28" t="str">
        <f t="shared" si="4"/>
        <v>Cells(pPos, 27)=strAry(3)</v>
      </c>
    </row>
    <row r="29" spans="1:13" x14ac:dyDescent="0.25">
      <c r="A29" s="1" t="s">
        <v>37</v>
      </c>
      <c r="B29" s="1" t="s">
        <v>94</v>
      </c>
      <c r="C29" t="s">
        <v>38</v>
      </c>
      <c r="D29">
        <v>20</v>
      </c>
      <c r="E29">
        <v>28</v>
      </c>
      <c r="F29">
        <f t="shared" si="0"/>
        <v>9</v>
      </c>
      <c r="H29" s="12">
        <v>28</v>
      </c>
      <c r="I29" s="19">
        <v>4</v>
      </c>
      <c r="J29" t="str">
        <f t="shared" si="1"/>
        <v>Dim KouKan12 as string</v>
      </c>
      <c r="K29" t="str">
        <f t="shared" si="2"/>
        <v>KouKan12 = Mid(InputStr, 20, 9)</v>
      </c>
      <c r="L29" t="str">
        <f t="shared" si="3"/>
        <v>strAry(4) = Mid(pStr, 20, 9)</v>
      </c>
      <c r="M29" t="str">
        <f t="shared" si="4"/>
        <v>Cells(pPos, 28)=strAry(4)</v>
      </c>
    </row>
    <row r="30" spans="1:13" x14ac:dyDescent="0.25">
      <c r="A30" s="1" t="s">
        <v>39</v>
      </c>
      <c r="B30" s="1" t="s">
        <v>90</v>
      </c>
      <c r="C30" t="s">
        <v>40</v>
      </c>
      <c r="D30">
        <v>29</v>
      </c>
      <c r="E30">
        <v>37</v>
      </c>
      <c r="F30">
        <f t="shared" si="0"/>
        <v>9</v>
      </c>
      <c r="H30" s="12">
        <v>29</v>
      </c>
      <c r="I30" s="19">
        <v>5</v>
      </c>
      <c r="J30" t="str">
        <f t="shared" si="1"/>
        <v>Dim Amt12 as string</v>
      </c>
      <c r="K30" t="str">
        <f t="shared" si="2"/>
        <v>Amt12 = Mid(InputStr, 29, 9)</v>
      </c>
      <c r="L30" t="str">
        <f t="shared" si="3"/>
        <v>strAry(5) = Mid(pStr, 29, 9)</v>
      </c>
      <c r="M30" t="str">
        <f t="shared" si="4"/>
        <v>Cells(pPos, 29)=strAry(5)</v>
      </c>
    </row>
    <row r="32" spans="1:13" s="15" customFormat="1" x14ac:dyDescent="0.25">
      <c r="A32" s="4" t="s">
        <v>0</v>
      </c>
      <c r="B32" s="4" t="s">
        <v>77</v>
      </c>
      <c r="C32" s="5"/>
      <c r="D32" s="5">
        <v>42</v>
      </c>
      <c r="E32" s="5">
        <v>42</v>
      </c>
      <c r="F32" s="5">
        <f>E32-D32+1</f>
        <v>1</v>
      </c>
      <c r="G32" s="6" t="s">
        <v>49</v>
      </c>
      <c r="H32" s="12">
        <v>13</v>
      </c>
      <c r="I32" s="16">
        <v>9</v>
      </c>
      <c r="J32" s="15" t="str">
        <f>"Dim " &amp; B32 &amp; " as string"</f>
        <v>Dim c as string</v>
      </c>
      <c r="K32" s="15" t="str">
        <f>B32 &amp; " = " &amp; "Mid(InputStr, " &amp; D32 &amp; ", " &amp; F32 &amp; ")"</f>
        <v>c = Mid(InputStr, 42, 1)</v>
      </c>
      <c r="L32" s="15" t="str">
        <f>"strAry(" &amp; I32 &amp; ") = " &amp; "Mid(InputStr, " &amp; D32 &amp; ", " &amp; F32 &amp; ")"</f>
        <v>strAry(9) = Mid(InputStr, 42, 1)</v>
      </c>
    </row>
    <row r="33" spans="1:12" x14ac:dyDescent="0.25">
      <c r="A33" s="13"/>
      <c r="B33" s="13" t="s">
        <v>86</v>
      </c>
      <c r="C33" s="5"/>
      <c r="D33" s="5">
        <v>120</v>
      </c>
      <c r="E33" s="5">
        <v>120</v>
      </c>
      <c r="F33" s="5">
        <f>E33-D33+1</f>
        <v>1</v>
      </c>
      <c r="G33" s="6" t="s">
        <v>58</v>
      </c>
      <c r="H33" s="12">
        <v>24</v>
      </c>
      <c r="I33" s="12">
        <v>20</v>
      </c>
      <c r="J33" t="str">
        <f>"Dim " &amp; B33 &amp; " as string"</f>
        <v>Dim cc as string</v>
      </c>
      <c r="K33" t="str">
        <f>B33 &amp; " = " &amp; "Mid(InputStr, " &amp; D33 &amp; ", " &amp; F33 &amp; ")"</f>
        <v>cc = Mid(InputStr, 120, 1)</v>
      </c>
      <c r="L33" t="str">
        <f>"strAry(" &amp; I33 &amp; ") = " &amp; "Mid(InputStr, " &amp; D33 &amp; ", " &amp; F33 &amp; ")"</f>
        <v>strAry(20) = Mid(InputStr, 120, 1)</v>
      </c>
    </row>
  </sheetData>
  <phoneticPr fontId="3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A1:G33"/>
  <sheetViews>
    <sheetView workbookViewId="0">
      <selection activeCell="I12" sqref="I12"/>
    </sheetView>
  </sheetViews>
  <sheetFormatPr defaultRowHeight="16.5" x14ac:dyDescent="0.25"/>
  <cols>
    <col min="1" max="1" width="9.5" customWidth="1"/>
    <col min="5" max="5" width="9" style="3"/>
    <col min="6" max="6" width="7.125" style="3" customWidth="1"/>
    <col min="7" max="7" width="45.5" customWidth="1"/>
  </cols>
  <sheetData>
    <row r="1" spans="1:7" x14ac:dyDescent="0.25">
      <c r="A1" t="s">
        <v>59</v>
      </c>
      <c r="B1" t="s">
        <v>60</v>
      </c>
      <c r="C1" t="s">
        <v>61</v>
      </c>
      <c r="D1" t="s">
        <v>62</v>
      </c>
      <c r="E1" s="3" t="s">
        <v>63</v>
      </c>
      <c r="F1" s="3" t="s">
        <v>96</v>
      </c>
    </row>
    <row r="2" spans="1:7" x14ac:dyDescent="0.25">
      <c r="A2" t="s">
        <v>119</v>
      </c>
      <c r="B2">
        <v>1</v>
      </c>
      <c r="C2">
        <v>3</v>
      </c>
      <c r="D2">
        <f>C2-B2+1</f>
        <v>3</v>
      </c>
      <c r="F2" s="12">
        <v>1</v>
      </c>
      <c r="G2" t="str">
        <f>"Cells(gBaseLines + intS1, " &amp; F2 &amp; ") = " &amp; "Mid(InputStr, " &amp; B2 &amp; ", " &amp;D2 &amp; ")"</f>
        <v>Cells(gBaseLines + intS1, 1) = Mid(InputStr, 1, 3)</v>
      </c>
    </row>
    <row r="3" spans="1:7" x14ac:dyDescent="0.25">
      <c r="A3" t="s">
        <v>120</v>
      </c>
      <c r="B3">
        <v>5</v>
      </c>
      <c r="C3">
        <v>20</v>
      </c>
      <c r="D3">
        <f t="shared" ref="D3:D13" si="0">C3-B3+1</f>
        <v>16</v>
      </c>
      <c r="F3" s="12">
        <v>2</v>
      </c>
      <c r="G3" t="str">
        <f t="shared" ref="G3:G13" si="1">"Cells(gBaseLines + intS1, " &amp; F3 &amp; ") = " &amp; "Mid(InputStr, " &amp; B3 &amp; ", " &amp;D3 &amp; ")"</f>
        <v>Cells(gBaseLines + intS1, 2) = Mid(InputStr, 5, 16)</v>
      </c>
    </row>
    <row r="4" spans="1:7" x14ac:dyDescent="0.25">
      <c r="A4" t="s">
        <v>121</v>
      </c>
      <c r="B4">
        <v>21</v>
      </c>
      <c r="C4">
        <v>22</v>
      </c>
      <c r="D4">
        <f t="shared" si="0"/>
        <v>2</v>
      </c>
      <c r="F4" s="12">
        <v>3</v>
      </c>
      <c r="G4" t="str">
        <f t="shared" si="1"/>
        <v>Cells(gBaseLines + intS1, 3) = Mid(InputStr, 21, 2)</v>
      </c>
    </row>
    <row r="5" spans="1:7" x14ac:dyDescent="0.25">
      <c r="A5" t="s">
        <v>122</v>
      </c>
      <c r="B5">
        <v>24</v>
      </c>
      <c r="C5">
        <v>25</v>
      </c>
      <c r="D5">
        <f t="shared" si="0"/>
        <v>2</v>
      </c>
      <c r="F5" s="12">
        <v>4</v>
      </c>
      <c r="G5" t="str">
        <f t="shared" si="1"/>
        <v>Cells(gBaseLines + intS1, 4) = Mid(InputStr, 24, 2)</v>
      </c>
    </row>
    <row r="6" spans="1:7" x14ac:dyDescent="0.25">
      <c r="A6" t="s">
        <v>128</v>
      </c>
      <c r="B6">
        <v>27</v>
      </c>
      <c r="C6">
        <v>35</v>
      </c>
      <c r="D6">
        <f t="shared" si="0"/>
        <v>9</v>
      </c>
      <c r="F6" s="12">
        <v>5</v>
      </c>
      <c r="G6" t="str">
        <f t="shared" si="1"/>
        <v>Cells(gBaseLines + intS1, 5) = Mid(InputStr, 27, 9)</v>
      </c>
    </row>
    <row r="7" spans="1:7" x14ac:dyDescent="0.25">
      <c r="A7" t="s">
        <v>127</v>
      </c>
      <c r="B7">
        <v>37</v>
      </c>
      <c r="C7">
        <v>44</v>
      </c>
      <c r="D7">
        <f t="shared" si="0"/>
        <v>8</v>
      </c>
      <c r="F7" s="12">
        <v>6</v>
      </c>
      <c r="G7" t="str">
        <f t="shared" si="1"/>
        <v>Cells(gBaseLines + intS1, 6) = Mid(InputStr, 37, 8)</v>
      </c>
    </row>
    <row r="8" spans="1:7" x14ac:dyDescent="0.25">
      <c r="A8" t="s">
        <v>126</v>
      </c>
      <c r="B8">
        <v>46</v>
      </c>
      <c r="C8">
        <v>53</v>
      </c>
      <c r="D8">
        <f t="shared" si="0"/>
        <v>8</v>
      </c>
      <c r="F8" s="12">
        <v>7</v>
      </c>
      <c r="G8" t="str">
        <f t="shared" si="1"/>
        <v>Cells(gBaseLines + intS1, 7) = Mid(InputStr, 46, 8)</v>
      </c>
    </row>
    <row r="9" spans="1:7" x14ac:dyDescent="0.25">
      <c r="A9" t="s">
        <v>123</v>
      </c>
      <c r="B9">
        <v>55</v>
      </c>
      <c r="C9">
        <v>65</v>
      </c>
      <c r="D9">
        <f t="shared" si="0"/>
        <v>11</v>
      </c>
      <c r="F9" s="12">
        <v>8</v>
      </c>
      <c r="G9" t="str">
        <f t="shared" si="1"/>
        <v>Cells(gBaseLines + intS1, 8) = Mid(InputStr, 55, 11)</v>
      </c>
    </row>
    <row r="10" spans="1:7" x14ac:dyDescent="0.25">
      <c r="A10" t="s">
        <v>125</v>
      </c>
      <c r="B10">
        <v>67</v>
      </c>
      <c r="C10">
        <v>69</v>
      </c>
      <c r="D10">
        <f t="shared" si="0"/>
        <v>3</v>
      </c>
      <c r="F10" s="12">
        <v>9</v>
      </c>
      <c r="G10" t="str">
        <f t="shared" si="1"/>
        <v>Cells(gBaseLines + intS1, 9) = Mid(InputStr, 67, 3)</v>
      </c>
    </row>
    <row r="11" spans="1:7" x14ac:dyDescent="0.25">
      <c r="A11" t="s">
        <v>104</v>
      </c>
      <c r="B11">
        <v>71</v>
      </c>
      <c r="C11">
        <v>80</v>
      </c>
      <c r="D11">
        <f t="shared" si="0"/>
        <v>10</v>
      </c>
      <c r="F11" s="12">
        <v>10</v>
      </c>
      <c r="G11" t="str">
        <f t="shared" si="1"/>
        <v>Cells(gBaseLines + intS1, 10) = Mid(InputStr, 71, 10)</v>
      </c>
    </row>
    <row r="12" spans="1:7" x14ac:dyDescent="0.25">
      <c r="A12" t="s">
        <v>124</v>
      </c>
      <c r="B12">
        <v>83</v>
      </c>
      <c r="C12">
        <v>90</v>
      </c>
      <c r="D12">
        <f t="shared" si="0"/>
        <v>8</v>
      </c>
      <c r="F12" s="12">
        <v>11</v>
      </c>
      <c r="G12" t="str">
        <f t="shared" si="1"/>
        <v>Cells(gBaseLines + intS1, 11) = Mid(InputStr, 83, 8)</v>
      </c>
    </row>
    <row r="13" spans="1:7" x14ac:dyDescent="0.25">
      <c r="A13" t="s">
        <v>129</v>
      </c>
      <c r="B13">
        <v>5</v>
      </c>
      <c r="C13">
        <v>20</v>
      </c>
      <c r="D13">
        <f t="shared" si="0"/>
        <v>16</v>
      </c>
      <c r="F13" s="12">
        <v>12</v>
      </c>
      <c r="G13" t="str">
        <f t="shared" si="1"/>
        <v>Cells(gBaseLines + intS1, 12) = Mid(InputStr, 5, 16)</v>
      </c>
    </row>
    <row r="14" spans="1:7" x14ac:dyDescent="0.25">
      <c r="F14" s="12"/>
    </row>
    <row r="15" spans="1:7" x14ac:dyDescent="0.25">
      <c r="F15" s="12"/>
    </row>
    <row r="16" spans="1:7" x14ac:dyDescent="0.25">
      <c r="F16" s="12"/>
    </row>
    <row r="17" spans="6:6" x14ac:dyDescent="0.25">
      <c r="F17" s="12"/>
    </row>
    <row r="18" spans="6:6" x14ac:dyDescent="0.25">
      <c r="F18" s="12"/>
    </row>
    <row r="19" spans="6:6" x14ac:dyDescent="0.25">
      <c r="F19" s="12"/>
    </row>
    <row r="20" spans="6:6" x14ac:dyDescent="0.25">
      <c r="F20" s="12"/>
    </row>
    <row r="21" spans="6:6" x14ac:dyDescent="0.25">
      <c r="F21" s="12"/>
    </row>
    <row r="22" spans="6:6" x14ac:dyDescent="0.25">
      <c r="F22" s="12"/>
    </row>
    <row r="23" spans="6:6" x14ac:dyDescent="0.25">
      <c r="F23" s="12"/>
    </row>
    <row r="24" spans="6:6" x14ac:dyDescent="0.25">
      <c r="F24" s="12"/>
    </row>
    <row r="25" spans="6:6" x14ac:dyDescent="0.25">
      <c r="F25" s="12"/>
    </row>
    <row r="26" spans="6:6" x14ac:dyDescent="0.25">
      <c r="F26" s="12"/>
    </row>
    <row r="27" spans="6:6" x14ac:dyDescent="0.25">
      <c r="F27" s="12"/>
    </row>
    <row r="28" spans="6:6" x14ac:dyDescent="0.25">
      <c r="F28" s="12"/>
    </row>
    <row r="29" spans="6:6" x14ac:dyDescent="0.25">
      <c r="F29" s="12"/>
    </row>
    <row r="30" spans="6:6" x14ac:dyDescent="0.25">
      <c r="F30" s="12"/>
    </row>
    <row r="32" spans="6:6" x14ac:dyDescent="0.25">
      <c r="F32" s="12">
        <v>13</v>
      </c>
    </row>
    <row r="33" spans="6:6" x14ac:dyDescent="0.25">
      <c r="F33" s="12">
        <v>24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E13"/>
  <sheetViews>
    <sheetView workbookViewId="0">
      <selection activeCell="H11" sqref="H11"/>
    </sheetView>
  </sheetViews>
  <sheetFormatPr defaultRowHeight="16.5" x14ac:dyDescent="0.25"/>
  <cols>
    <col min="1" max="1" width="9.5" customWidth="1"/>
    <col min="5" max="5" width="9" style="3"/>
  </cols>
  <sheetData>
    <row r="1" spans="1:5" x14ac:dyDescent="0.25">
      <c r="A1" t="s">
        <v>59</v>
      </c>
      <c r="B1" t="s">
        <v>60</v>
      </c>
      <c r="C1" t="s">
        <v>61</v>
      </c>
      <c r="D1" t="s">
        <v>62</v>
      </c>
      <c r="E1" s="3" t="s">
        <v>63</v>
      </c>
    </row>
    <row r="2" spans="1:5" x14ac:dyDescent="0.25">
      <c r="A2" t="s">
        <v>119</v>
      </c>
      <c r="B2">
        <v>1</v>
      </c>
      <c r="C2">
        <v>3</v>
      </c>
      <c r="D2">
        <f>C2-B2+1</f>
        <v>3</v>
      </c>
    </row>
    <row r="3" spans="1:5" x14ac:dyDescent="0.25">
      <c r="A3" t="s">
        <v>120</v>
      </c>
      <c r="B3">
        <v>5</v>
      </c>
      <c r="C3">
        <v>20</v>
      </c>
      <c r="D3">
        <f t="shared" ref="D3:D13" si="0">C3-B3+1</f>
        <v>16</v>
      </c>
    </row>
    <row r="4" spans="1:5" x14ac:dyDescent="0.25">
      <c r="A4" t="s">
        <v>121</v>
      </c>
      <c r="B4">
        <v>21</v>
      </c>
      <c r="C4">
        <v>22</v>
      </c>
      <c r="D4">
        <f t="shared" si="0"/>
        <v>2</v>
      </c>
    </row>
    <row r="5" spans="1:5" x14ac:dyDescent="0.25">
      <c r="A5" t="s">
        <v>122</v>
      </c>
      <c r="B5">
        <v>24</v>
      </c>
      <c r="C5">
        <v>25</v>
      </c>
      <c r="D5">
        <f t="shared" si="0"/>
        <v>2</v>
      </c>
    </row>
    <row r="6" spans="1:5" x14ac:dyDescent="0.25">
      <c r="A6" t="s">
        <v>128</v>
      </c>
      <c r="B6">
        <v>27</v>
      </c>
      <c r="C6">
        <v>35</v>
      </c>
      <c r="D6">
        <f t="shared" si="0"/>
        <v>9</v>
      </c>
    </row>
    <row r="7" spans="1:5" x14ac:dyDescent="0.25">
      <c r="A7" t="s">
        <v>127</v>
      </c>
      <c r="B7">
        <v>37</v>
      </c>
      <c r="C7">
        <v>44</v>
      </c>
      <c r="D7">
        <f t="shared" si="0"/>
        <v>8</v>
      </c>
    </row>
    <row r="8" spans="1:5" x14ac:dyDescent="0.25">
      <c r="A8" t="s">
        <v>126</v>
      </c>
      <c r="B8">
        <v>46</v>
      </c>
      <c r="C8">
        <v>53</v>
      </c>
      <c r="D8">
        <f t="shared" si="0"/>
        <v>8</v>
      </c>
    </row>
    <row r="9" spans="1:5" x14ac:dyDescent="0.25">
      <c r="A9" t="s">
        <v>123</v>
      </c>
      <c r="B9">
        <v>55</v>
      </c>
      <c r="C9">
        <v>65</v>
      </c>
      <c r="D9">
        <f t="shared" si="0"/>
        <v>11</v>
      </c>
    </row>
    <row r="10" spans="1:5" x14ac:dyDescent="0.25">
      <c r="A10" t="s">
        <v>125</v>
      </c>
      <c r="B10">
        <v>67</v>
      </c>
      <c r="C10">
        <v>69</v>
      </c>
      <c r="D10">
        <f t="shared" si="0"/>
        <v>3</v>
      </c>
    </row>
    <row r="11" spans="1:5" x14ac:dyDescent="0.25">
      <c r="A11" t="s">
        <v>104</v>
      </c>
      <c r="B11">
        <v>71</v>
      </c>
      <c r="C11" s="42">
        <v>81</v>
      </c>
      <c r="D11">
        <f t="shared" si="0"/>
        <v>11</v>
      </c>
    </row>
    <row r="12" spans="1:5" x14ac:dyDescent="0.25">
      <c r="A12" t="s">
        <v>124</v>
      </c>
      <c r="B12">
        <v>83</v>
      </c>
      <c r="C12" s="42">
        <v>91</v>
      </c>
      <c r="D12">
        <f t="shared" si="0"/>
        <v>9</v>
      </c>
    </row>
    <row r="13" spans="1:5" x14ac:dyDescent="0.25">
      <c r="A13" t="s">
        <v>129</v>
      </c>
      <c r="B13">
        <v>5</v>
      </c>
      <c r="C13">
        <v>20</v>
      </c>
      <c r="D13">
        <f t="shared" si="0"/>
        <v>16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8"/>
  </sheetPr>
  <dimension ref="A1:AP511"/>
  <sheetViews>
    <sheetView workbookViewId="0">
      <pane ySplit="3" topLeftCell="A4" activePane="bottomLeft" state="frozen"/>
      <selection pane="bottomLeft" activeCell="AD3" sqref="AD3:AO3"/>
    </sheetView>
  </sheetViews>
  <sheetFormatPr defaultRowHeight="16.5" x14ac:dyDescent="0.25"/>
  <cols>
    <col min="1" max="1" width="4.625" style="24" customWidth="1"/>
    <col min="2" max="2" width="8.375" style="24" customWidth="1"/>
    <col min="3" max="3" width="7.625" style="24" customWidth="1"/>
    <col min="4" max="4" width="7.125" style="24" customWidth="1"/>
    <col min="5" max="5" width="4.125" style="24" customWidth="1"/>
    <col min="6" max="6" width="8.625" style="24" customWidth="1"/>
    <col min="7" max="7" width="4" customWidth="1"/>
    <col min="8" max="8" width="3.625" customWidth="1"/>
    <col min="9" max="9" width="8.75" style="22" customWidth="1"/>
    <col min="10" max="10" width="12.625" style="22" customWidth="1"/>
    <col min="11" max="11" width="3.5" customWidth="1"/>
    <col min="12" max="12" width="12.75" customWidth="1"/>
    <col min="13" max="13" width="6.75" customWidth="1"/>
    <col min="14" max="14" width="6.375" bestFit="1" customWidth="1"/>
    <col min="15" max="15" width="7.75" customWidth="1"/>
    <col min="16" max="16" width="4.125" customWidth="1"/>
    <col min="17" max="17" width="11.25" style="29" customWidth="1"/>
    <col min="20" max="20" width="6.25" bestFit="1" customWidth="1"/>
    <col min="23" max="23" width="7.25" customWidth="1"/>
    <col min="24" max="24" width="7" customWidth="1"/>
    <col min="25" max="25" width="4.75" bestFit="1" customWidth="1"/>
    <col min="26" max="26" width="10.75" customWidth="1"/>
    <col min="30" max="30" width="5.625" customWidth="1"/>
    <col min="31" max="31" width="10.875" style="24" customWidth="1"/>
    <col min="32" max="32" width="10.25" style="24" customWidth="1"/>
    <col min="33" max="34" width="9" style="24"/>
    <col min="36" max="36" width="10.5" style="29" bestFit="1" customWidth="1"/>
    <col min="37" max="37" width="9" style="24"/>
    <col min="38" max="38" width="6.5" style="24" customWidth="1"/>
    <col min="39" max="39" width="7.375" style="24" customWidth="1"/>
    <col min="40" max="40" width="13.5" style="24" customWidth="1"/>
    <col min="41" max="41" width="11.375" style="24" customWidth="1"/>
    <col min="42" max="42" width="5.25" customWidth="1"/>
    <col min="43" max="43" width="9" customWidth="1"/>
  </cols>
  <sheetData>
    <row r="1" spans="1:42" s="9" customFormat="1" ht="21.75" customHeight="1" x14ac:dyDescent="0.25">
      <c r="A1" s="23" t="s">
        <v>65</v>
      </c>
      <c r="B1" s="23"/>
      <c r="C1" s="55" t="s">
        <v>130</v>
      </c>
      <c r="D1" s="55"/>
      <c r="E1" s="55"/>
      <c r="F1" s="55"/>
      <c r="H1" s="9" t="s">
        <v>66</v>
      </c>
      <c r="I1" s="20"/>
      <c r="J1" s="56" t="s">
        <v>111</v>
      </c>
      <c r="K1" s="56"/>
      <c r="L1" s="56"/>
      <c r="M1" s="56"/>
      <c r="N1" s="56"/>
      <c r="O1" s="56"/>
      <c r="Q1" s="27"/>
      <c r="AE1" s="23"/>
      <c r="AF1" s="23"/>
      <c r="AG1" s="23"/>
      <c r="AH1" s="23"/>
      <c r="AJ1" s="27"/>
      <c r="AK1" s="23"/>
      <c r="AL1" s="23"/>
      <c r="AM1" s="23"/>
      <c r="AN1" s="23"/>
      <c r="AO1" s="23"/>
      <c r="AP1" s="8"/>
    </row>
    <row r="2" spans="1:42" s="12" customFormat="1" x14ac:dyDescent="0.25">
      <c r="A2" s="33">
        <v>1</v>
      </c>
      <c r="B2" s="33">
        <v>2</v>
      </c>
      <c r="C2" s="33">
        <v>3</v>
      </c>
      <c r="D2" s="33">
        <v>4</v>
      </c>
      <c r="E2" s="34">
        <v>1</v>
      </c>
      <c r="F2" s="34">
        <v>2</v>
      </c>
      <c r="G2" s="18">
        <v>3</v>
      </c>
      <c r="H2" s="18">
        <v>4</v>
      </c>
      <c r="I2" s="18">
        <v>5</v>
      </c>
      <c r="J2" s="18">
        <v>6</v>
      </c>
      <c r="K2" s="18">
        <v>7</v>
      </c>
      <c r="L2" s="18">
        <v>8</v>
      </c>
      <c r="M2" s="18">
        <v>10</v>
      </c>
      <c r="N2" s="18">
        <v>11</v>
      </c>
      <c r="O2" s="18">
        <v>12</v>
      </c>
      <c r="P2" s="18">
        <v>13</v>
      </c>
      <c r="Q2" s="30">
        <v>14</v>
      </c>
      <c r="R2" s="18">
        <v>15</v>
      </c>
      <c r="S2" s="18">
        <v>16</v>
      </c>
      <c r="T2" s="18">
        <v>17</v>
      </c>
      <c r="U2" s="18">
        <v>18</v>
      </c>
      <c r="V2" s="18">
        <v>19</v>
      </c>
      <c r="W2" s="18">
        <v>21</v>
      </c>
      <c r="X2" s="18">
        <v>22</v>
      </c>
      <c r="Y2" s="17">
        <v>1</v>
      </c>
      <c r="Z2" s="17">
        <v>2</v>
      </c>
      <c r="AA2" s="17">
        <v>3</v>
      </c>
      <c r="AB2" s="17">
        <v>4</v>
      </c>
      <c r="AC2" s="17">
        <v>5</v>
      </c>
      <c r="AE2" s="3"/>
      <c r="AF2" s="3"/>
      <c r="AG2" s="3"/>
      <c r="AH2" s="3"/>
      <c r="AJ2" s="31"/>
      <c r="AK2" s="3"/>
      <c r="AL2" s="3"/>
      <c r="AM2" s="3"/>
      <c r="AN2" s="3"/>
      <c r="AO2" s="3"/>
      <c r="AP2">
        <f>V2-ROUND(O2*Q2,0)</f>
        <v>-149</v>
      </c>
    </row>
    <row r="3" spans="1:42" s="8" customFormat="1" ht="14.25" x14ac:dyDescent="0.25">
      <c r="A3" s="35" t="s">
        <v>6</v>
      </c>
      <c r="B3" s="36" t="s">
        <v>8</v>
      </c>
      <c r="C3" s="36" t="s">
        <v>10</v>
      </c>
      <c r="D3" s="36" t="s">
        <v>11</v>
      </c>
      <c r="E3" s="35" t="s">
        <v>13</v>
      </c>
      <c r="F3" s="36" t="s">
        <v>15</v>
      </c>
      <c r="G3" s="8" t="s">
        <v>17</v>
      </c>
      <c r="H3" s="8" t="s">
        <v>19</v>
      </c>
      <c r="I3" s="21" t="s">
        <v>22</v>
      </c>
      <c r="J3" s="21" t="s">
        <v>45</v>
      </c>
      <c r="K3" s="8" t="s">
        <v>25</v>
      </c>
      <c r="L3" s="8" t="s">
        <v>64</v>
      </c>
      <c r="M3" s="8" t="s">
        <v>52</v>
      </c>
      <c r="N3" s="8" t="s">
        <v>28</v>
      </c>
      <c r="O3" s="8" t="s">
        <v>50</v>
      </c>
      <c r="P3" s="8" t="s">
        <v>30</v>
      </c>
      <c r="Q3" s="28" t="s">
        <v>53</v>
      </c>
      <c r="R3" s="8" t="s">
        <v>34</v>
      </c>
      <c r="S3" s="8" t="s">
        <v>55</v>
      </c>
      <c r="T3" s="8" t="s">
        <v>36</v>
      </c>
      <c r="U3" s="8" t="s">
        <v>38</v>
      </c>
      <c r="V3" s="8" t="s">
        <v>40</v>
      </c>
      <c r="W3" s="8" t="s">
        <v>42</v>
      </c>
      <c r="X3" s="8" t="s">
        <v>44</v>
      </c>
      <c r="Y3" s="14" t="s">
        <v>32</v>
      </c>
      <c r="Z3" s="8" t="s">
        <v>34</v>
      </c>
      <c r="AA3" s="8" t="s">
        <v>36</v>
      </c>
      <c r="AB3" s="8" t="s">
        <v>38</v>
      </c>
      <c r="AC3" s="8" t="s">
        <v>40</v>
      </c>
      <c r="AD3" s="25" t="s">
        <v>99</v>
      </c>
      <c r="AE3" s="25" t="s">
        <v>45</v>
      </c>
      <c r="AF3" s="26" t="s">
        <v>100</v>
      </c>
      <c r="AG3" s="26" t="s">
        <v>101</v>
      </c>
      <c r="AH3" s="26" t="s">
        <v>102</v>
      </c>
      <c r="AI3" s="25" t="s">
        <v>103</v>
      </c>
      <c r="AJ3" s="32" t="s">
        <v>104</v>
      </c>
      <c r="AK3" s="26" t="s">
        <v>105</v>
      </c>
      <c r="AL3" s="25" t="s">
        <v>106</v>
      </c>
      <c r="AM3" s="25" t="s">
        <v>107</v>
      </c>
      <c r="AN3" s="26" t="s">
        <v>108</v>
      </c>
      <c r="AO3" s="26" t="s">
        <v>109</v>
      </c>
      <c r="AP3" s="8" t="s">
        <v>118</v>
      </c>
    </row>
    <row r="4" spans="1:42" x14ac:dyDescent="0.25">
      <c r="A4" s="24" t="s">
        <v>269</v>
      </c>
      <c r="B4" s="24" t="s">
        <v>270</v>
      </c>
      <c r="C4" s="24" t="s">
        <v>271</v>
      </c>
      <c r="D4" s="24" t="s">
        <v>272</v>
      </c>
      <c r="E4" s="24" t="s">
        <v>273</v>
      </c>
      <c r="F4" s="24" t="s">
        <v>274</v>
      </c>
      <c r="G4">
        <v>1</v>
      </c>
      <c r="H4" t="s">
        <v>275</v>
      </c>
      <c r="I4" s="22" t="s">
        <v>276</v>
      </c>
      <c r="J4" s="22" t="s">
        <v>112</v>
      </c>
      <c r="K4" t="s">
        <v>277</v>
      </c>
      <c r="L4" t="s">
        <v>278</v>
      </c>
      <c r="M4">
        <v>9</v>
      </c>
      <c r="N4">
        <v>3</v>
      </c>
      <c r="O4">
        <v>3</v>
      </c>
      <c r="P4" t="s">
        <v>279</v>
      </c>
      <c r="Q4" s="29">
        <v>5272.6</v>
      </c>
      <c r="R4">
        <v>15818</v>
      </c>
      <c r="S4">
        <v>20150119</v>
      </c>
      <c r="T4">
        <v>0</v>
      </c>
      <c r="U4">
        <v>0</v>
      </c>
      <c r="V4">
        <v>15818</v>
      </c>
      <c r="W4" t="s">
        <v>280</v>
      </c>
      <c r="X4" t="s">
        <v>281</v>
      </c>
      <c r="Y4">
        <v>3</v>
      </c>
      <c r="Z4">
        <v>21287</v>
      </c>
      <c r="AA4">
        <v>0</v>
      </c>
      <c r="AB4">
        <v>0</v>
      </c>
      <c r="AC4">
        <v>21287</v>
      </c>
      <c r="AP4" s="41"/>
    </row>
    <row r="5" spans="1:42" x14ac:dyDescent="0.25">
      <c r="E5" s="24" t="s">
        <v>273</v>
      </c>
      <c r="F5" s="24" t="s">
        <v>274</v>
      </c>
      <c r="G5">
        <v>2</v>
      </c>
      <c r="H5" t="s">
        <v>275</v>
      </c>
      <c r="I5" s="22" t="s">
        <v>282</v>
      </c>
      <c r="J5" s="22" t="s">
        <v>113</v>
      </c>
      <c r="K5" t="s">
        <v>277</v>
      </c>
      <c r="L5" t="s">
        <v>283</v>
      </c>
      <c r="M5">
        <v>9</v>
      </c>
      <c r="N5">
        <v>2</v>
      </c>
      <c r="O5">
        <v>2</v>
      </c>
      <c r="P5" t="s">
        <v>279</v>
      </c>
      <c r="Q5" s="29">
        <v>2659.05</v>
      </c>
      <c r="R5">
        <v>5318</v>
      </c>
      <c r="S5">
        <v>20150113</v>
      </c>
      <c r="T5">
        <v>0</v>
      </c>
      <c r="U5">
        <v>0</v>
      </c>
      <c r="V5">
        <v>5318</v>
      </c>
      <c r="W5" t="s">
        <v>280</v>
      </c>
      <c r="X5" t="s">
        <v>281</v>
      </c>
      <c r="AP5" s="41"/>
    </row>
    <row r="6" spans="1:42" x14ac:dyDescent="0.25">
      <c r="E6" s="24" t="s">
        <v>273</v>
      </c>
      <c r="F6" s="24" t="s">
        <v>274</v>
      </c>
      <c r="G6">
        <v>3</v>
      </c>
      <c r="H6" t="s">
        <v>275</v>
      </c>
      <c r="I6" s="22" t="s">
        <v>284</v>
      </c>
      <c r="J6" s="22" t="s">
        <v>114</v>
      </c>
      <c r="K6" t="s">
        <v>277</v>
      </c>
      <c r="L6" t="s">
        <v>285</v>
      </c>
      <c r="M6">
        <v>9</v>
      </c>
      <c r="N6">
        <v>20</v>
      </c>
      <c r="O6">
        <v>20</v>
      </c>
      <c r="P6" t="s">
        <v>279</v>
      </c>
      <c r="Q6" s="29">
        <v>7.53</v>
      </c>
      <c r="R6">
        <v>151</v>
      </c>
      <c r="S6">
        <v>20150113</v>
      </c>
      <c r="T6">
        <v>0</v>
      </c>
      <c r="U6">
        <v>0</v>
      </c>
      <c r="V6">
        <v>151</v>
      </c>
      <c r="W6" t="s">
        <v>280</v>
      </c>
      <c r="X6" t="s">
        <v>281</v>
      </c>
      <c r="AP6" s="41"/>
    </row>
    <row r="7" spans="1:42" x14ac:dyDescent="0.25">
      <c r="E7" s="24" t="s">
        <v>273</v>
      </c>
      <c r="F7" s="24" t="s">
        <v>286</v>
      </c>
      <c r="G7">
        <v>1</v>
      </c>
      <c r="H7" t="s">
        <v>275</v>
      </c>
      <c r="I7" s="22" t="s">
        <v>287</v>
      </c>
      <c r="J7" s="22" t="s">
        <v>115</v>
      </c>
      <c r="K7" t="s">
        <v>277</v>
      </c>
      <c r="L7" t="s">
        <v>288</v>
      </c>
      <c r="M7">
        <v>9</v>
      </c>
      <c r="N7">
        <v>10</v>
      </c>
      <c r="O7">
        <v>10</v>
      </c>
      <c r="P7" t="s">
        <v>279</v>
      </c>
      <c r="Q7" s="29">
        <v>99.88</v>
      </c>
      <c r="R7">
        <v>999</v>
      </c>
      <c r="S7">
        <v>20150127</v>
      </c>
      <c r="T7">
        <v>0</v>
      </c>
      <c r="U7">
        <v>0</v>
      </c>
      <c r="V7">
        <v>999</v>
      </c>
      <c r="W7" t="s">
        <v>280</v>
      </c>
      <c r="X7" t="s">
        <v>281</v>
      </c>
      <c r="Y7">
        <v>3</v>
      </c>
      <c r="Z7">
        <v>6519</v>
      </c>
      <c r="AA7">
        <v>0</v>
      </c>
      <c r="AB7">
        <v>0</v>
      </c>
      <c r="AC7">
        <v>6519</v>
      </c>
      <c r="AP7" s="41"/>
    </row>
    <row r="8" spans="1:42" x14ac:dyDescent="0.25">
      <c r="E8" s="24" t="s">
        <v>273</v>
      </c>
      <c r="F8" s="24" t="s">
        <v>286</v>
      </c>
      <c r="G8">
        <v>2</v>
      </c>
      <c r="H8" t="s">
        <v>275</v>
      </c>
      <c r="I8" s="22" t="s">
        <v>289</v>
      </c>
      <c r="J8" s="22" t="s">
        <v>116</v>
      </c>
      <c r="K8" t="s">
        <v>277</v>
      </c>
      <c r="L8" t="s">
        <v>290</v>
      </c>
      <c r="M8">
        <v>9</v>
      </c>
      <c r="N8">
        <v>2</v>
      </c>
      <c r="O8">
        <v>2</v>
      </c>
      <c r="P8" t="s">
        <v>279</v>
      </c>
      <c r="Q8" s="29">
        <v>2712.81</v>
      </c>
      <c r="R8">
        <v>5426</v>
      </c>
      <c r="S8">
        <v>20150127</v>
      </c>
      <c r="T8">
        <v>0</v>
      </c>
      <c r="U8">
        <v>0</v>
      </c>
      <c r="V8">
        <v>5426</v>
      </c>
      <c r="W8" t="s">
        <v>280</v>
      </c>
      <c r="X8" t="s">
        <v>281</v>
      </c>
      <c r="AP8" s="41"/>
    </row>
    <row r="9" spans="1:42" x14ac:dyDescent="0.25">
      <c r="E9" s="24" t="s">
        <v>273</v>
      </c>
      <c r="F9" s="24" t="s">
        <v>286</v>
      </c>
      <c r="G9">
        <v>3</v>
      </c>
      <c r="H9" t="s">
        <v>275</v>
      </c>
      <c r="I9" s="22" t="s">
        <v>287</v>
      </c>
      <c r="J9" s="22" t="s">
        <v>117</v>
      </c>
      <c r="K9" t="s">
        <v>277</v>
      </c>
      <c r="L9" t="s">
        <v>291</v>
      </c>
      <c r="M9">
        <v>9</v>
      </c>
      <c r="N9">
        <v>5</v>
      </c>
      <c r="O9">
        <v>5</v>
      </c>
      <c r="P9" t="s">
        <v>279</v>
      </c>
      <c r="Q9" s="29">
        <v>18.739999999999998</v>
      </c>
      <c r="R9">
        <v>94</v>
      </c>
      <c r="S9">
        <v>20150127</v>
      </c>
      <c r="T9">
        <v>0</v>
      </c>
      <c r="U9">
        <v>0</v>
      </c>
      <c r="V9">
        <v>94</v>
      </c>
      <c r="W9" t="s">
        <v>280</v>
      </c>
      <c r="X9" t="s">
        <v>281</v>
      </c>
      <c r="AP9" s="41"/>
    </row>
    <row r="10" spans="1:42" x14ac:dyDescent="0.25">
      <c r="A10" s="24" t="s">
        <v>269</v>
      </c>
      <c r="B10" s="24" t="s">
        <v>270</v>
      </c>
      <c r="C10" s="24" t="s">
        <v>271</v>
      </c>
      <c r="D10" s="24" t="s">
        <v>272</v>
      </c>
      <c r="E10" s="24" t="s">
        <v>273</v>
      </c>
      <c r="F10" s="24" t="s">
        <v>292</v>
      </c>
      <c r="G10">
        <v>1</v>
      </c>
      <c r="H10" t="s">
        <v>275</v>
      </c>
      <c r="I10" s="22" t="s">
        <v>293</v>
      </c>
      <c r="J10" s="22">
        <v>1075347501</v>
      </c>
      <c r="K10" t="s">
        <v>277</v>
      </c>
      <c r="L10" t="s">
        <v>294</v>
      </c>
      <c r="M10">
        <v>9</v>
      </c>
      <c r="N10">
        <v>5</v>
      </c>
      <c r="O10">
        <v>5</v>
      </c>
      <c r="P10" t="s">
        <v>279</v>
      </c>
      <c r="Q10" s="29">
        <v>5305.56</v>
      </c>
      <c r="R10">
        <v>26528</v>
      </c>
      <c r="S10">
        <v>20150113</v>
      </c>
      <c r="T10">
        <v>0</v>
      </c>
      <c r="U10">
        <v>0</v>
      </c>
      <c r="V10">
        <v>26528</v>
      </c>
      <c r="W10" t="s">
        <v>280</v>
      </c>
      <c r="X10" t="s">
        <v>281</v>
      </c>
      <c r="Y10">
        <v>3</v>
      </c>
      <c r="Z10">
        <v>1172528</v>
      </c>
      <c r="AA10">
        <v>0</v>
      </c>
      <c r="AB10">
        <v>0</v>
      </c>
      <c r="AC10">
        <v>1172528</v>
      </c>
      <c r="AP10" s="41"/>
    </row>
    <row r="11" spans="1:42" x14ac:dyDescent="0.25">
      <c r="E11" s="24" t="s">
        <v>273</v>
      </c>
      <c r="F11" s="24" t="s">
        <v>292</v>
      </c>
      <c r="G11">
        <v>2</v>
      </c>
      <c r="H11" t="s">
        <v>275</v>
      </c>
      <c r="I11" s="22" t="s">
        <v>293</v>
      </c>
      <c r="J11" s="22">
        <v>1074230001</v>
      </c>
      <c r="K11" t="s">
        <v>277</v>
      </c>
      <c r="L11" t="s">
        <v>294</v>
      </c>
      <c r="M11">
        <v>9</v>
      </c>
      <c r="N11">
        <v>9</v>
      </c>
      <c r="O11">
        <v>9</v>
      </c>
      <c r="P11" t="s">
        <v>279</v>
      </c>
      <c r="Q11" s="29">
        <v>5305.56</v>
      </c>
      <c r="R11">
        <v>47750</v>
      </c>
      <c r="S11">
        <v>20150109</v>
      </c>
      <c r="T11">
        <v>0</v>
      </c>
      <c r="U11">
        <v>0</v>
      </c>
      <c r="V11">
        <v>47750</v>
      </c>
      <c r="W11" t="s">
        <v>280</v>
      </c>
      <c r="X11" t="s">
        <v>281</v>
      </c>
      <c r="Y11" s="15"/>
      <c r="Z11" s="15"/>
      <c r="AA11" s="15"/>
      <c r="AB11" s="15"/>
      <c r="AC11" s="15"/>
      <c r="AP11" s="41"/>
    </row>
    <row r="12" spans="1:42" x14ac:dyDescent="0.25">
      <c r="E12" s="24" t="s">
        <v>273</v>
      </c>
      <c r="F12" s="24" t="s">
        <v>292</v>
      </c>
      <c r="G12">
        <v>3</v>
      </c>
      <c r="H12" t="s">
        <v>275</v>
      </c>
      <c r="I12" s="22" t="s">
        <v>293</v>
      </c>
      <c r="J12" s="22">
        <v>1073013601</v>
      </c>
      <c r="K12" t="s">
        <v>277</v>
      </c>
      <c r="L12" t="s">
        <v>294</v>
      </c>
      <c r="M12">
        <v>9</v>
      </c>
      <c r="N12">
        <v>4</v>
      </c>
      <c r="O12">
        <v>4</v>
      </c>
      <c r="P12" t="s">
        <v>279</v>
      </c>
      <c r="Q12" s="29">
        <v>5305.56</v>
      </c>
      <c r="R12">
        <v>21222</v>
      </c>
      <c r="S12">
        <v>20150107</v>
      </c>
      <c r="T12">
        <v>0</v>
      </c>
      <c r="U12">
        <v>0</v>
      </c>
      <c r="V12">
        <v>21222</v>
      </c>
      <c r="W12" t="s">
        <v>280</v>
      </c>
      <c r="X12" t="s">
        <v>281</v>
      </c>
      <c r="AP12" s="41"/>
    </row>
    <row r="13" spans="1:42" x14ac:dyDescent="0.25">
      <c r="A13" s="37"/>
      <c r="B13" s="37"/>
      <c r="C13" s="37"/>
      <c r="D13" s="37"/>
      <c r="E13" s="24" t="s">
        <v>273</v>
      </c>
      <c r="F13" s="24" t="s">
        <v>292</v>
      </c>
      <c r="G13">
        <v>4</v>
      </c>
      <c r="H13" t="s">
        <v>275</v>
      </c>
      <c r="I13" s="22" t="s">
        <v>293</v>
      </c>
      <c r="J13" s="22">
        <v>1072877401</v>
      </c>
      <c r="K13" t="s">
        <v>277</v>
      </c>
      <c r="L13" t="s">
        <v>294</v>
      </c>
      <c r="M13">
        <v>9</v>
      </c>
      <c r="N13">
        <v>14</v>
      </c>
      <c r="O13">
        <v>14</v>
      </c>
      <c r="P13" t="s">
        <v>279</v>
      </c>
      <c r="Q13" s="29">
        <v>5305.56</v>
      </c>
      <c r="R13">
        <v>74278</v>
      </c>
      <c r="S13">
        <v>20150107</v>
      </c>
      <c r="T13">
        <v>0</v>
      </c>
      <c r="U13">
        <v>0</v>
      </c>
      <c r="V13">
        <v>74278</v>
      </c>
      <c r="W13" t="s">
        <v>280</v>
      </c>
      <c r="X13" t="s">
        <v>281</v>
      </c>
      <c r="AP13" s="41"/>
    </row>
    <row r="14" spans="1:42" x14ac:dyDescent="0.25">
      <c r="E14" s="24" t="s">
        <v>273</v>
      </c>
      <c r="F14" s="24" t="s">
        <v>292</v>
      </c>
      <c r="G14">
        <v>5</v>
      </c>
      <c r="H14" t="s">
        <v>275</v>
      </c>
      <c r="I14" s="22" t="s">
        <v>293</v>
      </c>
      <c r="J14" s="22">
        <v>1063942701</v>
      </c>
      <c r="K14" t="s">
        <v>277</v>
      </c>
      <c r="L14" t="s">
        <v>294</v>
      </c>
      <c r="M14">
        <v>9</v>
      </c>
      <c r="N14">
        <v>13</v>
      </c>
      <c r="O14">
        <v>13</v>
      </c>
      <c r="P14" t="s">
        <v>279</v>
      </c>
      <c r="Q14" s="29">
        <v>5305.56</v>
      </c>
      <c r="R14">
        <v>68972</v>
      </c>
      <c r="S14">
        <v>20141210</v>
      </c>
      <c r="T14">
        <v>0</v>
      </c>
      <c r="U14">
        <v>0</v>
      </c>
      <c r="V14">
        <v>68972</v>
      </c>
      <c r="W14" t="s">
        <v>280</v>
      </c>
      <c r="X14" t="s">
        <v>281</v>
      </c>
      <c r="AP14" s="41"/>
    </row>
    <row r="15" spans="1:42" x14ac:dyDescent="0.25">
      <c r="E15" s="24" t="s">
        <v>273</v>
      </c>
      <c r="F15" s="24" t="s">
        <v>292</v>
      </c>
      <c r="G15">
        <v>6</v>
      </c>
      <c r="H15" t="s">
        <v>275</v>
      </c>
      <c r="I15" s="22" t="s">
        <v>293</v>
      </c>
      <c r="J15" s="22">
        <v>1064526201</v>
      </c>
      <c r="K15" t="s">
        <v>277</v>
      </c>
      <c r="L15" t="s">
        <v>294</v>
      </c>
      <c r="M15">
        <v>9</v>
      </c>
      <c r="N15">
        <v>11</v>
      </c>
      <c r="O15">
        <v>11</v>
      </c>
      <c r="P15" t="s">
        <v>279</v>
      </c>
      <c r="Q15" s="29">
        <v>5305.56</v>
      </c>
      <c r="R15">
        <v>58361</v>
      </c>
      <c r="S15">
        <v>20141211</v>
      </c>
      <c r="T15">
        <v>0</v>
      </c>
      <c r="U15">
        <v>0</v>
      </c>
      <c r="V15">
        <v>58361</v>
      </c>
      <c r="W15" t="s">
        <v>280</v>
      </c>
      <c r="X15" t="s">
        <v>281</v>
      </c>
      <c r="AP15" s="41"/>
    </row>
    <row r="16" spans="1:42" x14ac:dyDescent="0.25">
      <c r="E16" s="24" t="s">
        <v>273</v>
      </c>
      <c r="F16" s="24" t="s">
        <v>292</v>
      </c>
      <c r="G16">
        <v>7</v>
      </c>
      <c r="H16" t="s">
        <v>275</v>
      </c>
      <c r="I16" s="22" t="s">
        <v>293</v>
      </c>
      <c r="J16" s="22">
        <v>1064400101</v>
      </c>
      <c r="K16" t="s">
        <v>277</v>
      </c>
      <c r="L16" t="s">
        <v>294</v>
      </c>
      <c r="M16">
        <v>9</v>
      </c>
      <c r="N16">
        <v>15</v>
      </c>
      <c r="O16">
        <v>15</v>
      </c>
      <c r="P16" t="s">
        <v>279</v>
      </c>
      <c r="Q16" s="29">
        <v>5305.56</v>
      </c>
      <c r="R16">
        <v>79583</v>
      </c>
      <c r="S16">
        <v>20141211</v>
      </c>
      <c r="T16">
        <v>0</v>
      </c>
      <c r="U16">
        <v>0</v>
      </c>
      <c r="V16">
        <v>79583</v>
      </c>
      <c r="W16" t="s">
        <v>280</v>
      </c>
      <c r="X16" t="s">
        <v>281</v>
      </c>
      <c r="AP16" s="41"/>
    </row>
    <row r="17" spans="5:42" x14ac:dyDescent="0.25">
      <c r="E17" s="24" t="s">
        <v>273</v>
      </c>
      <c r="F17" s="24" t="s">
        <v>292</v>
      </c>
      <c r="G17">
        <v>8</v>
      </c>
      <c r="H17" t="s">
        <v>275</v>
      </c>
      <c r="I17" s="22" t="s">
        <v>293</v>
      </c>
      <c r="J17" s="22">
        <v>1065094901</v>
      </c>
      <c r="K17" t="s">
        <v>277</v>
      </c>
      <c r="L17" t="s">
        <v>294</v>
      </c>
      <c r="M17">
        <v>9</v>
      </c>
      <c r="N17">
        <v>12</v>
      </c>
      <c r="O17">
        <v>12</v>
      </c>
      <c r="P17" t="s">
        <v>279</v>
      </c>
      <c r="Q17" s="29">
        <v>5305.56</v>
      </c>
      <c r="R17">
        <v>63667</v>
      </c>
      <c r="S17">
        <v>20141212</v>
      </c>
      <c r="T17">
        <v>0</v>
      </c>
      <c r="U17">
        <v>0</v>
      </c>
      <c r="V17">
        <v>63667</v>
      </c>
      <c r="W17" t="s">
        <v>280</v>
      </c>
      <c r="X17" t="s">
        <v>281</v>
      </c>
      <c r="AP17" s="41"/>
    </row>
    <row r="18" spans="5:42" x14ac:dyDescent="0.25">
      <c r="E18" s="24" t="s">
        <v>273</v>
      </c>
      <c r="F18" s="24" t="s">
        <v>292</v>
      </c>
      <c r="G18">
        <v>9</v>
      </c>
      <c r="H18" t="s">
        <v>275</v>
      </c>
      <c r="I18" s="22" t="s">
        <v>293</v>
      </c>
      <c r="J18" s="22">
        <v>3030357601</v>
      </c>
      <c r="K18" t="s">
        <v>277</v>
      </c>
      <c r="L18" t="s">
        <v>294</v>
      </c>
      <c r="M18">
        <v>9</v>
      </c>
      <c r="N18">
        <v>5</v>
      </c>
      <c r="O18">
        <v>5</v>
      </c>
      <c r="P18" t="s">
        <v>279</v>
      </c>
      <c r="Q18" s="29">
        <v>5305.56</v>
      </c>
      <c r="R18">
        <v>26528</v>
      </c>
      <c r="S18">
        <v>20140714</v>
      </c>
      <c r="T18">
        <v>0</v>
      </c>
      <c r="U18">
        <v>0</v>
      </c>
      <c r="V18">
        <v>26528</v>
      </c>
      <c r="W18" t="s">
        <v>280</v>
      </c>
      <c r="X18" t="s">
        <v>281</v>
      </c>
      <c r="AP18" s="41"/>
    </row>
    <row r="19" spans="5:42" x14ac:dyDescent="0.25">
      <c r="E19" s="24" t="s">
        <v>273</v>
      </c>
      <c r="F19" s="24" t="s">
        <v>292</v>
      </c>
      <c r="G19">
        <v>10</v>
      </c>
      <c r="H19" t="s">
        <v>275</v>
      </c>
      <c r="I19" s="22" t="s">
        <v>293</v>
      </c>
      <c r="J19" s="22">
        <v>1075718101</v>
      </c>
      <c r="K19" t="s">
        <v>277</v>
      </c>
      <c r="L19" t="s">
        <v>294</v>
      </c>
      <c r="M19">
        <v>9</v>
      </c>
      <c r="N19">
        <v>8</v>
      </c>
      <c r="O19">
        <v>8</v>
      </c>
      <c r="P19" t="s">
        <v>279</v>
      </c>
      <c r="Q19" s="29">
        <v>5305.56</v>
      </c>
      <c r="R19">
        <v>42444</v>
      </c>
      <c r="S19">
        <v>20150114</v>
      </c>
      <c r="T19">
        <v>0</v>
      </c>
      <c r="U19">
        <v>0</v>
      </c>
      <c r="V19">
        <v>42444</v>
      </c>
      <c r="W19" t="s">
        <v>280</v>
      </c>
      <c r="X19" t="s">
        <v>281</v>
      </c>
      <c r="AP19" s="41"/>
    </row>
    <row r="20" spans="5:42" x14ac:dyDescent="0.25">
      <c r="E20" s="24" t="s">
        <v>273</v>
      </c>
      <c r="F20" s="24" t="s">
        <v>292</v>
      </c>
      <c r="G20">
        <v>11</v>
      </c>
      <c r="H20" t="s">
        <v>275</v>
      </c>
      <c r="I20" s="22" t="s">
        <v>293</v>
      </c>
      <c r="J20" s="22">
        <v>1076439001</v>
      </c>
      <c r="K20" t="s">
        <v>277</v>
      </c>
      <c r="L20" t="s">
        <v>294</v>
      </c>
      <c r="M20">
        <v>9</v>
      </c>
      <c r="N20">
        <v>5</v>
      </c>
      <c r="O20">
        <v>5</v>
      </c>
      <c r="P20" t="s">
        <v>279</v>
      </c>
      <c r="Q20" s="29">
        <v>5305.56</v>
      </c>
      <c r="R20">
        <v>26528</v>
      </c>
      <c r="S20">
        <v>20150115</v>
      </c>
      <c r="T20">
        <v>0</v>
      </c>
      <c r="U20">
        <v>0</v>
      </c>
      <c r="V20">
        <v>26528</v>
      </c>
      <c r="W20" t="s">
        <v>280</v>
      </c>
      <c r="X20" t="s">
        <v>281</v>
      </c>
      <c r="AP20" s="41"/>
    </row>
    <row r="21" spans="5:42" x14ac:dyDescent="0.25">
      <c r="E21" s="24" t="s">
        <v>273</v>
      </c>
      <c r="F21" s="24" t="s">
        <v>292</v>
      </c>
      <c r="G21">
        <v>12</v>
      </c>
      <c r="H21" t="s">
        <v>275</v>
      </c>
      <c r="I21" s="22" t="s">
        <v>293</v>
      </c>
      <c r="J21" s="22">
        <v>1076212901</v>
      </c>
      <c r="K21" t="s">
        <v>277</v>
      </c>
      <c r="L21" t="s">
        <v>294</v>
      </c>
      <c r="M21">
        <v>9</v>
      </c>
      <c r="N21">
        <v>2</v>
      </c>
      <c r="O21">
        <v>2</v>
      </c>
      <c r="P21" t="s">
        <v>279</v>
      </c>
      <c r="Q21" s="29">
        <v>5305.56</v>
      </c>
      <c r="R21">
        <v>10611</v>
      </c>
      <c r="S21">
        <v>20150115</v>
      </c>
      <c r="T21">
        <v>0</v>
      </c>
      <c r="U21">
        <v>0</v>
      </c>
      <c r="V21">
        <v>10611</v>
      </c>
      <c r="W21" t="s">
        <v>280</v>
      </c>
      <c r="X21" t="s">
        <v>281</v>
      </c>
      <c r="AP21" s="41"/>
    </row>
    <row r="22" spans="5:42" x14ac:dyDescent="0.25">
      <c r="E22" s="24" t="s">
        <v>273</v>
      </c>
      <c r="F22" s="24" t="s">
        <v>292</v>
      </c>
      <c r="G22">
        <v>13</v>
      </c>
      <c r="H22" t="s">
        <v>275</v>
      </c>
      <c r="I22" s="22" t="s">
        <v>293</v>
      </c>
      <c r="J22" s="22">
        <v>1076978001</v>
      </c>
      <c r="K22" t="s">
        <v>277</v>
      </c>
      <c r="L22" t="s">
        <v>294</v>
      </c>
      <c r="M22">
        <v>9</v>
      </c>
      <c r="N22">
        <v>9</v>
      </c>
      <c r="O22">
        <v>9</v>
      </c>
      <c r="P22" t="s">
        <v>279</v>
      </c>
      <c r="Q22" s="29">
        <v>5305.56</v>
      </c>
      <c r="R22">
        <v>47750</v>
      </c>
      <c r="S22">
        <v>20150116</v>
      </c>
      <c r="T22">
        <v>0</v>
      </c>
      <c r="U22">
        <v>0</v>
      </c>
      <c r="V22">
        <v>47750</v>
      </c>
      <c r="W22" t="s">
        <v>280</v>
      </c>
      <c r="X22" t="s">
        <v>281</v>
      </c>
      <c r="AP22" s="41"/>
    </row>
    <row r="23" spans="5:42" x14ac:dyDescent="0.25">
      <c r="E23" s="24" t="s">
        <v>273</v>
      </c>
      <c r="F23" s="24" t="s">
        <v>292</v>
      </c>
      <c r="G23">
        <v>14</v>
      </c>
      <c r="H23" t="s">
        <v>275</v>
      </c>
      <c r="I23" s="22" t="s">
        <v>293</v>
      </c>
      <c r="J23" s="22">
        <v>1066201801</v>
      </c>
      <c r="K23" t="s">
        <v>277</v>
      </c>
      <c r="L23" t="s">
        <v>294</v>
      </c>
      <c r="M23">
        <v>9</v>
      </c>
      <c r="N23">
        <v>16</v>
      </c>
      <c r="O23">
        <v>16</v>
      </c>
      <c r="P23" t="s">
        <v>279</v>
      </c>
      <c r="Q23" s="29">
        <v>5305.56</v>
      </c>
      <c r="R23">
        <v>84889</v>
      </c>
      <c r="S23">
        <v>20141217</v>
      </c>
      <c r="T23">
        <v>0</v>
      </c>
      <c r="U23">
        <v>0</v>
      </c>
      <c r="V23">
        <v>84889</v>
      </c>
      <c r="W23" t="s">
        <v>280</v>
      </c>
      <c r="X23" t="s">
        <v>281</v>
      </c>
      <c r="AP23" s="41"/>
    </row>
    <row r="24" spans="5:42" x14ac:dyDescent="0.25">
      <c r="E24" s="24" t="s">
        <v>273</v>
      </c>
      <c r="F24" s="24" t="s">
        <v>292</v>
      </c>
      <c r="G24">
        <v>15</v>
      </c>
      <c r="H24" t="s">
        <v>275</v>
      </c>
      <c r="I24" s="22" t="s">
        <v>293</v>
      </c>
      <c r="J24" s="22">
        <v>1066738401</v>
      </c>
      <c r="K24" t="s">
        <v>277</v>
      </c>
      <c r="L24" t="s">
        <v>294</v>
      </c>
      <c r="M24">
        <v>9</v>
      </c>
      <c r="N24">
        <v>11</v>
      </c>
      <c r="O24">
        <v>11</v>
      </c>
      <c r="P24" t="s">
        <v>279</v>
      </c>
      <c r="Q24" s="29">
        <v>5305.56</v>
      </c>
      <c r="R24">
        <v>58361</v>
      </c>
      <c r="S24">
        <v>20141218</v>
      </c>
      <c r="T24">
        <v>0</v>
      </c>
      <c r="U24">
        <v>0</v>
      </c>
      <c r="V24">
        <v>58361</v>
      </c>
      <c r="W24" t="s">
        <v>280</v>
      </c>
      <c r="X24" t="s">
        <v>281</v>
      </c>
      <c r="AP24" s="41"/>
    </row>
    <row r="25" spans="5:42" x14ac:dyDescent="0.25">
      <c r="E25" s="24" t="s">
        <v>273</v>
      </c>
      <c r="F25" s="24" t="s">
        <v>292</v>
      </c>
      <c r="G25">
        <v>16</v>
      </c>
      <c r="H25" t="s">
        <v>275</v>
      </c>
      <c r="I25" s="22" t="s">
        <v>293</v>
      </c>
      <c r="J25" s="22">
        <v>1066611701</v>
      </c>
      <c r="K25" t="s">
        <v>277</v>
      </c>
      <c r="L25" t="s">
        <v>294</v>
      </c>
      <c r="M25">
        <v>9</v>
      </c>
      <c r="N25">
        <v>18</v>
      </c>
      <c r="O25">
        <v>18</v>
      </c>
      <c r="P25" t="s">
        <v>279</v>
      </c>
      <c r="Q25" s="29">
        <v>5305.56</v>
      </c>
      <c r="R25">
        <v>95500</v>
      </c>
      <c r="S25">
        <v>20141218</v>
      </c>
      <c r="T25">
        <v>0</v>
      </c>
      <c r="U25">
        <v>0</v>
      </c>
      <c r="V25">
        <v>95500</v>
      </c>
      <c r="W25" t="s">
        <v>280</v>
      </c>
      <c r="X25" t="s">
        <v>281</v>
      </c>
      <c r="AP25" s="41"/>
    </row>
    <row r="26" spans="5:42" x14ac:dyDescent="0.25">
      <c r="E26" s="24" t="s">
        <v>273</v>
      </c>
      <c r="F26" s="24" t="s">
        <v>292</v>
      </c>
      <c r="G26">
        <v>17</v>
      </c>
      <c r="H26" t="s">
        <v>275</v>
      </c>
      <c r="I26" s="22" t="s">
        <v>293</v>
      </c>
      <c r="J26" s="22">
        <v>1067373201</v>
      </c>
      <c r="K26" t="s">
        <v>277</v>
      </c>
      <c r="L26" t="s">
        <v>294</v>
      </c>
      <c r="M26">
        <v>9</v>
      </c>
      <c r="N26">
        <v>11</v>
      </c>
      <c r="O26">
        <v>11</v>
      </c>
      <c r="P26" t="s">
        <v>279</v>
      </c>
      <c r="Q26" s="29">
        <v>5305.56</v>
      </c>
      <c r="R26">
        <v>58361</v>
      </c>
      <c r="S26">
        <v>20141219</v>
      </c>
      <c r="T26">
        <v>0</v>
      </c>
      <c r="U26">
        <v>0</v>
      </c>
      <c r="V26">
        <v>58361</v>
      </c>
      <c r="W26" t="s">
        <v>280</v>
      </c>
      <c r="X26" t="s">
        <v>281</v>
      </c>
      <c r="AP26" s="41"/>
    </row>
    <row r="27" spans="5:42" x14ac:dyDescent="0.25">
      <c r="E27" s="24" t="s">
        <v>273</v>
      </c>
      <c r="F27" s="24" t="s">
        <v>292</v>
      </c>
      <c r="G27">
        <v>18</v>
      </c>
      <c r="H27" t="s">
        <v>275</v>
      </c>
      <c r="I27" s="22" t="s">
        <v>293</v>
      </c>
      <c r="J27" s="22">
        <v>1067066501</v>
      </c>
      <c r="K27" t="s">
        <v>277</v>
      </c>
      <c r="L27" t="s">
        <v>294</v>
      </c>
      <c r="M27">
        <v>9</v>
      </c>
      <c r="N27">
        <v>20</v>
      </c>
      <c r="O27">
        <v>20</v>
      </c>
      <c r="P27" t="s">
        <v>279</v>
      </c>
      <c r="Q27" s="29">
        <v>5305.56</v>
      </c>
      <c r="R27">
        <v>106111</v>
      </c>
      <c r="S27">
        <v>20141219</v>
      </c>
      <c r="T27">
        <v>0</v>
      </c>
      <c r="U27">
        <v>0</v>
      </c>
      <c r="V27">
        <v>106111</v>
      </c>
      <c r="W27" t="s">
        <v>280</v>
      </c>
      <c r="X27" t="s">
        <v>281</v>
      </c>
      <c r="AP27" s="41"/>
    </row>
    <row r="28" spans="5:42" x14ac:dyDescent="0.25">
      <c r="E28" s="24" t="s">
        <v>273</v>
      </c>
      <c r="F28" s="24" t="s">
        <v>292</v>
      </c>
      <c r="G28">
        <v>19</v>
      </c>
      <c r="H28" t="s">
        <v>275</v>
      </c>
      <c r="I28" s="22" t="s">
        <v>293</v>
      </c>
      <c r="J28" s="22">
        <v>1061360801</v>
      </c>
      <c r="K28" t="s">
        <v>277</v>
      </c>
      <c r="L28" t="s">
        <v>294</v>
      </c>
      <c r="M28">
        <v>9</v>
      </c>
      <c r="N28">
        <v>1</v>
      </c>
      <c r="O28">
        <v>1</v>
      </c>
      <c r="P28" t="s">
        <v>279</v>
      </c>
      <c r="Q28" s="29">
        <v>5305.56</v>
      </c>
      <c r="R28">
        <v>5306</v>
      </c>
      <c r="S28">
        <v>20141204</v>
      </c>
      <c r="T28">
        <v>0</v>
      </c>
      <c r="U28">
        <v>0</v>
      </c>
      <c r="V28">
        <v>5306</v>
      </c>
      <c r="W28" t="s">
        <v>280</v>
      </c>
      <c r="X28" t="s">
        <v>281</v>
      </c>
      <c r="AP28" s="41"/>
    </row>
    <row r="29" spans="5:42" x14ac:dyDescent="0.25">
      <c r="E29" s="24" t="s">
        <v>273</v>
      </c>
      <c r="F29" s="24" t="s">
        <v>292</v>
      </c>
      <c r="G29">
        <v>20</v>
      </c>
      <c r="H29" t="s">
        <v>275</v>
      </c>
      <c r="I29" s="22" t="s">
        <v>293</v>
      </c>
      <c r="J29" s="22">
        <v>1064789701</v>
      </c>
      <c r="K29" t="s">
        <v>277</v>
      </c>
      <c r="L29" t="s">
        <v>294</v>
      </c>
      <c r="M29">
        <v>9</v>
      </c>
      <c r="N29">
        <v>14</v>
      </c>
      <c r="O29">
        <v>14</v>
      </c>
      <c r="P29" t="s">
        <v>279</v>
      </c>
      <c r="Q29" s="29">
        <v>5305.56</v>
      </c>
      <c r="R29">
        <v>74278</v>
      </c>
      <c r="S29">
        <v>20141212</v>
      </c>
      <c r="T29">
        <v>0</v>
      </c>
      <c r="U29">
        <v>0</v>
      </c>
      <c r="V29">
        <v>74278</v>
      </c>
      <c r="W29" t="s">
        <v>280</v>
      </c>
      <c r="X29" t="s">
        <v>281</v>
      </c>
      <c r="AP29" s="41"/>
    </row>
    <row r="30" spans="5:42" x14ac:dyDescent="0.25">
      <c r="E30" s="24" t="s">
        <v>273</v>
      </c>
      <c r="F30" s="24" t="s">
        <v>292</v>
      </c>
      <c r="G30">
        <v>21</v>
      </c>
      <c r="H30" t="s">
        <v>275</v>
      </c>
      <c r="I30" s="22" t="s">
        <v>293</v>
      </c>
      <c r="J30" s="22">
        <v>1067063201</v>
      </c>
      <c r="K30" t="s">
        <v>277</v>
      </c>
      <c r="L30" t="s">
        <v>294</v>
      </c>
      <c r="M30">
        <v>9</v>
      </c>
      <c r="N30">
        <v>8</v>
      </c>
      <c r="O30">
        <v>8</v>
      </c>
      <c r="P30" t="s">
        <v>279</v>
      </c>
      <c r="Q30" s="29">
        <v>5305.56</v>
      </c>
      <c r="R30">
        <v>42444</v>
      </c>
      <c r="S30">
        <v>20141209</v>
      </c>
      <c r="T30">
        <v>0</v>
      </c>
      <c r="U30">
        <v>0</v>
      </c>
      <c r="V30">
        <v>42444</v>
      </c>
      <c r="W30" t="s">
        <v>280</v>
      </c>
      <c r="X30" t="s">
        <v>281</v>
      </c>
      <c r="AP30" s="41"/>
    </row>
    <row r="31" spans="5:42" x14ac:dyDescent="0.25">
      <c r="E31" s="24" t="s">
        <v>273</v>
      </c>
      <c r="F31" s="24" t="s">
        <v>292</v>
      </c>
      <c r="G31">
        <v>22</v>
      </c>
      <c r="H31" t="s">
        <v>275</v>
      </c>
      <c r="I31" s="22" t="s">
        <v>293</v>
      </c>
      <c r="J31" s="22">
        <v>1064076401</v>
      </c>
      <c r="K31" t="s">
        <v>277</v>
      </c>
      <c r="L31" t="s">
        <v>294</v>
      </c>
      <c r="M31">
        <v>9</v>
      </c>
      <c r="N31">
        <v>10</v>
      </c>
      <c r="O31">
        <v>10</v>
      </c>
      <c r="P31" t="s">
        <v>279</v>
      </c>
      <c r="Q31" s="29">
        <v>5305.56</v>
      </c>
      <c r="R31">
        <v>53056</v>
      </c>
      <c r="S31">
        <v>20141210</v>
      </c>
      <c r="T31">
        <v>0</v>
      </c>
      <c r="U31">
        <v>0</v>
      </c>
      <c r="V31">
        <v>53056</v>
      </c>
      <c r="W31" t="s">
        <v>280</v>
      </c>
      <c r="X31" t="s">
        <v>281</v>
      </c>
      <c r="AP31" s="41"/>
    </row>
    <row r="32" spans="5:42" x14ac:dyDescent="0.25">
      <c r="E32" s="24" t="s">
        <v>273</v>
      </c>
      <c r="F32" s="24" t="s">
        <v>295</v>
      </c>
      <c r="G32">
        <v>1</v>
      </c>
      <c r="H32" t="s">
        <v>275</v>
      </c>
      <c r="I32" s="22" t="s">
        <v>293</v>
      </c>
      <c r="J32" s="22">
        <v>1068685101</v>
      </c>
      <c r="K32" t="s">
        <v>277</v>
      </c>
      <c r="L32" t="s">
        <v>294</v>
      </c>
      <c r="M32">
        <v>9</v>
      </c>
      <c r="N32">
        <v>1</v>
      </c>
      <c r="O32">
        <v>1</v>
      </c>
      <c r="P32" t="s">
        <v>279</v>
      </c>
      <c r="Q32" s="29">
        <v>5305.56</v>
      </c>
      <c r="R32">
        <v>5306</v>
      </c>
      <c r="S32">
        <v>20141224</v>
      </c>
      <c r="T32">
        <v>0</v>
      </c>
      <c r="U32">
        <v>0</v>
      </c>
      <c r="V32">
        <v>5306</v>
      </c>
      <c r="W32" t="s">
        <v>280</v>
      </c>
      <c r="X32" t="s">
        <v>281</v>
      </c>
      <c r="Y32">
        <v>3</v>
      </c>
      <c r="Z32">
        <v>679188</v>
      </c>
      <c r="AA32">
        <v>0</v>
      </c>
      <c r="AB32">
        <v>0</v>
      </c>
      <c r="AC32">
        <v>679188</v>
      </c>
      <c r="AP32" s="41"/>
    </row>
    <row r="33" spans="5:42" x14ac:dyDescent="0.25">
      <c r="E33" s="24" t="s">
        <v>273</v>
      </c>
      <c r="F33" s="24" t="s">
        <v>295</v>
      </c>
      <c r="G33">
        <v>2</v>
      </c>
      <c r="H33" t="s">
        <v>275</v>
      </c>
      <c r="I33" s="22" t="s">
        <v>293</v>
      </c>
      <c r="J33" s="22">
        <v>1068856501</v>
      </c>
      <c r="K33" t="s">
        <v>277</v>
      </c>
      <c r="L33" t="s">
        <v>294</v>
      </c>
      <c r="M33">
        <v>9</v>
      </c>
      <c r="N33">
        <v>1</v>
      </c>
      <c r="O33">
        <v>1</v>
      </c>
      <c r="P33" t="s">
        <v>279</v>
      </c>
      <c r="Q33" s="29">
        <v>5305.56</v>
      </c>
      <c r="R33">
        <v>5306</v>
      </c>
      <c r="S33">
        <v>20141224</v>
      </c>
      <c r="T33">
        <v>0</v>
      </c>
      <c r="U33">
        <v>0</v>
      </c>
      <c r="V33">
        <v>5306</v>
      </c>
      <c r="W33" t="s">
        <v>280</v>
      </c>
      <c r="X33" t="s">
        <v>281</v>
      </c>
      <c r="AP33" s="41"/>
    </row>
    <row r="34" spans="5:42" x14ac:dyDescent="0.25">
      <c r="E34" s="24" t="s">
        <v>273</v>
      </c>
      <c r="F34" s="24" t="s">
        <v>295</v>
      </c>
      <c r="G34">
        <v>3</v>
      </c>
      <c r="H34" t="s">
        <v>275</v>
      </c>
      <c r="I34" s="22" t="s">
        <v>293</v>
      </c>
      <c r="J34" s="22">
        <v>1068205901</v>
      </c>
      <c r="K34" t="s">
        <v>277</v>
      </c>
      <c r="L34" t="s">
        <v>294</v>
      </c>
      <c r="M34">
        <v>9</v>
      </c>
      <c r="N34">
        <v>1</v>
      </c>
      <c r="O34">
        <v>1</v>
      </c>
      <c r="P34" t="s">
        <v>279</v>
      </c>
      <c r="Q34" s="29">
        <v>5305.56</v>
      </c>
      <c r="R34">
        <v>5306</v>
      </c>
      <c r="S34">
        <v>20141223</v>
      </c>
      <c r="T34">
        <v>0</v>
      </c>
      <c r="U34">
        <v>0</v>
      </c>
      <c r="V34">
        <v>5306</v>
      </c>
      <c r="W34" t="s">
        <v>280</v>
      </c>
      <c r="X34" t="s">
        <v>281</v>
      </c>
      <c r="AP34" s="41"/>
    </row>
    <row r="35" spans="5:42" x14ac:dyDescent="0.25">
      <c r="E35" s="24" t="s">
        <v>273</v>
      </c>
      <c r="F35" s="24" t="s">
        <v>295</v>
      </c>
      <c r="G35">
        <v>4</v>
      </c>
      <c r="H35" t="s">
        <v>275</v>
      </c>
      <c r="I35" s="22" t="s">
        <v>293</v>
      </c>
      <c r="J35" s="22">
        <v>1067725501</v>
      </c>
      <c r="K35" t="s">
        <v>277</v>
      </c>
      <c r="L35" t="s">
        <v>294</v>
      </c>
      <c r="M35">
        <v>9</v>
      </c>
      <c r="N35">
        <v>12</v>
      </c>
      <c r="O35">
        <v>12</v>
      </c>
      <c r="P35" t="s">
        <v>279</v>
      </c>
      <c r="Q35" s="29">
        <v>5305.56</v>
      </c>
      <c r="R35">
        <v>63667</v>
      </c>
      <c r="S35">
        <v>20141222</v>
      </c>
      <c r="T35">
        <v>0</v>
      </c>
      <c r="U35">
        <v>0</v>
      </c>
      <c r="V35">
        <v>63667</v>
      </c>
      <c r="W35" t="s">
        <v>280</v>
      </c>
      <c r="X35" t="s">
        <v>281</v>
      </c>
      <c r="AP35" s="41"/>
    </row>
    <row r="36" spans="5:42" x14ac:dyDescent="0.25">
      <c r="E36" s="24" t="s">
        <v>273</v>
      </c>
      <c r="F36" s="24" t="s">
        <v>295</v>
      </c>
      <c r="G36">
        <v>5</v>
      </c>
      <c r="H36" t="s">
        <v>275</v>
      </c>
      <c r="I36" s="22" t="s">
        <v>293</v>
      </c>
      <c r="J36" s="22">
        <v>1065511301</v>
      </c>
      <c r="K36" t="s">
        <v>277</v>
      </c>
      <c r="L36" t="s">
        <v>294</v>
      </c>
      <c r="M36">
        <v>9</v>
      </c>
      <c r="N36">
        <v>6</v>
      </c>
      <c r="O36">
        <v>6</v>
      </c>
      <c r="P36" t="s">
        <v>279</v>
      </c>
      <c r="Q36" s="29">
        <v>5305.56</v>
      </c>
      <c r="R36">
        <v>31833</v>
      </c>
      <c r="S36">
        <v>20141215</v>
      </c>
      <c r="T36">
        <v>0</v>
      </c>
      <c r="U36">
        <v>0</v>
      </c>
      <c r="V36">
        <v>31833</v>
      </c>
      <c r="W36" t="s">
        <v>280</v>
      </c>
      <c r="X36" t="s">
        <v>281</v>
      </c>
      <c r="AP36" s="41"/>
    </row>
    <row r="37" spans="5:42" x14ac:dyDescent="0.25">
      <c r="E37" s="24" t="s">
        <v>273</v>
      </c>
      <c r="F37" s="24" t="s">
        <v>295</v>
      </c>
      <c r="G37">
        <v>6</v>
      </c>
      <c r="H37" t="s">
        <v>275</v>
      </c>
      <c r="I37" s="22" t="s">
        <v>293</v>
      </c>
      <c r="J37" s="22">
        <v>1065382901</v>
      </c>
      <c r="K37" t="s">
        <v>277</v>
      </c>
      <c r="L37" t="s">
        <v>294</v>
      </c>
      <c r="M37">
        <v>9</v>
      </c>
      <c r="N37">
        <v>15</v>
      </c>
      <c r="O37">
        <v>15</v>
      </c>
      <c r="P37" t="s">
        <v>279</v>
      </c>
      <c r="Q37" s="29">
        <v>5305.56</v>
      </c>
      <c r="R37">
        <v>79583</v>
      </c>
      <c r="S37">
        <v>20141215</v>
      </c>
      <c r="T37">
        <v>0</v>
      </c>
      <c r="U37">
        <v>0</v>
      </c>
      <c r="V37">
        <v>79583</v>
      </c>
      <c r="W37" t="s">
        <v>280</v>
      </c>
      <c r="X37" t="s">
        <v>281</v>
      </c>
      <c r="AP37" s="41"/>
    </row>
    <row r="38" spans="5:42" x14ac:dyDescent="0.25">
      <c r="E38" s="24" t="s">
        <v>273</v>
      </c>
      <c r="F38" s="24" t="s">
        <v>295</v>
      </c>
      <c r="G38">
        <v>7</v>
      </c>
      <c r="H38" t="s">
        <v>275</v>
      </c>
      <c r="I38" s="22" t="s">
        <v>293</v>
      </c>
      <c r="J38" s="22">
        <v>1065928401</v>
      </c>
      <c r="K38" t="s">
        <v>277</v>
      </c>
      <c r="L38" t="s">
        <v>294</v>
      </c>
      <c r="M38">
        <v>9</v>
      </c>
      <c r="N38">
        <v>10</v>
      </c>
      <c r="O38">
        <v>10</v>
      </c>
      <c r="P38" t="s">
        <v>279</v>
      </c>
      <c r="Q38" s="29">
        <v>5305.56</v>
      </c>
      <c r="R38">
        <v>53056</v>
      </c>
      <c r="S38">
        <v>20141216</v>
      </c>
      <c r="T38">
        <v>0</v>
      </c>
      <c r="U38">
        <v>0</v>
      </c>
      <c r="V38">
        <v>53056</v>
      </c>
      <c r="W38" t="s">
        <v>280</v>
      </c>
      <c r="X38" t="s">
        <v>281</v>
      </c>
      <c r="AP38" s="41"/>
    </row>
    <row r="39" spans="5:42" x14ac:dyDescent="0.25">
      <c r="E39" s="24" t="s">
        <v>273</v>
      </c>
      <c r="F39" s="24" t="s">
        <v>295</v>
      </c>
      <c r="G39">
        <v>8</v>
      </c>
      <c r="H39" t="s">
        <v>275</v>
      </c>
      <c r="I39" s="22" t="s">
        <v>293</v>
      </c>
      <c r="J39" s="22">
        <v>1065795101</v>
      </c>
      <c r="K39" t="s">
        <v>277</v>
      </c>
      <c r="L39" t="s">
        <v>294</v>
      </c>
      <c r="M39">
        <v>9</v>
      </c>
      <c r="N39">
        <v>15</v>
      </c>
      <c r="O39">
        <v>15</v>
      </c>
      <c r="P39" t="s">
        <v>279</v>
      </c>
      <c r="Q39" s="29">
        <v>5305.56</v>
      </c>
      <c r="R39">
        <v>79583</v>
      </c>
      <c r="S39">
        <v>20141216</v>
      </c>
      <c r="T39">
        <v>0</v>
      </c>
      <c r="U39">
        <v>0</v>
      </c>
      <c r="V39">
        <v>79583</v>
      </c>
      <c r="W39" t="s">
        <v>280</v>
      </c>
      <c r="X39" t="s">
        <v>281</v>
      </c>
      <c r="AP39" s="41"/>
    </row>
    <row r="40" spans="5:42" x14ac:dyDescent="0.25">
      <c r="E40" s="24" t="s">
        <v>273</v>
      </c>
      <c r="F40" s="24" t="s">
        <v>295</v>
      </c>
      <c r="G40">
        <v>9</v>
      </c>
      <c r="H40" t="s">
        <v>275</v>
      </c>
      <c r="I40" s="22" t="s">
        <v>293</v>
      </c>
      <c r="J40" s="22">
        <v>1066320001</v>
      </c>
      <c r="K40" t="s">
        <v>277</v>
      </c>
      <c r="L40" t="s">
        <v>294</v>
      </c>
      <c r="M40">
        <v>9</v>
      </c>
      <c r="N40">
        <v>12</v>
      </c>
      <c r="O40">
        <v>12</v>
      </c>
      <c r="P40" t="s">
        <v>279</v>
      </c>
      <c r="Q40" s="29">
        <v>5305.56</v>
      </c>
      <c r="R40">
        <v>63667</v>
      </c>
      <c r="S40">
        <v>20141217</v>
      </c>
      <c r="T40">
        <v>0</v>
      </c>
      <c r="U40">
        <v>0</v>
      </c>
      <c r="V40">
        <v>63667</v>
      </c>
      <c r="W40" t="s">
        <v>280</v>
      </c>
      <c r="X40" t="s">
        <v>281</v>
      </c>
      <c r="AP40" s="41"/>
    </row>
    <row r="41" spans="5:42" x14ac:dyDescent="0.25">
      <c r="E41" s="24" t="s">
        <v>273</v>
      </c>
      <c r="F41" s="24" t="s">
        <v>295</v>
      </c>
      <c r="G41">
        <v>10</v>
      </c>
      <c r="H41" t="s">
        <v>275</v>
      </c>
      <c r="I41" s="22" t="s">
        <v>293</v>
      </c>
      <c r="J41" s="22">
        <v>1076802801</v>
      </c>
      <c r="K41" t="s">
        <v>277</v>
      </c>
      <c r="L41" t="s">
        <v>294</v>
      </c>
      <c r="M41">
        <v>9</v>
      </c>
      <c r="N41">
        <v>1</v>
      </c>
      <c r="O41">
        <v>1</v>
      </c>
      <c r="P41" t="s">
        <v>279</v>
      </c>
      <c r="Q41" s="29">
        <v>5305.56</v>
      </c>
      <c r="R41">
        <v>5306</v>
      </c>
      <c r="S41">
        <v>20150116</v>
      </c>
      <c r="T41">
        <v>0</v>
      </c>
      <c r="U41">
        <v>0</v>
      </c>
      <c r="V41">
        <v>5306</v>
      </c>
      <c r="W41" t="s">
        <v>280</v>
      </c>
      <c r="X41" t="s">
        <v>281</v>
      </c>
      <c r="AP41" s="41"/>
    </row>
    <row r="42" spans="5:42" x14ac:dyDescent="0.25">
      <c r="E42" s="24" t="s">
        <v>273</v>
      </c>
      <c r="F42" s="24" t="s">
        <v>295</v>
      </c>
      <c r="G42">
        <v>11</v>
      </c>
      <c r="H42" t="s">
        <v>275</v>
      </c>
      <c r="I42" s="22" t="s">
        <v>293</v>
      </c>
      <c r="J42" s="22">
        <v>1077628901</v>
      </c>
      <c r="K42" t="s">
        <v>277</v>
      </c>
      <c r="L42" t="s">
        <v>294</v>
      </c>
      <c r="M42">
        <v>9</v>
      </c>
      <c r="N42">
        <v>1</v>
      </c>
      <c r="O42">
        <v>1</v>
      </c>
      <c r="P42" t="s">
        <v>279</v>
      </c>
      <c r="Q42" s="29">
        <v>5305.56</v>
      </c>
      <c r="R42">
        <v>5306</v>
      </c>
      <c r="S42">
        <v>20150119</v>
      </c>
      <c r="T42">
        <v>0</v>
      </c>
      <c r="U42">
        <v>0</v>
      </c>
      <c r="V42">
        <v>5306</v>
      </c>
      <c r="W42" t="s">
        <v>280</v>
      </c>
      <c r="X42" t="s">
        <v>281</v>
      </c>
      <c r="AP42" s="41"/>
    </row>
    <row r="43" spans="5:42" x14ac:dyDescent="0.25">
      <c r="E43" s="24" t="s">
        <v>273</v>
      </c>
      <c r="F43" s="24" t="s">
        <v>295</v>
      </c>
      <c r="G43">
        <v>12</v>
      </c>
      <c r="H43" t="s">
        <v>275</v>
      </c>
      <c r="I43" s="22" t="s">
        <v>293</v>
      </c>
      <c r="J43" s="22">
        <v>1077489001</v>
      </c>
      <c r="K43" t="s">
        <v>277</v>
      </c>
      <c r="L43" t="s">
        <v>294</v>
      </c>
      <c r="M43">
        <v>9</v>
      </c>
      <c r="N43">
        <v>5</v>
      </c>
      <c r="O43">
        <v>5</v>
      </c>
      <c r="P43" t="s">
        <v>279</v>
      </c>
      <c r="Q43" s="29">
        <v>5305.56</v>
      </c>
      <c r="R43">
        <v>26528</v>
      </c>
      <c r="S43">
        <v>20150119</v>
      </c>
      <c r="T43">
        <v>0</v>
      </c>
      <c r="U43">
        <v>0</v>
      </c>
      <c r="V43">
        <v>26528</v>
      </c>
      <c r="W43" t="s">
        <v>280</v>
      </c>
      <c r="X43" t="s">
        <v>281</v>
      </c>
      <c r="AP43" s="41"/>
    </row>
    <row r="44" spans="5:42" x14ac:dyDescent="0.25">
      <c r="E44" s="24" t="s">
        <v>273</v>
      </c>
      <c r="F44" s="24" t="s">
        <v>295</v>
      </c>
      <c r="G44">
        <v>13</v>
      </c>
      <c r="H44" t="s">
        <v>275</v>
      </c>
      <c r="I44" s="22" t="s">
        <v>293</v>
      </c>
      <c r="J44" s="22">
        <v>1078145001</v>
      </c>
      <c r="K44" t="s">
        <v>277</v>
      </c>
      <c r="L44" t="s">
        <v>294</v>
      </c>
      <c r="M44">
        <v>9</v>
      </c>
      <c r="N44">
        <v>5</v>
      </c>
      <c r="O44">
        <v>5</v>
      </c>
      <c r="P44" t="s">
        <v>279</v>
      </c>
      <c r="Q44" s="29">
        <v>5305.56</v>
      </c>
      <c r="R44">
        <v>26528</v>
      </c>
      <c r="S44">
        <v>20150120</v>
      </c>
      <c r="T44">
        <v>0</v>
      </c>
      <c r="U44">
        <v>0</v>
      </c>
      <c r="V44">
        <v>26528</v>
      </c>
      <c r="W44" t="s">
        <v>280</v>
      </c>
      <c r="X44" t="s">
        <v>281</v>
      </c>
      <c r="AP44" s="41"/>
    </row>
    <row r="45" spans="5:42" x14ac:dyDescent="0.25">
      <c r="E45" s="24" t="s">
        <v>273</v>
      </c>
      <c r="F45" s="24" t="s">
        <v>295</v>
      </c>
      <c r="G45">
        <v>14</v>
      </c>
      <c r="H45" t="s">
        <v>275</v>
      </c>
      <c r="I45" s="22" t="s">
        <v>293</v>
      </c>
      <c r="J45" s="22">
        <v>1077845801</v>
      </c>
      <c r="K45" t="s">
        <v>277</v>
      </c>
      <c r="L45" t="s">
        <v>294</v>
      </c>
      <c r="M45">
        <v>9</v>
      </c>
      <c r="N45">
        <v>2</v>
      </c>
      <c r="O45">
        <v>2</v>
      </c>
      <c r="P45" t="s">
        <v>279</v>
      </c>
      <c r="Q45" s="29">
        <v>5305.56</v>
      </c>
      <c r="R45">
        <v>10611</v>
      </c>
      <c r="S45">
        <v>20150120</v>
      </c>
      <c r="T45">
        <v>0</v>
      </c>
      <c r="U45">
        <v>0</v>
      </c>
      <c r="V45">
        <v>10611</v>
      </c>
      <c r="W45" t="s">
        <v>280</v>
      </c>
      <c r="X45" t="s">
        <v>281</v>
      </c>
      <c r="AP45" s="41"/>
    </row>
    <row r="46" spans="5:42" x14ac:dyDescent="0.25">
      <c r="E46" s="24" t="s">
        <v>273</v>
      </c>
      <c r="F46" s="24" t="s">
        <v>295</v>
      </c>
      <c r="G46">
        <v>15</v>
      </c>
      <c r="H46" t="s">
        <v>275</v>
      </c>
      <c r="I46" s="22" t="s">
        <v>293</v>
      </c>
      <c r="J46" s="22">
        <v>1072369901</v>
      </c>
      <c r="K46" t="s">
        <v>277</v>
      </c>
      <c r="L46" t="s">
        <v>294</v>
      </c>
      <c r="M46">
        <v>9</v>
      </c>
      <c r="N46">
        <v>5</v>
      </c>
      <c r="O46">
        <v>5</v>
      </c>
      <c r="P46" t="s">
        <v>279</v>
      </c>
      <c r="Q46" s="29">
        <v>5305.56</v>
      </c>
      <c r="R46">
        <v>26528</v>
      </c>
      <c r="S46">
        <v>20150106</v>
      </c>
      <c r="T46">
        <v>0</v>
      </c>
      <c r="U46">
        <v>0</v>
      </c>
      <c r="V46">
        <v>26528</v>
      </c>
      <c r="W46" t="s">
        <v>280</v>
      </c>
      <c r="X46" t="s">
        <v>281</v>
      </c>
      <c r="AP46" s="41"/>
    </row>
    <row r="47" spans="5:42" x14ac:dyDescent="0.25">
      <c r="E47" s="24" t="s">
        <v>273</v>
      </c>
      <c r="F47" s="24" t="s">
        <v>295</v>
      </c>
      <c r="G47">
        <v>16</v>
      </c>
      <c r="H47" t="s">
        <v>275</v>
      </c>
      <c r="I47" s="22" t="s">
        <v>293</v>
      </c>
      <c r="J47" s="22">
        <v>1072498701</v>
      </c>
      <c r="K47" t="s">
        <v>277</v>
      </c>
      <c r="L47" t="s">
        <v>294</v>
      </c>
      <c r="M47">
        <v>9</v>
      </c>
      <c r="N47">
        <v>8</v>
      </c>
      <c r="O47">
        <v>8</v>
      </c>
      <c r="P47" t="s">
        <v>279</v>
      </c>
      <c r="Q47" s="29">
        <v>5305.56</v>
      </c>
      <c r="R47">
        <v>42444</v>
      </c>
      <c r="S47">
        <v>20150106</v>
      </c>
      <c r="T47">
        <v>0</v>
      </c>
      <c r="U47">
        <v>0</v>
      </c>
      <c r="V47">
        <v>42444</v>
      </c>
      <c r="W47" t="s">
        <v>280</v>
      </c>
      <c r="X47" t="s">
        <v>281</v>
      </c>
      <c r="AP47" s="41"/>
    </row>
    <row r="48" spans="5:42" x14ac:dyDescent="0.25">
      <c r="E48" s="24" t="s">
        <v>273</v>
      </c>
      <c r="F48" s="24" t="s">
        <v>295</v>
      </c>
      <c r="G48">
        <v>17</v>
      </c>
      <c r="H48" t="s">
        <v>275</v>
      </c>
      <c r="I48" s="22" t="s">
        <v>293</v>
      </c>
      <c r="J48" s="22">
        <v>1075173601</v>
      </c>
      <c r="K48" t="s">
        <v>277</v>
      </c>
      <c r="L48" t="s">
        <v>294</v>
      </c>
      <c r="M48">
        <v>9</v>
      </c>
      <c r="N48">
        <v>1</v>
      </c>
      <c r="O48">
        <v>1</v>
      </c>
      <c r="P48" t="s">
        <v>279</v>
      </c>
      <c r="Q48" s="29">
        <v>5305.56</v>
      </c>
      <c r="R48">
        <v>5306</v>
      </c>
      <c r="S48">
        <v>20150113</v>
      </c>
      <c r="T48">
        <v>0</v>
      </c>
      <c r="U48">
        <v>0</v>
      </c>
      <c r="V48">
        <v>5306</v>
      </c>
      <c r="W48" t="s">
        <v>280</v>
      </c>
      <c r="X48" t="s">
        <v>281</v>
      </c>
      <c r="AP48" s="41"/>
    </row>
    <row r="49" spans="5:42" x14ac:dyDescent="0.25">
      <c r="E49" s="24" t="s">
        <v>273</v>
      </c>
      <c r="F49" s="24" t="s">
        <v>295</v>
      </c>
      <c r="G49">
        <v>18</v>
      </c>
      <c r="H49" t="s">
        <v>275</v>
      </c>
      <c r="I49" s="22" t="s">
        <v>293</v>
      </c>
      <c r="J49" s="22">
        <v>1073891101</v>
      </c>
      <c r="K49" t="s">
        <v>277</v>
      </c>
      <c r="L49" t="s">
        <v>294</v>
      </c>
      <c r="M49">
        <v>9</v>
      </c>
      <c r="N49">
        <v>2</v>
      </c>
      <c r="O49">
        <v>2</v>
      </c>
      <c r="P49" t="s">
        <v>279</v>
      </c>
      <c r="Q49" s="29">
        <v>5305.56</v>
      </c>
      <c r="R49">
        <v>10611</v>
      </c>
      <c r="S49">
        <v>20150109</v>
      </c>
      <c r="T49">
        <v>0</v>
      </c>
      <c r="U49">
        <v>0</v>
      </c>
      <c r="V49">
        <v>10611</v>
      </c>
      <c r="W49" t="s">
        <v>280</v>
      </c>
      <c r="X49" t="s">
        <v>281</v>
      </c>
      <c r="AP49" s="41"/>
    </row>
    <row r="50" spans="5:42" x14ac:dyDescent="0.25">
      <c r="E50" s="24" t="s">
        <v>273</v>
      </c>
      <c r="F50" s="24" t="s">
        <v>295</v>
      </c>
      <c r="G50">
        <v>19</v>
      </c>
      <c r="H50" t="s">
        <v>275</v>
      </c>
      <c r="I50" s="22" t="s">
        <v>293</v>
      </c>
      <c r="J50" s="22">
        <v>1074489901</v>
      </c>
      <c r="K50" t="s">
        <v>277</v>
      </c>
      <c r="L50" t="s">
        <v>294</v>
      </c>
      <c r="M50">
        <v>9</v>
      </c>
      <c r="N50">
        <v>11</v>
      </c>
      <c r="O50">
        <v>11</v>
      </c>
      <c r="P50" t="s">
        <v>279</v>
      </c>
      <c r="Q50" s="29">
        <v>5305.56</v>
      </c>
      <c r="R50">
        <v>58361</v>
      </c>
      <c r="S50">
        <v>20150112</v>
      </c>
      <c r="T50">
        <v>0</v>
      </c>
      <c r="U50">
        <v>0</v>
      </c>
      <c r="V50">
        <v>58361</v>
      </c>
      <c r="W50" t="s">
        <v>280</v>
      </c>
      <c r="X50" t="s">
        <v>281</v>
      </c>
      <c r="AP50" s="41"/>
    </row>
    <row r="51" spans="5:42" x14ac:dyDescent="0.25">
      <c r="E51" s="24" t="s">
        <v>273</v>
      </c>
      <c r="F51" s="24" t="s">
        <v>295</v>
      </c>
      <c r="G51">
        <v>20</v>
      </c>
      <c r="H51" t="s">
        <v>275</v>
      </c>
      <c r="I51" s="22" t="s">
        <v>293</v>
      </c>
      <c r="J51" s="22">
        <v>1072017201</v>
      </c>
      <c r="K51" t="s">
        <v>277</v>
      </c>
      <c r="L51" t="s">
        <v>296</v>
      </c>
      <c r="M51">
        <v>9</v>
      </c>
      <c r="N51">
        <v>8</v>
      </c>
      <c r="O51">
        <v>8</v>
      </c>
      <c r="P51" t="s">
        <v>279</v>
      </c>
      <c r="Q51" s="29">
        <v>5719.34</v>
      </c>
      <c r="R51">
        <v>45755</v>
      </c>
      <c r="S51">
        <v>20150105</v>
      </c>
      <c r="T51">
        <v>0</v>
      </c>
      <c r="U51">
        <v>0</v>
      </c>
      <c r="V51">
        <v>45755</v>
      </c>
      <c r="W51" t="s">
        <v>280</v>
      </c>
      <c r="X51" t="s">
        <v>281</v>
      </c>
      <c r="AP51" s="41"/>
    </row>
    <row r="52" spans="5:42" x14ac:dyDescent="0.25">
      <c r="E52" s="24" t="s">
        <v>273</v>
      </c>
      <c r="F52" s="24" t="s">
        <v>295</v>
      </c>
      <c r="G52">
        <v>21</v>
      </c>
      <c r="H52" t="s">
        <v>275</v>
      </c>
      <c r="I52" s="22" t="s">
        <v>293</v>
      </c>
      <c r="J52" s="22">
        <v>1072372301</v>
      </c>
      <c r="K52" t="s">
        <v>277</v>
      </c>
      <c r="L52" t="s">
        <v>296</v>
      </c>
      <c r="M52">
        <v>9</v>
      </c>
      <c r="N52">
        <v>2</v>
      </c>
      <c r="O52">
        <v>2</v>
      </c>
      <c r="P52" t="s">
        <v>279</v>
      </c>
      <c r="Q52" s="29">
        <v>5719.34</v>
      </c>
      <c r="R52">
        <v>11439</v>
      </c>
      <c r="S52">
        <v>20150106</v>
      </c>
      <c r="T52">
        <v>0</v>
      </c>
      <c r="U52">
        <v>0</v>
      </c>
      <c r="V52">
        <v>11439</v>
      </c>
      <c r="W52" t="s">
        <v>280</v>
      </c>
      <c r="X52" t="s">
        <v>281</v>
      </c>
      <c r="AP52" s="41"/>
    </row>
    <row r="53" spans="5:42" x14ac:dyDescent="0.25">
      <c r="E53" s="24" t="s">
        <v>273</v>
      </c>
      <c r="F53" s="24" t="s">
        <v>295</v>
      </c>
      <c r="G53">
        <v>22</v>
      </c>
      <c r="H53" t="s">
        <v>275</v>
      </c>
      <c r="I53" s="22" t="s">
        <v>293</v>
      </c>
      <c r="J53" s="22">
        <v>1077971301</v>
      </c>
      <c r="K53" t="s">
        <v>277</v>
      </c>
      <c r="L53" t="s">
        <v>296</v>
      </c>
      <c r="M53">
        <v>9</v>
      </c>
      <c r="N53">
        <v>3</v>
      </c>
      <c r="O53">
        <v>3</v>
      </c>
      <c r="P53" t="s">
        <v>279</v>
      </c>
      <c r="Q53" s="29">
        <v>5719.34</v>
      </c>
      <c r="R53">
        <v>17158</v>
      </c>
      <c r="S53">
        <v>20150120</v>
      </c>
      <c r="T53">
        <v>0</v>
      </c>
      <c r="U53">
        <v>0</v>
      </c>
      <c r="V53">
        <v>17158</v>
      </c>
      <c r="W53" t="s">
        <v>280</v>
      </c>
      <c r="X53" t="s">
        <v>281</v>
      </c>
      <c r="AP53" s="41"/>
    </row>
    <row r="54" spans="5:42" x14ac:dyDescent="0.25">
      <c r="E54" s="24" t="s">
        <v>273</v>
      </c>
      <c r="F54" s="24" t="s">
        <v>297</v>
      </c>
      <c r="G54">
        <v>1</v>
      </c>
      <c r="H54" t="s">
        <v>275</v>
      </c>
      <c r="I54" s="22" t="s">
        <v>293</v>
      </c>
      <c r="J54" s="22">
        <v>1077486401</v>
      </c>
      <c r="K54" t="s">
        <v>277</v>
      </c>
      <c r="L54" t="s">
        <v>296</v>
      </c>
      <c r="M54">
        <v>9</v>
      </c>
      <c r="N54">
        <v>1</v>
      </c>
      <c r="O54">
        <v>1</v>
      </c>
      <c r="P54" t="s">
        <v>279</v>
      </c>
      <c r="Q54" s="29">
        <v>5719.34</v>
      </c>
      <c r="R54">
        <v>5719</v>
      </c>
      <c r="S54">
        <v>20150119</v>
      </c>
      <c r="T54">
        <v>0</v>
      </c>
      <c r="U54">
        <v>0</v>
      </c>
      <c r="V54">
        <v>5719</v>
      </c>
      <c r="W54" t="s">
        <v>280</v>
      </c>
      <c r="X54" t="s">
        <v>281</v>
      </c>
      <c r="Y54">
        <v>3</v>
      </c>
      <c r="Z54">
        <v>709196</v>
      </c>
      <c r="AA54">
        <v>0</v>
      </c>
      <c r="AB54">
        <v>0</v>
      </c>
      <c r="AC54">
        <v>709196</v>
      </c>
      <c r="AP54" s="41"/>
    </row>
    <row r="55" spans="5:42" x14ac:dyDescent="0.25">
      <c r="E55" s="24" t="s">
        <v>273</v>
      </c>
      <c r="F55" s="24" t="s">
        <v>297</v>
      </c>
      <c r="G55">
        <v>2</v>
      </c>
      <c r="H55" t="s">
        <v>275</v>
      </c>
      <c r="I55" s="22" t="s">
        <v>293</v>
      </c>
      <c r="J55" s="22">
        <v>1076803201</v>
      </c>
      <c r="K55" t="s">
        <v>277</v>
      </c>
      <c r="L55" t="s">
        <v>296</v>
      </c>
      <c r="M55">
        <v>9</v>
      </c>
      <c r="N55">
        <v>7</v>
      </c>
      <c r="O55">
        <v>7</v>
      </c>
      <c r="P55" t="s">
        <v>279</v>
      </c>
      <c r="Q55" s="29">
        <v>5719.34</v>
      </c>
      <c r="R55">
        <v>40035</v>
      </c>
      <c r="S55">
        <v>20150116</v>
      </c>
      <c r="T55">
        <v>0</v>
      </c>
      <c r="U55">
        <v>0</v>
      </c>
      <c r="V55">
        <v>40035</v>
      </c>
      <c r="W55" t="s">
        <v>280</v>
      </c>
      <c r="X55" t="s">
        <v>281</v>
      </c>
      <c r="AP55" s="41"/>
    </row>
    <row r="56" spans="5:42" x14ac:dyDescent="0.25">
      <c r="E56" s="24" t="s">
        <v>273</v>
      </c>
      <c r="F56" s="24" t="s">
        <v>297</v>
      </c>
      <c r="G56">
        <v>3</v>
      </c>
      <c r="H56" t="s">
        <v>275</v>
      </c>
      <c r="I56" s="22" t="s">
        <v>293</v>
      </c>
      <c r="J56" s="22">
        <v>1076214601</v>
      </c>
      <c r="K56" t="s">
        <v>277</v>
      </c>
      <c r="L56" t="s">
        <v>296</v>
      </c>
      <c r="M56">
        <v>9</v>
      </c>
      <c r="N56">
        <v>3</v>
      </c>
      <c r="O56">
        <v>3</v>
      </c>
      <c r="P56" t="s">
        <v>279</v>
      </c>
      <c r="Q56" s="29">
        <v>5719.34</v>
      </c>
      <c r="R56">
        <v>17158</v>
      </c>
      <c r="S56">
        <v>20150115</v>
      </c>
      <c r="T56">
        <v>0</v>
      </c>
      <c r="U56">
        <v>0</v>
      </c>
      <c r="V56">
        <v>17158</v>
      </c>
      <c r="W56" t="s">
        <v>280</v>
      </c>
      <c r="X56" t="s">
        <v>281</v>
      </c>
      <c r="AP56" s="41"/>
    </row>
    <row r="57" spans="5:42" x14ac:dyDescent="0.25">
      <c r="E57" s="24" t="s">
        <v>273</v>
      </c>
      <c r="F57" s="24" t="s">
        <v>297</v>
      </c>
      <c r="G57">
        <v>4</v>
      </c>
      <c r="H57" t="s">
        <v>275</v>
      </c>
      <c r="I57" s="22" t="s">
        <v>293</v>
      </c>
      <c r="J57" s="22">
        <v>1068859001</v>
      </c>
      <c r="K57" t="s">
        <v>277</v>
      </c>
      <c r="L57" t="s">
        <v>296</v>
      </c>
      <c r="M57">
        <v>9</v>
      </c>
      <c r="N57">
        <v>1</v>
      </c>
      <c r="O57">
        <v>1</v>
      </c>
      <c r="P57" t="s">
        <v>279</v>
      </c>
      <c r="Q57" s="29">
        <v>5719.34</v>
      </c>
      <c r="R57">
        <v>5719</v>
      </c>
      <c r="S57">
        <v>20141224</v>
      </c>
      <c r="T57">
        <v>0</v>
      </c>
      <c r="U57">
        <v>0</v>
      </c>
      <c r="V57">
        <v>5719</v>
      </c>
      <c r="W57" t="s">
        <v>280</v>
      </c>
      <c r="X57" t="s">
        <v>281</v>
      </c>
      <c r="AP57" s="41"/>
    </row>
    <row r="58" spans="5:42" x14ac:dyDescent="0.25">
      <c r="E58" s="24" t="s">
        <v>273</v>
      </c>
      <c r="F58" s="24" t="s">
        <v>297</v>
      </c>
      <c r="G58">
        <v>5</v>
      </c>
      <c r="H58" t="s">
        <v>275</v>
      </c>
      <c r="I58" s="22" t="s">
        <v>293</v>
      </c>
      <c r="J58" s="22">
        <v>1069405201</v>
      </c>
      <c r="K58" t="s">
        <v>277</v>
      </c>
      <c r="L58" t="s">
        <v>296</v>
      </c>
      <c r="M58">
        <v>9</v>
      </c>
      <c r="N58">
        <v>3</v>
      </c>
      <c r="O58">
        <v>3</v>
      </c>
      <c r="P58" t="s">
        <v>279</v>
      </c>
      <c r="Q58" s="29">
        <v>5719.34</v>
      </c>
      <c r="R58">
        <v>17158</v>
      </c>
      <c r="S58">
        <v>20141225</v>
      </c>
      <c r="T58">
        <v>0</v>
      </c>
      <c r="U58">
        <v>0</v>
      </c>
      <c r="V58">
        <v>17158</v>
      </c>
      <c r="W58" t="s">
        <v>280</v>
      </c>
      <c r="X58" t="s">
        <v>281</v>
      </c>
      <c r="AP58" s="41"/>
    </row>
    <row r="59" spans="5:42" x14ac:dyDescent="0.25">
      <c r="E59" s="24" t="s">
        <v>273</v>
      </c>
      <c r="F59" s="24" t="s">
        <v>297</v>
      </c>
      <c r="G59">
        <v>6</v>
      </c>
      <c r="H59" t="s">
        <v>275</v>
      </c>
      <c r="I59" s="22" t="s">
        <v>293</v>
      </c>
      <c r="J59" s="22">
        <v>1070038601</v>
      </c>
      <c r="K59" t="s">
        <v>277</v>
      </c>
      <c r="L59" t="s">
        <v>296</v>
      </c>
      <c r="M59">
        <v>9</v>
      </c>
      <c r="N59">
        <v>1</v>
      </c>
      <c r="O59">
        <v>1</v>
      </c>
      <c r="P59" t="s">
        <v>279</v>
      </c>
      <c r="Q59" s="29">
        <v>5719.34</v>
      </c>
      <c r="R59">
        <v>5719</v>
      </c>
      <c r="S59">
        <v>20141226</v>
      </c>
      <c r="T59">
        <v>0</v>
      </c>
      <c r="U59">
        <v>0</v>
      </c>
      <c r="V59">
        <v>5719</v>
      </c>
      <c r="W59" t="s">
        <v>280</v>
      </c>
      <c r="X59" t="s">
        <v>281</v>
      </c>
      <c r="AP59" s="41"/>
    </row>
    <row r="60" spans="5:42" x14ac:dyDescent="0.25">
      <c r="E60" s="24" t="s">
        <v>273</v>
      </c>
      <c r="F60" s="24" t="s">
        <v>297</v>
      </c>
      <c r="G60">
        <v>7</v>
      </c>
      <c r="H60" t="s">
        <v>275</v>
      </c>
      <c r="I60" s="22" t="s">
        <v>293</v>
      </c>
      <c r="J60" s="22">
        <v>1070438501</v>
      </c>
      <c r="K60" t="s">
        <v>277</v>
      </c>
      <c r="L60" t="s">
        <v>296</v>
      </c>
      <c r="M60">
        <v>9</v>
      </c>
      <c r="N60">
        <v>2</v>
      </c>
      <c r="O60">
        <v>2</v>
      </c>
      <c r="P60" t="s">
        <v>279</v>
      </c>
      <c r="Q60" s="29">
        <v>5719.34</v>
      </c>
      <c r="R60">
        <v>11439</v>
      </c>
      <c r="S60">
        <v>20141229</v>
      </c>
      <c r="T60">
        <v>0</v>
      </c>
      <c r="U60">
        <v>0</v>
      </c>
      <c r="V60">
        <v>11439</v>
      </c>
      <c r="W60" t="s">
        <v>280</v>
      </c>
      <c r="X60" t="s">
        <v>281</v>
      </c>
      <c r="AP60" s="41"/>
    </row>
    <row r="61" spans="5:42" x14ac:dyDescent="0.25">
      <c r="E61" s="24" t="s">
        <v>273</v>
      </c>
      <c r="F61" s="24" t="s">
        <v>297</v>
      </c>
      <c r="G61">
        <v>8</v>
      </c>
      <c r="H61" t="s">
        <v>275</v>
      </c>
      <c r="I61" s="22" t="s">
        <v>293</v>
      </c>
      <c r="J61" s="22">
        <v>1070836901</v>
      </c>
      <c r="K61" t="s">
        <v>277</v>
      </c>
      <c r="L61" t="s">
        <v>296</v>
      </c>
      <c r="M61">
        <v>9</v>
      </c>
      <c r="N61">
        <v>14</v>
      </c>
      <c r="O61">
        <v>14</v>
      </c>
      <c r="P61" t="s">
        <v>279</v>
      </c>
      <c r="Q61" s="29">
        <v>5719.34</v>
      </c>
      <c r="R61">
        <v>80071</v>
      </c>
      <c r="S61">
        <v>20141230</v>
      </c>
      <c r="T61">
        <v>0</v>
      </c>
      <c r="U61">
        <v>0</v>
      </c>
      <c r="V61">
        <v>80071</v>
      </c>
      <c r="W61" t="s">
        <v>280</v>
      </c>
      <c r="X61" t="s">
        <v>281</v>
      </c>
      <c r="AP61" s="41"/>
    </row>
    <row r="62" spans="5:42" x14ac:dyDescent="0.25">
      <c r="E62" s="24" t="s">
        <v>273</v>
      </c>
      <c r="F62" s="24" t="s">
        <v>297</v>
      </c>
      <c r="G62">
        <v>9</v>
      </c>
      <c r="H62" t="s">
        <v>275</v>
      </c>
      <c r="I62" s="22" t="s">
        <v>293</v>
      </c>
      <c r="J62" s="22">
        <v>1071622001</v>
      </c>
      <c r="K62" t="s">
        <v>277</v>
      </c>
      <c r="L62" t="s">
        <v>296</v>
      </c>
      <c r="M62">
        <v>9</v>
      </c>
      <c r="N62">
        <v>10</v>
      </c>
      <c r="O62">
        <v>10</v>
      </c>
      <c r="P62" t="s">
        <v>279</v>
      </c>
      <c r="Q62" s="29">
        <v>5719.34</v>
      </c>
      <c r="R62">
        <v>57193</v>
      </c>
      <c r="S62">
        <v>20141231</v>
      </c>
      <c r="T62">
        <v>0</v>
      </c>
      <c r="U62">
        <v>0</v>
      </c>
      <c r="V62">
        <v>57193</v>
      </c>
      <c r="W62" t="s">
        <v>280</v>
      </c>
      <c r="X62" t="s">
        <v>281</v>
      </c>
      <c r="AP62" s="41"/>
    </row>
    <row r="63" spans="5:42" x14ac:dyDescent="0.25">
      <c r="E63" s="24" t="s">
        <v>273</v>
      </c>
      <c r="F63" s="24" t="s">
        <v>297</v>
      </c>
      <c r="G63">
        <v>10</v>
      </c>
      <c r="H63" t="s">
        <v>275</v>
      </c>
      <c r="I63" s="22" t="s">
        <v>293</v>
      </c>
      <c r="J63" s="22">
        <v>1071143801</v>
      </c>
      <c r="K63" t="s">
        <v>277</v>
      </c>
      <c r="L63" t="s">
        <v>296</v>
      </c>
      <c r="M63">
        <v>9</v>
      </c>
      <c r="N63">
        <v>8</v>
      </c>
      <c r="O63">
        <v>8</v>
      </c>
      <c r="P63" t="s">
        <v>279</v>
      </c>
      <c r="Q63" s="29">
        <v>5719.34</v>
      </c>
      <c r="R63">
        <v>45755</v>
      </c>
      <c r="S63">
        <v>20141231</v>
      </c>
      <c r="T63">
        <v>0</v>
      </c>
      <c r="U63">
        <v>0</v>
      </c>
      <c r="V63">
        <v>45755</v>
      </c>
      <c r="W63" t="s">
        <v>280</v>
      </c>
      <c r="X63" t="s">
        <v>281</v>
      </c>
      <c r="AP63" s="41"/>
    </row>
    <row r="64" spans="5:42" x14ac:dyDescent="0.25">
      <c r="E64" s="24" t="s">
        <v>273</v>
      </c>
      <c r="F64" s="24" t="s">
        <v>297</v>
      </c>
      <c r="G64">
        <v>11</v>
      </c>
      <c r="H64" t="s">
        <v>275</v>
      </c>
      <c r="I64" s="22" t="s">
        <v>293</v>
      </c>
      <c r="J64" s="22">
        <v>1070684701</v>
      </c>
      <c r="K64" t="s">
        <v>277</v>
      </c>
      <c r="L64" t="s">
        <v>296</v>
      </c>
      <c r="M64">
        <v>9</v>
      </c>
      <c r="N64">
        <v>9</v>
      </c>
      <c r="O64">
        <v>9</v>
      </c>
      <c r="P64" t="s">
        <v>279</v>
      </c>
      <c r="Q64" s="29">
        <v>5719.34</v>
      </c>
      <c r="R64">
        <v>51474</v>
      </c>
      <c r="S64">
        <v>20141230</v>
      </c>
      <c r="T64">
        <v>0</v>
      </c>
      <c r="U64">
        <v>0</v>
      </c>
      <c r="V64">
        <v>51474</v>
      </c>
      <c r="W64" t="s">
        <v>280</v>
      </c>
      <c r="X64" t="s">
        <v>281</v>
      </c>
      <c r="AP64" s="41"/>
    </row>
    <row r="65" spans="5:42" x14ac:dyDescent="0.25">
      <c r="E65" s="24" t="s">
        <v>273</v>
      </c>
      <c r="F65" s="24" t="s">
        <v>297</v>
      </c>
      <c r="G65">
        <v>12</v>
      </c>
      <c r="H65" t="s">
        <v>275</v>
      </c>
      <c r="I65" s="22" t="s">
        <v>293</v>
      </c>
      <c r="J65" s="22">
        <v>1070186801</v>
      </c>
      <c r="K65" t="s">
        <v>277</v>
      </c>
      <c r="L65" t="s">
        <v>296</v>
      </c>
      <c r="M65">
        <v>9</v>
      </c>
      <c r="N65">
        <v>8</v>
      </c>
      <c r="O65">
        <v>8</v>
      </c>
      <c r="P65" t="s">
        <v>279</v>
      </c>
      <c r="Q65" s="29">
        <v>5719.34</v>
      </c>
      <c r="R65">
        <v>45755</v>
      </c>
      <c r="S65">
        <v>20141229</v>
      </c>
      <c r="T65">
        <v>0</v>
      </c>
      <c r="U65">
        <v>0</v>
      </c>
      <c r="V65">
        <v>45755</v>
      </c>
      <c r="W65" t="s">
        <v>280</v>
      </c>
      <c r="X65" t="s">
        <v>281</v>
      </c>
      <c r="AP65" s="41"/>
    </row>
    <row r="66" spans="5:42" x14ac:dyDescent="0.25">
      <c r="E66" s="24" t="s">
        <v>273</v>
      </c>
      <c r="F66" s="24" t="s">
        <v>297</v>
      </c>
      <c r="G66">
        <v>13</v>
      </c>
      <c r="H66" t="s">
        <v>275</v>
      </c>
      <c r="I66" s="22" t="s">
        <v>293</v>
      </c>
      <c r="J66" s="22">
        <v>1069652401</v>
      </c>
      <c r="K66" t="s">
        <v>277</v>
      </c>
      <c r="L66" t="s">
        <v>296</v>
      </c>
      <c r="M66">
        <v>9</v>
      </c>
      <c r="N66">
        <v>4</v>
      </c>
      <c r="O66">
        <v>4</v>
      </c>
      <c r="P66" t="s">
        <v>279</v>
      </c>
      <c r="Q66" s="29">
        <v>5719.34</v>
      </c>
      <c r="R66">
        <v>22877</v>
      </c>
      <c r="S66">
        <v>20141226</v>
      </c>
      <c r="T66">
        <v>0</v>
      </c>
      <c r="U66">
        <v>0</v>
      </c>
      <c r="V66">
        <v>22877</v>
      </c>
      <c r="W66" t="s">
        <v>280</v>
      </c>
      <c r="X66" t="s">
        <v>281</v>
      </c>
      <c r="AP66" s="41"/>
    </row>
    <row r="67" spans="5:42" x14ac:dyDescent="0.25">
      <c r="E67" s="24" t="s">
        <v>273</v>
      </c>
      <c r="F67" s="24" t="s">
        <v>297</v>
      </c>
      <c r="G67">
        <v>14</v>
      </c>
      <c r="H67" t="s">
        <v>275</v>
      </c>
      <c r="I67" s="22" t="s">
        <v>293</v>
      </c>
      <c r="J67" s="22">
        <v>1069154101</v>
      </c>
      <c r="K67" t="s">
        <v>277</v>
      </c>
      <c r="L67" t="s">
        <v>296</v>
      </c>
      <c r="M67">
        <v>9</v>
      </c>
      <c r="N67">
        <v>5</v>
      </c>
      <c r="O67">
        <v>5</v>
      </c>
      <c r="P67" t="s">
        <v>279</v>
      </c>
      <c r="Q67" s="29">
        <v>5719.34</v>
      </c>
      <c r="R67">
        <v>28597</v>
      </c>
      <c r="S67">
        <v>20141225</v>
      </c>
      <c r="T67">
        <v>0</v>
      </c>
      <c r="U67">
        <v>0</v>
      </c>
      <c r="V67">
        <v>28597</v>
      </c>
      <c r="W67" t="s">
        <v>280</v>
      </c>
      <c r="X67" t="s">
        <v>281</v>
      </c>
      <c r="AP67" s="41"/>
    </row>
    <row r="68" spans="5:42" x14ac:dyDescent="0.25">
      <c r="E68" s="24" t="s">
        <v>273</v>
      </c>
      <c r="F68" s="24" t="s">
        <v>297</v>
      </c>
      <c r="G68">
        <v>15</v>
      </c>
      <c r="H68" t="s">
        <v>275</v>
      </c>
      <c r="I68" s="22" t="s">
        <v>293</v>
      </c>
      <c r="J68" s="22">
        <v>1068208301</v>
      </c>
      <c r="K68" t="s">
        <v>277</v>
      </c>
      <c r="L68" t="s">
        <v>296</v>
      </c>
      <c r="M68">
        <v>9</v>
      </c>
      <c r="N68">
        <v>1</v>
      </c>
      <c r="O68">
        <v>1</v>
      </c>
      <c r="P68" t="s">
        <v>279</v>
      </c>
      <c r="Q68" s="29">
        <v>5719.34</v>
      </c>
      <c r="R68">
        <v>5719</v>
      </c>
      <c r="S68">
        <v>20141223</v>
      </c>
      <c r="T68">
        <v>0</v>
      </c>
      <c r="U68">
        <v>0</v>
      </c>
      <c r="V68">
        <v>5719</v>
      </c>
      <c r="W68" t="s">
        <v>280</v>
      </c>
      <c r="X68" t="s">
        <v>281</v>
      </c>
      <c r="AP68" s="41"/>
    </row>
    <row r="69" spans="5:42" x14ac:dyDescent="0.25">
      <c r="E69" s="24" t="s">
        <v>273</v>
      </c>
      <c r="F69" s="24" t="s">
        <v>297</v>
      </c>
      <c r="G69">
        <v>16</v>
      </c>
      <c r="H69" t="s">
        <v>275</v>
      </c>
      <c r="I69" s="22" t="s">
        <v>293</v>
      </c>
      <c r="J69" s="22">
        <v>1068419001</v>
      </c>
      <c r="K69" t="s">
        <v>277</v>
      </c>
      <c r="L69" t="s">
        <v>296</v>
      </c>
      <c r="M69">
        <v>9</v>
      </c>
      <c r="N69">
        <v>6</v>
      </c>
      <c r="O69">
        <v>6</v>
      </c>
      <c r="P69" t="s">
        <v>279</v>
      </c>
      <c r="Q69" s="29">
        <v>5719.34</v>
      </c>
      <c r="R69">
        <v>34316</v>
      </c>
      <c r="S69">
        <v>20141223</v>
      </c>
      <c r="T69">
        <v>0</v>
      </c>
      <c r="U69">
        <v>0</v>
      </c>
      <c r="V69">
        <v>34316</v>
      </c>
      <c r="W69" t="s">
        <v>280</v>
      </c>
      <c r="X69" t="s">
        <v>281</v>
      </c>
      <c r="AP69" s="41"/>
    </row>
    <row r="70" spans="5:42" x14ac:dyDescent="0.25">
      <c r="E70" s="24" t="s">
        <v>273</v>
      </c>
      <c r="F70" s="24" t="s">
        <v>297</v>
      </c>
      <c r="G70">
        <v>17</v>
      </c>
      <c r="H70" t="s">
        <v>275</v>
      </c>
      <c r="I70" s="22" t="s">
        <v>293</v>
      </c>
      <c r="J70" s="22">
        <v>1063943301</v>
      </c>
      <c r="K70" t="s">
        <v>277</v>
      </c>
      <c r="L70" t="s">
        <v>296</v>
      </c>
      <c r="M70">
        <v>9</v>
      </c>
      <c r="N70">
        <v>17</v>
      </c>
      <c r="O70">
        <v>17</v>
      </c>
      <c r="P70" t="s">
        <v>279</v>
      </c>
      <c r="Q70" s="29">
        <v>5719.34</v>
      </c>
      <c r="R70">
        <v>97229</v>
      </c>
      <c r="S70">
        <v>20141210</v>
      </c>
      <c r="T70">
        <v>0</v>
      </c>
      <c r="U70">
        <v>0</v>
      </c>
      <c r="V70">
        <v>97229</v>
      </c>
      <c r="W70" t="s">
        <v>280</v>
      </c>
      <c r="X70" t="s">
        <v>281</v>
      </c>
      <c r="AP70" s="41"/>
    </row>
    <row r="71" spans="5:42" x14ac:dyDescent="0.25">
      <c r="E71" s="24" t="s">
        <v>273</v>
      </c>
      <c r="F71" s="24" t="s">
        <v>297</v>
      </c>
      <c r="G71">
        <v>18</v>
      </c>
      <c r="H71" t="s">
        <v>275</v>
      </c>
      <c r="I71" s="22" t="s">
        <v>293</v>
      </c>
      <c r="J71" s="22">
        <v>1064526301</v>
      </c>
      <c r="K71" t="s">
        <v>277</v>
      </c>
      <c r="L71" t="s">
        <v>296</v>
      </c>
      <c r="M71">
        <v>9</v>
      </c>
      <c r="N71">
        <v>7</v>
      </c>
      <c r="O71">
        <v>7</v>
      </c>
      <c r="P71" t="s">
        <v>279</v>
      </c>
      <c r="Q71" s="29">
        <v>5719.34</v>
      </c>
      <c r="R71">
        <v>40035</v>
      </c>
      <c r="S71">
        <v>20141211</v>
      </c>
      <c r="T71">
        <v>0</v>
      </c>
      <c r="U71">
        <v>0</v>
      </c>
      <c r="V71">
        <v>40035</v>
      </c>
      <c r="W71" t="s">
        <v>280</v>
      </c>
      <c r="X71" t="s">
        <v>281</v>
      </c>
      <c r="AP71" s="41"/>
    </row>
    <row r="72" spans="5:42" x14ac:dyDescent="0.25">
      <c r="E72" s="24" t="s">
        <v>273</v>
      </c>
      <c r="F72" s="24" t="s">
        <v>297</v>
      </c>
      <c r="G72">
        <v>19</v>
      </c>
      <c r="H72" t="s">
        <v>275</v>
      </c>
      <c r="I72" s="22" t="s">
        <v>293</v>
      </c>
      <c r="J72" s="22">
        <v>1065097301</v>
      </c>
      <c r="K72" t="s">
        <v>277</v>
      </c>
      <c r="L72" t="s">
        <v>296</v>
      </c>
      <c r="M72">
        <v>9</v>
      </c>
      <c r="N72">
        <v>2</v>
      </c>
      <c r="O72">
        <v>2</v>
      </c>
      <c r="P72" t="s">
        <v>279</v>
      </c>
      <c r="Q72" s="29">
        <v>5719.34</v>
      </c>
      <c r="R72">
        <v>11439</v>
      </c>
      <c r="S72">
        <v>20141212</v>
      </c>
      <c r="T72">
        <v>0</v>
      </c>
      <c r="U72">
        <v>0</v>
      </c>
      <c r="V72">
        <v>11439</v>
      </c>
      <c r="W72" t="s">
        <v>280</v>
      </c>
      <c r="X72" t="s">
        <v>281</v>
      </c>
      <c r="AP72" s="41"/>
    </row>
    <row r="73" spans="5:42" x14ac:dyDescent="0.25">
      <c r="E73" s="24" t="s">
        <v>273</v>
      </c>
      <c r="F73" s="24" t="s">
        <v>297</v>
      </c>
      <c r="G73">
        <v>20</v>
      </c>
      <c r="H73" t="s">
        <v>275</v>
      </c>
      <c r="I73" s="22" t="s">
        <v>293</v>
      </c>
      <c r="J73" s="22">
        <v>1065385001</v>
      </c>
      <c r="K73" t="s">
        <v>277</v>
      </c>
      <c r="L73" t="s">
        <v>296</v>
      </c>
      <c r="M73">
        <v>9</v>
      </c>
      <c r="N73">
        <v>1</v>
      </c>
      <c r="O73">
        <v>1</v>
      </c>
      <c r="P73" t="s">
        <v>279</v>
      </c>
      <c r="Q73" s="29">
        <v>5719.34</v>
      </c>
      <c r="R73">
        <v>5719</v>
      </c>
      <c r="S73">
        <v>20141215</v>
      </c>
      <c r="T73">
        <v>0</v>
      </c>
      <c r="U73">
        <v>0</v>
      </c>
      <c r="V73">
        <v>5719</v>
      </c>
      <c r="W73" t="s">
        <v>280</v>
      </c>
      <c r="X73" t="s">
        <v>281</v>
      </c>
      <c r="AP73" s="41"/>
    </row>
    <row r="74" spans="5:42" x14ac:dyDescent="0.25">
      <c r="E74" s="24" t="s">
        <v>273</v>
      </c>
      <c r="F74" s="24" t="s">
        <v>297</v>
      </c>
      <c r="G74">
        <v>21</v>
      </c>
      <c r="H74" t="s">
        <v>275</v>
      </c>
      <c r="I74" s="22" t="s">
        <v>293</v>
      </c>
      <c r="J74" s="22">
        <v>1064074601</v>
      </c>
      <c r="K74" t="s">
        <v>277</v>
      </c>
      <c r="L74" t="s">
        <v>296</v>
      </c>
      <c r="M74">
        <v>9</v>
      </c>
      <c r="N74">
        <v>4</v>
      </c>
      <c r="O74">
        <v>4</v>
      </c>
      <c r="P74" t="s">
        <v>279</v>
      </c>
      <c r="Q74" s="29">
        <v>5719.34</v>
      </c>
      <c r="R74">
        <v>22877</v>
      </c>
      <c r="S74">
        <v>20141210</v>
      </c>
      <c r="T74">
        <v>0</v>
      </c>
      <c r="U74">
        <v>0</v>
      </c>
      <c r="V74">
        <v>22877</v>
      </c>
      <c r="W74" t="s">
        <v>280</v>
      </c>
      <c r="X74" t="s">
        <v>281</v>
      </c>
      <c r="AP74" s="41"/>
    </row>
    <row r="75" spans="5:42" x14ac:dyDescent="0.25">
      <c r="E75" s="24" t="s">
        <v>273</v>
      </c>
      <c r="F75" s="24" t="s">
        <v>297</v>
      </c>
      <c r="G75">
        <v>22</v>
      </c>
      <c r="H75" t="s">
        <v>275</v>
      </c>
      <c r="I75" s="22" t="s">
        <v>293</v>
      </c>
      <c r="J75" s="22">
        <v>1061892701</v>
      </c>
      <c r="K75" t="s">
        <v>277</v>
      </c>
      <c r="L75" t="s">
        <v>296</v>
      </c>
      <c r="M75">
        <v>9</v>
      </c>
      <c r="N75">
        <v>10</v>
      </c>
      <c r="O75">
        <v>10</v>
      </c>
      <c r="P75" t="s">
        <v>279</v>
      </c>
      <c r="Q75" s="29">
        <v>5719.34</v>
      </c>
      <c r="R75">
        <v>57193</v>
      </c>
      <c r="S75">
        <v>20141204</v>
      </c>
      <c r="T75">
        <v>0</v>
      </c>
      <c r="U75">
        <v>0</v>
      </c>
      <c r="V75">
        <v>57193</v>
      </c>
      <c r="W75" t="s">
        <v>280</v>
      </c>
      <c r="X75" t="s">
        <v>281</v>
      </c>
      <c r="AP75" s="41"/>
    </row>
    <row r="76" spans="5:42" x14ac:dyDescent="0.25">
      <c r="E76" s="24" t="s">
        <v>273</v>
      </c>
      <c r="F76" s="24" t="s">
        <v>298</v>
      </c>
      <c r="G76">
        <v>1</v>
      </c>
      <c r="H76" t="s">
        <v>275</v>
      </c>
      <c r="I76" s="22" t="s">
        <v>293</v>
      </c>
      <c r="J76" s="22">
        <v>1072507601</v>
      </c>
      <c r="K76" t="s">
        <v>277</v>
      </c>
      <c r="L76" t="s">
        <v>296</v>
      </c>
      <c r="M76">
        <v>9</v>
      </c>
      <c r="N76">
        <v>4</v>
      </c>
      <c r="O76">
        <v>4</v>
      </c>
      <c r="P76" t="s">
        <v>279</v>
      </c>
      <c r="Q76" s="29">
        <v>5719.34</v>
      </c>
      <c r="R76">
        <v>22877</v>
      </c>
      <c r="S76">
        <v>20150106</v>
      </c>
      <c r="T76">
        <v>0</v>
      </c>
      <c r="U76">
        <v>0</v>
      </c>
      <c r="V76">
        <v>22877</v>
      </c>
      <c r="W76" t="s">
        <v>280</v>
      </c>
      <c r="X76" t="s">
        <v>281</v>
      </c>
      <c r="Y76">
        <v>3</v>
      </c>
      <c r="Z76">
        <v>743621</v>
      </c>
      <c r="AA76">
        <v>0</v>
      </c>
      <c r="AB76">
        <v>0</v>
      </c>
      <c r="AC76">
        <v>743621</v>
      </c>
      <c r="AP76" s="41"/>
    </row>
    <row r="77" spans="5:42" x14ac:dyDescent="0.25">
      <c r="E77" s="24" t="s">
        <v>273</v>
      </c>
      <c r="F77" s="24" t="s">
        <v>298</v>
      </c>
      <c r="G77">
        <v>2</v>
      </c>
      <c r="H77" t="s">
        <v>275</v>
      </c>
      <c r="I77" s="22" t="s">
        <v>293</v>
      </c>
      <c r="J77" s="22">
        <v>1073500501</v>
      </c>
      <c r="K77" t="s">
        <v>277</v>
      </c>
      <c r="L77" t="s">
        <v>296</v>
      </c>
      <c r="M77">
        <v>9</v>
      </c>
      <c r="N77">
        <v>2</v>
      </c>
      <c r="O77">
        <v>2</v>
      </c>
      <c r="P77" t="s">
        <v>279</v>
      </c>
      <c r="Q77" s="29">
        <v>5719.34</v>
      </c>
      <c r="R77">
        <v>11439</v>
      </c>
      <c r="S77">
        <v>20150108</v>
      </c>
      <c r="T77">
        <v>0</v>
      </c>
      <c r="U77">
        <v>0</v>
      </c>
      <c r="V77">
        <v>11439</v>
      </c>
      <c r="W77" t="s">
        <v>280</v>
      </c>
      <c r="X77" t="s">
        <v>281</v>
      </c>
      <c r="AP77" s="41"/>
    </row>
    <row r="78" spans="5:42" x14ac:dyDescent="0.25">
      <c r="E78" s="24" t="s">
        <v>273</v>
      </c>
      <c r="F78" s="24" t="s">
        <v>298</v>
      </c>
      <c r="G78">
        <v>3</v>
      </c>
      <c r="H78" t="s">
        <v>275</v>
      </c>
      <c r="I78" s="22" t="s">
        <v>293</v>
      </c>
      <c r="J78" s="22">
        <v>1073221801</v>
      </c>
      <c r="K78" t="s">
        <v>277</v>
      </c>
      <c r="L78" t="s">
        <v>296</v>
      </c>
      <c r="M78">
        <v>9</v>
      </c>
      <c r="N78">
        <v>2</v>
      </c>
      <c r="O78">
        <v>2</v>
      </c>
      <c r="P78" t="s">
        <v>279</v>
      </c>
      <c r="Q78" s="29">
        <v>5719.34</v>
      </c>
      <c r="R78">
        <v>11439</v>
      </c>
      <c r="S78">
        <v>20150108</v>
      </c>
      <c r="T78">
        <v>0</v>
      </c>
      <c r="U78">
        <v>0</v>
      </c>
      <c r="V78">
        <v>11439</v>
      </c>
      <c r="W78" t="s">
        <v>280</v>
      </c>
      <c r="X78" t="s">
        <v>281</v>
      </c>
      <c r="AP78" s="41"/>
    </row>
    <row r="79" spans="5:42" x14ac:dyDescent="0.25">
      <c r="E79" s="24" t="s">
        <v>273</v>
      </c>
      <c r="F79" s="24" t="s">
        <v>298</v>
      </c>
      <c r="G79">
        <v>4</v>
      </c>
      <c r="H79" t="s">
        <v>275</v>
      </c>
      <c r="I79" s="22" t="s">
        <v>293</v>
      </c>
      <c r="J79" s="22">
        <v>1074018801</v>
      </c>
      <c r="K79" t="s">
        <v>277</v>
      </c>
      <c r="L79" t="s">
        <v>296</v>
      </c>
      <c r="M79">
        <v>9</v>
      </c>
      <c r="N79">
        <v>2</v>
      </c>
      <c r="O79">
        <v>2</v>
      </c>
      <c r="P79" t="s">
        <v>279</v>
      </c>
      <c r="Q79" s="29">
        <v>5719.34</v>
      </c>
      <c r="R79">
        <v>11439</v>
      </c>
      <c r="S79">
        <v>20150109</v>
      </c>
      <c r="T79">
        <v>0</v>
      </c>
      <c r="U79">
        <v>0</v>
      </c>
      <c r="V79">
        <v>11439</v>
      </c>
      <c r="W79" t="s">
        <v>280</v>
      </c>
      <c r="X79" t="s">
        <v>281</v>
      </c>
      <c r="AP79" s="41"/>
    </row>
    <row r="80" spans="5:42" x14ac:dyDescent="0.25">
      <c r="E80" s="24" t="s">
        <v>273</v>
      </c>
      <c r="F80" s="24" t="s">
        <v>298</v>
      </c>
      <c r="G80">
        <v>5</v>
      </c>
      <c r="H80" t="s">
        <v>275</v>
      </c>
      <c r="I80" s="22" t="s">
        <v>293</v>
      </c>
      <c r="J80" s="22">
        <v>1074810801</v>
      </c>
      <c r="K80" t="s">
        <v>277</v>
      </c>
      <c r="L80" t="s">
        <v>296</v>
      </c>
      <c r="M80">
        <v>9</v>
      </c>
      <c r="N80">
        <v>3</v>
      </c>
      <c r="O80">
        <v>3</v>
      </c>
      <c r="P80" t="s">
        <v>279</v>
      </c>
      <c r="Q80" s="29">
        <v>5719.34</v>
      </c>
      <c r="R80">
        <v>17158</v>
      </c>
      <c r="S80">
        <v>20150112</v>
      </c>
      <c r="T80">
        <v>0</v>
      </c>
      <c r="U80">
        <v>0</v>
      </c>
      <c r="V80">
        <v>17158</v>
      </c>
      <c r="W80" t="s">
        <v>280</v>
      </c>
      <c r="X80" t="s">
        <v>281</v>
      </c>
      <c r="AP80" s="41"/>
    </row>
    <row r="81" spans="5:42" x14ac:dyDescent="0.25">
      <c r="E81" s="24" t="s">
        <v>273</v>
      </c>
      <c r="F81" s="24" t="s">
        <v>298</v>
      </c>
      <c r="G81">
        <v>6</v>
      </c>
      <c r="H81" t="s">
        <v>275</v>
      </c>
      <c r="I81" s="22" t="s">
        <v>293</v>
      </c>
      <c r="J81" s="22">
        <v>1075350101</v>
      </c>
      <c r="K81" t="s">
        <v>277</v>
      </c>
      <c r="L81" t="s">
        <v>296</v>
      </c>
      <c r="M81">
        <v>9</v>
      </c>
      <c r="N81">
        <v>8</v>
      </c>
      <c r="O81">
        <v>8</v>
      </c>
      <c r="P81" t="s">
        <v>279</v>
      </c>
      <c r="Q81" s="29">
        <v>5719.34</v>
      </c>
      <c r="R81">
        <v>45755</v>
      </c>
      <c r="S81">
        <v>20150113</v>
      </c>
      <c r="T81">
        <v>0</v>
      </c>
      <c r="U81">
        <v>0</v>
      </c>
      <c r="V81">
        <v>45755</v>
      </c>
      <c r="W81" t="s">
        <v>280</v>
      </c>
      <c r="X81" t="s">
        <v>281</v>
      </c>
      <c r="AP81" s="41"/>
    </row>
    <row r="82" spans="5:42" x14ac:dyDescent="0.25">
      <c r="E82" s="24" t="s">
        <v>273</v>
      </c>
      <c r="F82" s="24" t="s">
        <v>298</v>
      </c>
      <c r="G82">
        <v>7</v>
      </c>
      <c r="H82" t="s">
        <v>275</v>
      </c>
      <c r="I82" s="22" t="s">
        <v>293</v>
      </c>
      <c r="J82" s="22">
        <v>1075886401</v>
      </c>
      <c r="K82" t="s">
        <v>277</v>
      </c>
      <c r="L82" t="s">
        <v>296</v>
      </c>
      <c r="M82">
        <v>9</v>
      </c>
      <c r="N82">
        <v>2</v>
      </c>
      <c r="O82">
        <v>2</v>
      </c>
      <c r="P82" t="s">
        <v>279</v>
      </c>
      <c r="Q82" s="29">
        <v>5719.34</v>
      </c>
      <c r="R82">
        <v>11439</v>
      </c>
      <c r="S82">
        <v>20150114</v>
      </c>
      <c r="T82">
        <v>0</v>
      </c>
      <c r="U82">
        <v>0</v>
      </c>
      <c r="V82">
        <v>11439</v>
      </c>
      <c r="W82" t="s">
        <v>280</v>
      </c>
      <c r="X82" t="s">
        <v>281</v>
      </c>
      <c r="AP82" s="41"/>
    </row>
    <row r="83" spans="5:42" x14ac:dyDescent="0.25">
      <c r="E83" s="24" t="s">
        <v>273</v>
      </c>
      <c r="F83" s="24" t="s">
        <v>298</v>
      </c>
      <c r="G83">
        <v>8</v>
      </c>
      <c r="H83" t="s">
        <v>275</v>
      </c>
      <c r="I83" s="22" t="s">
        <v>293</v>
      </c>
      <c r="J83" s="22">
        <v>1076435901</v>
      </c>
      <c r="K83" t="s">
        <v>277</v>
      </c>
      <c r="L83" t="s">
        <v>296</v>
      </c>
      <c r="M83">
        <v>9</v>
      </c>
      <c r="N83">
        <v>3</v>
      </c>
      <c r="O83">
        <v>3</v>
      </c>
      <c r="P83" t="s">
        <v>279</v>
      </c>
      <c r="Q83" s="29">
        <v>5719.34</v>
      </c>
      <c r="R83">
        <v>17158</v>
      </c>
      <c r="S83">
        <v>20150115</v>
      </c>
      <c r="T83">
        <v>0</v>
      </c>
      <c r="U83">
        <v>0</v>
      </c>
      <c r="V83">
        <v>17158</v>
      </c>
      <c r="W83" t="s">
        <v>280</v>
      </c>
      <c r="X83" t="s">
        <v>281</v>
      </c>
      <c r="AP83" s="41"/>
    </row>
    <row r="84" spans="5:42" x14ac:dyDescent="0.25">
      <c r="E84" s="24" t="s">
        <v>273</v>
      </c>
      <c r="F84" s="24" t="s">
        <v>298</v>
      </c>
      <c r="G84">
        <v>9</v>
      </c>
      <c r="H84" t="s">
        <v>275</v>
      </c>
      <c r="I84" s="22" t="s">
        <v>293</v>
      </c>
      <c r="J84" s="22">
        <v>1076974601</v>
      </c>
      <c r="K84" t="s">
        <v>277</v>
      </c>
      <c r="L84" t="s">
        <v>296</v>
      </c>
      <c r="M84">
        <v>9</v>
      </c>
      <c r="N84">
        <v>4</v>
      </c>
      <c r="O84">
        <v>4</v>
      </c>
      <c r="P84" t="s">
        <v>279</v>
      </c>
      <c r="Q84" s="29">
        <v>5719.34</v>
      </c>
      <c r="R84">
        <v>22877</v>
      </c>
      <c r="S84">
        <v>20150116</v>
      </c>
      <c r="T84">
        <v>0</v>
      </c>
      <c r="U84">
        <v>0</v>
      </c>
      <c r="V84">
        <v>22877</v>
      </c>
      <c r="W84" t="s">
        <v>280</v>
      </c>
      <c r="X84" t="s">
        <v>281</v>
      </c>
      <c r="AP84" s="41"/>
    </row>
    <row r="85" spans="5:42" x14ac:dyDescent="0.25">
      <c r="E85" s="24" t="s">
        <v>273</v>
      </c>
      <c r="F85" s="24" t="s">
        <v>298</v>
      </c>
      <c r="G85">
        <v>10</v>
      </c>
      <c r="H85" t="s">
        <v>275</v>
      </c>
      <c r="I85" s="22" t="s">
        <v>293</v>
      </c>
      <c r="J85" s="22">
        <v>1077647001</v>
      </c>
      <c r="K85" t="s">
        <v>277</v>
      </c>
      <c r="L85" t="s">
        <v>296</v>
      </c>
      <c r="M85">
        <v>9</v>
      </c>
      <c r="N85">
        <v>11</v>
      </c>
      <c r="O85">
        <v>11</v>
      </c>
      <c r="P85" t="s">
        <v>279</v>
      </c>
      <c r="Q85" s="29">
        <v>5719.34</v>
      </c>
      <c r="R85">
        <v>62913</v>
      </c>
      <c r="S85">
        <v>20150119</v>
      </c>
      <c r="T85">
        <v>0</v>
      </c>
      <c r="U85">
        <v>0</v>
      </c>
      <c r="V85">
        <v>62913</v>
      </c>
      <c r="W85" t="s">
        <v>280</v>
      </c>
      <c r="X85" t="s">
        <v>281</v>
      </c>
      <c r="AP85" s="41"/>
    </row>
    <row r="86" spans="5:42" x14ac:dyDescent="0.25">
      <c r="E86" s="24" t="s">
        <v>273</v>
      </c>
      <c r="F86" s="24" t="s">
        <v>298</v>
      </c>
      <c r="G86">
        <v>11</v>
      </c>
      <c r="H86" t="s">
        <v>275</v>
      </c>
      <c r="I86" s="22" t="s">
        <v>293</v>
      </c>
      <c r="J86" s="22">
        <v>1078146001</v>
      </c>
      <c r="K86" t="s">
        <v>277</v>
      </c>
      <c r="L86" t="s">
        <v>296</v>
      </c>
      <c r="M86">
        <v>9</v>
      </c>
      <c r="N86">
        <v>11</v>
      </c>
      <c r="O86">
        <v>11</v>
      </c>
      <c r="P86" t="s">
        <v>279</v>
      </c>
      <c r="Q86" s="29">
        <v>5719.34</v>
      </c>
      <c r="R86">
        <v>62913</v>
      </c>
      <c r="S86">
        <v>20150120</v>
      </c>
      <c r="T86">
        <v>0</v>
      </c>
      <c r="U86">
        <v>0</v>
      </c>
      <c r="V86">
        <v>62913</v>
      </c>
      <c r="W86" t="s">
        <v>280</v>
      </c>
      <c r="X86" t="s">
        <v>281</v>
      </c>
      <c r="AP86" s="41"/>
    </row>
    <row r="87" spans="5:42" x14ac:dyDescent="0.25">
      <c r="E87" s="24" t="s">
        <v>273</v>
      </c>
      <c r="F87" s="24" t="s">
        <v>298</v>
      </c>
      <c r="G87">
        <v>12</v>
      </c>
      <c r="H87" t="s">
        <v>275</v>
      </c>
      <c r="I87" s="22" t="s">
        <v>293</v>
      </c>
      <c r="J87" s="22">
        <v>1074489801</v>
      </c>
      <c r="K87" t="s">
        <v>277</v>
      </c>
      <c r="L87" t="s">
        <v>296</v>
      </c>
      <c r="M87">
        <v>9</v>
      </c>
      <c r="N87">
        <v>4</v>
      </c>
      <c r="O87">
        <v>4</v>
      </c>
      <c r="P87" t="s">
        <v>279</v>
      </c>
      <c r="Q87" s="29">
        <v>5719.34</v>
      </c>
      <c r="R87">
        <v>22877</v>
      </c>
      <c r="S87">
        <v>20150112</v>
      </c>
      <c r="T87">
        <v>0</v>
      </c>
      <c r="U87">
        <v>0</v>
      </c>
      <c r="V87">
        <v>22877</v>
      </c>
      <c r="W87" t="s">
        <v>280</v>
      </c>
      <c r="X87" t="s">
        <v>281</v>
      </c>
      <c r="AP87" s="41"/>
    </row>
    <row r="88" spans="5:42" x14ac:dyDescent="0.25">
      <c r="E88" s="24" t="s">
        <v>273</v>
      </c>
      <c r="F88" s="24" t="s">
        <v>298</v>
      </c>
      <c r="G88">
        <v>13</v>
      </c>
      <c r="H88" t="s">
        <v>275</v>
      </c>
      <c r="I88" s="22" t="s">
        <v>276</v>
      </c>
      <c r="J88" s="22">
        <v>1071814201</v>
      </c>
      <c r="K88" t="s">
        <v>277</v>
      </c>
      <c r="L88" t="s">
        <v>299</v>
      </c>
      <c r="M88">
        <v>9</v>
      </c>
      <c r="N88">
        <v>18</v>
      </c>
      <c r="O88">
        <v>18</v>
      </c>
      <c r="P88" t="s">
        <v>279</v>
      </c>
      <c r="Q88" s="29">
        <v>4899.1400000000003</v>
      </c>
      <c r="R88">
        <v>88185</v>
      </c>
      <c r="S88">
        <v>20150106</v>
      </c>
      <c r="T88">
        <v>0</v>
      </c>
      <c r="U88">
        <v>0</v>
      </c>
      <c r="V88">
        <v>88185</v>
      </c>
      <c r="W88" t="s">
        <v>280</v>
      </c>
      <c r="X88" t="s">
        <v>281</v>
      </c>
      <c r="AP88" s="41"/>
    </row>
    <row r="89" spans="5:42" x14ac:dyDescent="0.25">
      <c r="E89" s="24" t="s">
        <v>273</v>
      </c>
      <c r="F89" s="24" t="s">
        <v>298</v>
      </c>
      <c r="G89">
        <v>14</v>
      </c>
      <c r="H89" t="s">
        <v>275</v>
      </c>
      <c r="I89" s="22" t="s">
        <v>276</v>
      </c>
      <c r="J89" s="22">
        <v>1077403601</v>
      </c>
      <c r="K89" t="s">
        <v>277</v>
      </c>
      <c r="L89" t="s">
        <v>299</v>
      </c>
      <c r="M89">
        <v>9</v>
      </c>
      <c r="N89">
        <v>8</v>
      </c>
      <c r="O89">
        <v>8</v>
      </c>
      <c r="P89" t="s">
        <v>279</v>
      </c>
      <c r="Q89" s="29">
        <v>4899.1400000000003</v>
      </c>
      <c r="R89">
        <v>39193</v>
      </c>
      <c r="S89">
        <v>20150120</v>
      </c>
      <c r="T89">
        <v>0</v>
      </c>
      <c r="U89">
        <v>0</v>
      </c>
      <c r="V89">
        <v>39193</v>
      </c>
      <c r="W89" t="s">
        <v>280</v>
      </c>
      <c r="X89" t="s">
        <v>281</v>
      </c>
      <c r="AP89" s="41"/>
    </row>
    <row r="90" spans="5:42" x14ac:dyDescent="0.25">
      <c r="E90" s="24" t="s">
        <v>273</v>
      </c>
      <c r="F90" s="24" t="s">
        <v>298</v>
      </c>
      <c r="G90">
        <v>15</v>
      </c>
      <c r="H90" t="s">
        <v>275</v>
      </c>
      <c r="I90" s="22" t="s">
        <v>276</v>
      </c>
      <c r="J90" s="22">
        <v>1075076001</v>
      </c>
      <c r="K90" t="s">
        <v>277</v>
      </c>
      <c r="L90" t="s">
        <v>299</v>
      </c>
      <c r="M90">
        <v>9</v>
      </c>
      <c r="N90">
        <v>4</v>
      </c>
      <c r="O90">
        <v>4</v>
      </c>
      <c r="P90" t="s">
        <v>279</v>
      </c>
      <c r="Q90" s="29">
        <v>4899.1400000000003</v>
      </c>
      <c r="R90">
        <v>19597</v>
      </c>
      <c r="S90">
        <v>20150114</v>
      </c>
      <c r="T90">
        <v>0</v>
      </c>
      <c r="U90">
        <v>0</v>
      </c>
      <c r="V90">
        <v>19597</v>
      </c>
      <c r="W90" t="s">
        <v>280</v>
      </c>
      <c r="X90" t="s">
        <v>281</v>
      </c>
      <c r="AP90" s="41"/>
    </row>
    <row r="91" spans="5:42" x14ac:dyDescent="0.25">
      <c r="E91" s="24" t="s">
        <v>273</v>
      </c>
      <c r="F91" s="24" t="s">
        <v>298</v>
      </c>
      <c r="G91">
        <v>16</v>
      </c>
      <c r="H91" t="s">
        <v>275</v>
      </c>
      <c r="I91" s="22" t="s">
        <v>276</v>
      </c>
      <c r="J91" s="22">
        <v>1072759201</v>
      </c>
      <c r="K91" t="s">
        <v>277</v>
      </c>
      <c r="L91" t="s">
        <v>299</v>
      </c>
      <c r="M91">
        <v>9</v>
      </c>
      <c r="N91">
        <v>4</v>
      </c>
      <c r="O91">
        <v>4</v>
      </c>
      <c r="P91" t="s">
        <v>279</v>
      </c>
      <c r="Q91" s="29">
        <v>4899.1400000000003</v>
      </c>
      <c r="R91">
        <v>19597</v>
      </c>
      <c r="S91">
        <v>20150108</v>
      </c>
      <c r="T91">
        <v>0</v>
      </c>
      <c r="U91">
        <v>0</v>
      </c>
      <c r="V91">
        <v>19597</v>
      </c>
      <c r="W91" t="s">
        <v>280</v>
      </c>
      <c r="X91" t="s">
        <v>281</v>
      </c>
      <c r="AP91" s="41"/>
    </row>
    <row r="92" spans="5:42" x14ac:dyDescent="0.25">
      <c r="E92" s="24" t="s">
        <v>273</v>
      </c>
      <c r="F92" s="24" t="s">
        <v>298</v>
      </c>
      <c r="G92">
        <v>17</v>
      </c>
      <c r="H92" t="s">
        <v>275</v>
      </c>
      <c r="I92" s="22" t="s">
        <v>276</v>
      </c>
      <c r="J92" s="22">
        <v>1076698601</v>
      </c>
      <c r="K92" t="s">
        <v>277</v>
      </c>
      <c r="L92" t="s">
        <v>299</v>
      </c>
      <c r="M92">
        <v>9</v>
      </c>
      <c r="N92">
        <v>14</v>
      </c>
      <c r="O92">
        <v>14</v>
      </c>
      <c r="P92" t="s">
        <v>279</v>
      </c>
      <c r="Q92" s="29">
        <v>4899.1400000000003</v>
      </c>
      <c r="R92">
        <v>68588</v>
      </c>
      <c r="S92">
        <v>20150119</v>
      </c>
      <c r="T92">
        <v>0</v>
      </c>
      <c r="U92">
        <v>0</v>
      </c>
      <c r="V92">
        <v>68588</v>
      </c>
      <c r="W92" t="s">
        <v>280</v>
      </c>
      <c r="X92" t="s">
        <v>281</v>
      </c>
      <c r="AP92" s="41"/>
    </row>
    <row r="93" spans="5:42" x14ac:dyDescent="0.25">
      <c r="E93" s="24" t="s">
        <v>273</v>
      </c>
      <c r="F93" s="24" t="s">
        <v>298</v>
      </c>
      <c r="G93">
        <v>18</v>
      </c>
      <c r="H93" t="s">
        <v>275</v>
      </c>
      <c r="I93" s="22" t="s">
        <v>276</v>
      </c>
      <c r="J93" s="22">
        <v>1075616501</v>
      </c>
      <c r="K93" t="s">
        <v>277</v>
      </c>
      <c r="L93" t="s">
        <v>299</v>
      </c>
      <c r="M93">
        <v>9</v>
      </c>
      <c r="N93">
        <v>12</v>
      </c>
      <c r="O93">
        <v>12</v>
      </c>
      <c r="P93" t="s">
        <v>279</v>
      </c>
      <c r="Q93" s="29">
        <v>4899.1400000000003</v>
      </c>
      <c r="R93">
        <v>58790</v>
      </c>
      <c r="S93">
        <v>20150115</v>
      </c>
      <c r="T93">
        <v>0</v>
      </c>
      <c r="U93">
        <v>0</v>
      </c>
      <c r="V93">
        <v>58790</v>
      </c>
      <c r="W93" t="s">
        <v>280</v>
      </c>
      <c r="X93" t="s">
        <v>281</v>
      </c>
      <c r="AP93" s="41"/>
    </row>
    <row r="94" spans="5:42" x14ac:dyDescent="0.25">
      <c r="E94" s="24" t="s">
        <v>273</v>
      </c>
      <c r="F94" s="24" t="s">
        <v>298</v>
      </c>
      <c r="G94">
        <v>19</v>
      </c>
      <c r="H94" t="s">
        <v>275</v>
      </c>
      <c r="I94" s="22" t="s">
        <v>276</v>
      </c>
      <c r="J94" s="22">
        <v>1072265901</v>
      </c>
      <c r="K94" t="s">
        <v>277</v>
      </c>
      <c r="L94" t="s">
        <v>299</v>
      </c>
      <c r="M94">
        <v>9</v>
      </c>
      <c r="N94">
        <v>8</v>
      </c>
      <c r="O94">
        <v>8</v>
      </c>
      <c r="P94" t="s">
        <v>279</v>
      </c>
      <c r="Q94" s="29">
        <v>4899.1400000000003</v>
      </c>
      <c r="R94">
        <v>39193</v>
      </c>
      <c r="S94">
        <v>20150107</v>
      </c>
      <c r="T94">
        <v>0</v>
      </c>
      <c r="U94">
        <v>0</v>
      </c>
      <c r="V94">
        <v>39193</v>
      </c>
      <c r="W94" t="s">
        <v>280</v>
      </c>
      <c r="X94" t="s">
        <v>281</v>
      </c>
      <c r="AP94" s="41"/>
    </row>
    <row r="95" spans="5:42" x14ac:dyDescent="0.25">
      <c r="E95" s="24" t="s">
        <v>273</v>
      </c>
      <c r="F95" s="24" t="s">
        <v>298</v>
      </c>
      <c r="G95">
        <v>20</v>
      </c>
      <c r="H95" t="s">
        <v>275</v>
      </c>
      <c r="I95" s="22" t="s">
        <v>276</v>
      </c>
      <c r="J95" s="22">
        <v>1071814101</v>
      </c>
      <c r="K95" t="s">
        <v>277</v>
      </c>
      <c r="L95" t="s">
        <v>300</v>
      </c>
      <c r="M95">
        <v>9</v>
      </c>
      <c r="N95">
        <v>4</v>
      </c>
      <c r="O95">
        <v>4</v>
      </c>
      <c r="P95" t="s">
        <v>279</v>
      </c>
      <c r="Q95" s="29">
        <v>4178.55</v>
      </c>
      <c r="R95">
        <v>16714</v>
      </c>
      <c r="S95">
        <v>20150106</v>
      </c>
      <c r="T95">
        <v>0</v>
      </c>
      <c r="U95">
        <v>0</v>
      </c>
      <c r="V95">
        <v>16714</v>
      </c>
      <c r="W95" t="s">
        <v>280</v>
      </c>
      <c r="X95" t="s">
        <v>281</v>
      </c>
      <c r="AP95" s="41"/>
    </row>
    <row r="96" spans="5:42" x14ac:dyDescent="0.25">
      <c r="E96" s="24" t="s">
        <v>273</v>
      </c>
      <c r="F96" s="24" t="s">
        <v>298</v>
      </c>
      <c r="G96">
        <v>21</v>
      </c>
      <c r="H96" t="s">
        <v>275</v>
      </c>
      <c r="I96" s="22" t="s">
        <v>276</v>
      </c>
      <c r="J96" s="22">
        <v>1075616801</v>
      </c>
      <c r="K96" t="s">
        <v>277</v>
      </c>
      <c r="L96" t="s">
        <v>301</v>
      </c>
      <c r="M96">
        <v>9</v>
      </c>
      <c r="N96">
        <v>8</v>
      </c>
      <c r="O96">
        <v>8</v>
      </c>
      <c r="P96" t="s">
        <v>279</v>
      </c>
      <c r="Q96" s="29">
        <v>4592.5200000000004</v>
      </c>
      <c r="R96">
        <v>36740</v>
      </c>
      <c r="S96">
        <v>20150115</v>
      </c>
      <c r="T96">
        <v>0</v>
      </c>
      <c r="U96">
        <v>0</v>
      </c>
      <c r="V96">
        <v>36740</v>
      </c>
      <c r="W96" t="s">
        <v>280</v>
      </c>
      <c r="X96" t="s">
        <v>281</v>
      </c>
      <c r="AP96" s="41"/>
    </row>
    <row r="97" spans="5:42" x14ac:dyDescent="0.25">
      <c r="E97" s="24" t="s">
        <v>273</v>
      </c>
      <c r="F97" s="24" t="s">
        <v>298</v>
      </c>
      <c r="G97">
        <v>22</v>
      </c>
      <c r="H97" t="s">
        <v>275</v>
      </c>
      <c r="I97" s="22" t="s">
        <v>276</v>
      </c>
      <c r="J97" s="22">
        <v>1073792401</v>
      </c>
      <c r="K97" t="s">
        <v>277</v>
      </c>
      <c r="L97" t="s">
        <v>301</v>
      </c>
      <c r="M97">
        <v>9</v>
      </c>
      <c r="N97">
        <v>8</v>
      </c>
      <c r="O97">
        <v>8</v>
      </c>
      <c r="P97" t="s">
        <v>279</v>
      </c>
      <c r="Q97" s="29">
        <v>4592.5200000000004</v>
      </c>
      <c r="R97">
        <v>36740</v>
      </c>
      <c r="S97">
        <v>20150112</v>
      </c>
      <c r="T97">
        <v>0</v>
      </c>
      <c r="U97">
        <v>0</v>
      </c>
      <c r="V97">
        <v>36740</v>
      </c>
      <c r="W97" t="s">
        <v>280</v>
      </c>
      <c r="X97" t="s">
        <v>281</v>
      </c>
      <c r="AD97" s="15"/>
      <c r="AE97" s="37"/>
      <c r="AF97" s="37"/>
      <c r="AG97" s="37"/>
      <c r="AH97" s="37"/>
      <c r="AI97" s="15"/>
      <c r="AJ97" s="38"/>
      <c r="AK97" s="37"/>
      <c r="AL97" s="37"/>
      <c r="AM97" s="37"/>
      <c r="AN97" s="37"/>
      <c r="AO97" s="37"/>
      <c r="AP97" s="41"/>
    </row>
    <row r="98" spans="5:42" x14ac:dyDescent="0.25">
      <c r="E98" s="24" t="s">
        <v>273</v>
      </c>
      <c r="F98" s="24" t="s">
        <v>302</v>
      </c>
      <c r="G98">
        <v>1</v>
      </c>
      <c r="H98" t="s">
        <v>275</v>
      </c>
      <c r="I98" s="22" t="s">
        <v>276</v>
      </c>
      <c r="J98" s="22">
        <v>1072265401</v>
      </c>
      <c r="K98" t="s">
        <v>277</v>
      </c>
      <c r="L98" t="s">
        <v>301</v>
      </c>
      <c r="M98">
        <v>9</v>
      </c>
      <c r="N98">
        <v>6</v>
      </c>
      <c r="O98">
        <v>6</v>
      </c>
      <c r="P98" t="s">
        <v>279</v>
      </c>
      <c r="Q98" s="29">
        <v>4592.5200000000004</v>
      </c>
      <c r="R98">
        <v>27555</v>
      </c>
      <c r="S98">
        <v>20150107</v>
      </c>
      <c r="T98">
        <v>0</v>
      </c>
      <c r="U98">
        <v>0</v>
      </c>
      <c r="V98">
        <v>27555</v>
      </c>
      <c r="W98" t="s">
        <v>280</v>
      </c>
      <c r="X98" t="s">
        <v>281</v>
      </c>
      <c r="Y98">
        <v>3</v>
      </c>
      <c r="Z98">
        <v>750370</v>
      </c>
      <c r="AA98">
        <v>0</v>
      </c>
      <c r="AB98">
        <v>0</v>
      </c>
      <c r="AC98">
        <v>750370</v>
      </c>
      <c r="AD98" s="15"/>
      <c r="AE98" s="37"/>
      <c r="AF98" s="37"/>
      <c r="AG98" s="37"/>
      <c r="AH98" s="37"/>
      <c r="AI98" s="15"/>
      <c r="AJ98" s="38"/>
      <c r="AK98" s="37"/>
      <c r="AL98" s="37"/>
      <c r="AM98" s="37"/>
      <c r="AN98" s="37"/>
      <c r="AO98" s="37"/>
      <c r="AP98" s="41"/>
    </row>
    <row r="99" spans="5:42" x14ac:dyDescent="0.25">
      <c r="E99" s="24" t="s">
        <v>273</v>
      </c>
      <c r="F99" s="24" t="s">
        <v>302</v>
      </c>
      <c r="G99">
        <v>2</v>
      </c>
      <c r="H99" t="s">
        <v>275</v>
      </c>
      <c r="I99" s="22" t="s">
        <v>276</v>
      </c>
      <c r="J99" s="22">
        <v>1072760101</v>
      </c>
      <c r="K99" t="s">
        <v>277</v>
      </c>
      <c r="L99" t="s">
        <v>301</v>
      </c>
      <c r="M99">
        <v>9</v>
      </c>
      <c r="N99">
        <v>6</v>
      </c>
      <c r="O99">
        <v>6</v>
      </c>
      <c r="P99" t="s">
        <v>279</v>
      </c>
      <c r="Q99" s="29">
        <v>4592.5200000000004</v>
      </c>
      <c r="R99">
        <v>27555</v>
      </c>
      <c r="S99">
        <v>20150108</v>
      </c>
      <c r="T99">
        <v>0</v>
      </c>
      <c r="U99">
        <v>0</v>
      </c>
      <c r="V99">
        <v>27555</v>
      </c>
      <c r="W99" t="s">
        <v>280</v>
      </c>
      <c r="X99" t="s">
        <v>281</v>
      </c>
      <c r="AP99" s="41"/>
    </row>
    <row r="100" spans="5:42" x14ac:dyDescent="0.25">
      <c r="E100" s="24" t="s">
        <v>273</v>
      </c>
      <c r="F100" s="24" t="s">
        <v>302</v>
      </c>
      <c r="G100">
        <v>3</v>
      </c>
      <c r="H100" t="s">
        <v>275</v>
      </c>
      <c r="I100" s="22" t="s">
        <v>276</v>
      </c>
      <c r="J100" s="22">
        <v>1076698501</v>
      </c>
      <c r="K100" t="s">
        <v>277</v>
      </c>
      <c r="L100" t="s">
        <v>301</v>
      </c>
      <c r="M100">
        <v>9</v>
      </c>
      <c r="N100">
        <v>14</v>
      </c>
      <c r="O100">
        <v>14</v>
      </c>
      <c r="P100" t="s">
        <v>279</v>
      </c>
      <c r="Q100" s="29">
        <v>4592.5200000000004</v>
      </c>
      <c r="R100">
        <v>64295</v>
      </c>
      <c r="S100">
        <v>20150119</v>
      </c>
      <c r="T100">
        <v>0</v>
      </c>
      <c r="U100">
        <v>0</v>
      </c>
      <c r="V100">
        <v>64295</v>
      </c>
      <c r="W100" t="s">
        <v>280</v>
      </c>
      <c r="X100" t="s">
        <v>281</v>
      </c>
      <c r="AP100" s="41"/>
    </row>
    <row r="101" spans="5:42" x14ac:dyDescent="0.25">
      <c r="E101" s="24" t="s">
        <v>273</v>
      </c>
      <c r="F101" s="24" t="s">
        <v>302</v>
      </c>
      <c r="G101">
        <v>4</v>
      </c>
      <c r="H101" t="s">
        <v>275</v>
      </c>
      <c r="I101" s="22" t="s">
        <v>276</v>
      </c>
      <c r="J101" s="22">
        <v>1077403401</v>
      </c>
      <c r="K101" t="s">
        <v>277</v>
      </c>
      <c r="L101" t="s">
        <v>301</v>
      </c>
      <c r="M101">
        <v>9</v>
      </c>
      <c r="N101">
        <v>10</v>
      </c>
      <c r="O101">
        <v>10</v>
      </c>
      <c r="P101" t="s">
        <v>279</v>
      </c>
      <c r="Q101" s="29">
        <v>4592.5200000000004</v>
      </c>
      <c r="R101">
        <v>45925</v>
      </c>
      <c r="S101">
        <v>20150120</v>
      </c>
      <c r="T101">
        <v>0</v>
      </c>
      <c r="U101">
        <v>0</v>
      </c>
      <c r="V101">
        <v>45925</v>
      </c>
      <c r="W101" t="s">
        <v>280</v>
      </c>
      <c r="X101" t="s">
        <v>281</v>
      </c>
      <c r="AP101" s="41"/>
    </row>
    <row r="102" spans="5:42" x14ac:dyDescent="0.25">
      <c r="E102" s="24" t="s">
        <v>273</v>
      </c>
      <c r="F102" s="24" t="s">
        <v>302</v>
      </c>
      <c r="G102">
        <v>5</v>
      </c>
      <c r="H102" t="s">
        <v>275</v>
      </c>
      <c r="I102" s="22" t="s">
        <v>276</v>
      </c>
      <c r="J102" s="22">
        <v>1071046601</v>
      </c>
      <c r="K102" t="s">
        <v>277</v>
      </c>
      <c r="L102" t="s">
        <v>301</v>
      </c>
      <c r="M102">
        <v>9</v>
      </c>
      <c r="N102">
        <v>8</v>
      </c>
      <c r="O102">
        <v>8</v>
      </c>
      <c r="P102" t="s">
        <v>279</v>
      </c>
      <c r="Q102" s="29">
        <v>4592.5200000000004</v>
      </c>
      <c r="R102">
        <v>36740</v>
      </c>
      <c r="S102">
        <v>20150105</v>
      </c>
      <c r="T102">
        <v>0</v>
      </c>
      <c r="U102">
        <v>0</v>
      </c>
      <c r="V102">
        <v>36740</v>
      </c>
      <c r="W102" t="s">
        <v>280</v>
      </c>
      <c r="X102" t="s">
        <v>281</v>
      </c>
      <c r="AP102" s="41"/>
    </row>
    <row r="103" spans="5:42" x14ac:dyDescent="0.25">
      <c r="E103" s="24" t="s">
        <v>273</v>
      </c>
      <c r="F103" s="24" t="s">
        <v>302</v>
      </c>
      <c r="G103">
        <v>6</v>
      </c>
      <c r="H103" t="s">
        <v>275</v>
      </c>
      <c r="I103" s="22" t="s">
        <v>276</v>
      </c>
      <c r="J103" s="22">
        <v>1076138401</v>
      </c>
      <c r="K103" t="s">
        <v>277</v>
      </c>
      <c r="L103" t="s">
        <v>301</v>
      </c>
      <c r="M103">
        <v>9</v>
      </c>
      <c r="N103">
        <v>6</v>
      </c>
      <c r="O103">
        <v>6</v>
      </c>
      <c r="P103" t="s">
        <v>279</v>
      </c>
      <c r="Q103" s="29">
        <v>4592.5200000000004</v>
      </c>
      <c r="R103">
        <v>27555</v>
      </c>
      <c r="S103">
        <v>20150116</v>
      </c>
      <c r="T103">
        <v>0</v>
      </c>
      <c r="U103">
        <v>0</v>
      </c>
      <c r="V103">
        <v>27555</v>
      </c>
      <c r="W103" t="s">
        <v>280</v>
      </c>
      <c r="X103" t="s">
        <v>281</v>
      </c>
      <c r="AP103" s="41"/>
    </row>
    <row r="104" spans="5:42" x14ac:dyDescent="0.25">
      <c r="E104" s="24" t="s">
        <v>273</v>
      </c>
      <c r="F104" s="24" t="s">
        <v>302</v>
      </c>
      <c r="G104">
        <v>7</v>
      </c>
      <c r="H104" t="s">
        <v>275</v>
      </c>
      <c r="I104" s="22" t="s">
        <v>276</v>
      </c>
      <c r="J104" s="22">
        <v>1074548001</v>
      </c>
      <c r="K104" t="s">
        <v>277</v>
      </c>
      <c r="L104" t="s">
        <v>301</v>
      </c>
      <c r="M104">
        <v>9</v>
      </c>
      <c r="N104">
        <v>6</v>
      </c>
      <c r="O104">
        <v>6</v>
      </c>
      <c r="P104" t="s">
        <v>279</v>
      </c>
      <c r="Q104" s="29">
        <v>4592.5200000000004</v>
      </c>
      <c r="R104">
        <v>27555</v>
      </c>
      <c r="S104">
        <v>20150113</v>
      </c>
      <c r="T104">
        <v>0</v>
      </c>
      <c r="U104">
        <v>0</v>
      </c>
      <c r="V104">
        <v>27555</v>
      </c>
      <c r="W104" t="s">
        <v>280</v>
      </c>
      <c r="X104" t="s">
        <v>281</v>
      </c>
      <c r="AP104" s="41"/>
    </row>
    <row r="105" spans="5:42" x14ac:dyDescent="0.25">
      <c r="E105" s="24" t="s">
        <v>273</v>
      </c>
      <c r="F105" s="24" t="s">
        <v>302</v>
      </c>
      <c r="G105">
        <v>8</v>
      </c>
      <c r="H105" t="s">
        <v>275</v>
      </c>
      <c r="I105" s="22" t="s">
        <v>276</v>
      </c>
      <c r="J105" s="22">
        <v>1075075501</v>
      </c>
      <c r="K105" t="s">
        <v>277</v>
      </c>
      <c r="L105" t="s">
        <v>301</v>
      </c>
      <c r="M105">
        <v>9</v>
      </c>
      <c r="N105">
        <v>10</v>
      </c>
      <c r="O105">
        <v>10</v>
      </c>
      <c r="P105" t="s">
        <v>279</v>
      </c>
      <c r="Q105" s="29">
        <v>4592.5200000000004</v>
      </c>
      <c r="R105">
        <v>45925</v>
      </c>
      <c r="S105">
        <v>20150114</v>
      </c>
      <c r="T105">
        <v>0</v>
      </c>
      <c r="U105">
        <v>0</v>
      </c>
      <c r="V105">
        <v>45925</v>
      </c>
      <c r="W105" t="s">
        <v>280</v>
      </c>
      <c r="X105" t="s">
        <v>281</v>
      </c>
      <c r="AP105" s="41"/>
    </row>
    <row r="106" spans="5:42" x14ac:dyDescent="0.25">
      <c r="E106" s="24" t="s">
        <v>273</v>
      </c>
      <c r="F106" s="24" t="s">
        <v>302</v>
      </c>
      <c r="G106">
        <v>9</v>
      </c>
      <c r="H106" t="s">
        <v>275</v>
      </c>
      <c r="I106" s="22" t="s">
        <v>276</v>
      </c>
      <c r="J106" s="22">
        <v>1073270401</v>
      </c>
      <c r="K106" t="s">
        <v>277</v>
      </c>
      <c r="L106" t="s">
        <v>303</v>
      </c>
      <c r="M106">
        <v>9</v>
      </c>
      <c r="N106">
        <v>2</v>
      </c>
      <c r="O106">
        <v>2</v>
      </c>
      <c r="P106" t="s">
        <v>279</v>
      </c>
      <c r="Q106" s="29">
        <v>4341.3999999999996</v>
      </c>
      <c r="R106">
        <v>8683</v>
      </c>
      <c r="S106">
        <v>20150109</v>
      </c>
      <c r="T106">
        <v>0</v>
      </c>
      <c r="U106">
        <v>0</v>
      </c>
      <c r="V106">
        <v>8683</v>
      </c>
      <c r="W106" t="s">
        <v>280</v>
      </c>
      <c r="X106" t="s">
        <v>281</v>
      </c>
      <c r="AP106" s="41"/>
    </row>
    <row r="107" spans="5:42" x14ac:dyDescent="0.25">
      <c r="E107" s="24" t="s">
        <v>273</v>
      </c>
      <c r="F107" s="24" t="s">
        <v>302</v>
      </c>
      <c r="G107">
        <v>10</v>
      </c>
      <c r="H107" t="s">
        <v>275</v>
      </c>
      <c r="I107" s="22" t="s">
        <v>276</v>
      </c>
      <c r="J107" s="22">
        <v>1075075601</v>
      </c>
      <c r="K107" t="s">
        <v>277</v>
      </c>
      <c r="L107" t="s">
        <v>303</v>
      </c>
      <c r="M107">
        <v>9</v>
      </c>
      <c r="N107">
        <v>6</v>
      </c>
      <c r="O107">
        <v>6</v>
      </c>
      <c r="P107" t="s">
        <v>279</v>
      </c>
      <c r="Q107" s="29">
        <v>4341.3999999999996</v>
      </c>
      <c r="R107">
        <v>26048</v>
      </c>
      <c r="S107">
        <v>20150114</v>
      </c>
      <c r="T107">
        <v>0</v>
      </c>
      <c r="U107">
        <v>0</v>
      </c>
      <c r="V107">
        <v>26048</v>
      </c>
      <c r="W107" t="s">
        <v>280</v>
      </c>
      <c r="X107" t="s">
        <v>281</v>
      </c>
      <c r="AP107" s="41"/>
    </row>
    <row r="108" spans="5:42" x14ac:dyDescent="0.25">
      <c r="E108" s="24" t="s">
        <v>273</v>
      </c>
      <c r="F108" s="24" t="s">
        <v>302</v>
      </c>
      <c r="G108">
        <v>11</v>
      </c>
      <c r="H108" t="s">
        <v>275</v>
      </c>
      <c r="I108" s="22" t="s">
        <v>304</v>
      </c>
      <c r="J108" s="22">
        <v>1072265801</v>
      </c>
      <c r="K108" t="s">
        <v>277</v>
      </c>
      <c r="L108" t="s">
        <v>305</v>
      </c>
      <c r="M108">
        <v>9</v>
      </c>
      <c r="N108">
        <v>10</v>
      </c>
      <c r="O108">
        <v>10</v>
      </c>
      <c r="P108" t="s">
        <v>279</v>
      </c>
      <c r="Q108" s="29">
        <v>4894.18</v>
      </c>
      <c r="R108">
        <v>48942</v>
      </c>
      <c r="S108">
        <v>20150107</v>
      </c>
      <c r="T108">
        <v>0</v>
      </c>
      <c r="U108">
        <v>0</v>
      </c>
      <c r="V108">
        <v>48942</v>
      </c>
      <c r="W108" t="s">
        <v>280</v>
      </c>
      <c r="X108" t="s">
        <v>281</v>
      </c>
      <c r="AP108" s="41"/>
    </row>
    <row r="109" spans="5:42" x14ac:dyDescent="0.25">
      <c r="E109" s="24" t="s">
        <v>273</v>
      </c>
      <c r="F109" s="24" t="s">
        <v>302</v>
      </c>
      <c r="G109">
        <v>12</v>
      </c>
      <c r="H109" t="s">
        <v>275</v>
      </c>
      <c r="I109" s="22" t="s">
        <v>304</v>
      </c>
      <c r="J109" s="22">
        <v>1072759501</v>
      </c>
      <c r="K109" t="s">
        <v>277</v>
      </c>
      <c r="L109" t="s">
        <v>305</v>
      </c>
      <c r="M109">
        <v>9</v>
      </c>
      <c r="N109">
        <v>8</v>
      </c>
      <c r="O109">
        <v>8</v>
      </c>
      <c r="P109" t="s">
        <v>279</v>
      </c>
      <c r="Q109" s="29">
        <v>4894.18</v>
      </c>
      <c r="R109">
        <v>39153</v>
      </c>
      <c r="S109">
        <v>20150108</v>
      </c>
      <c r="T109">
        <v>0</v>
      </c>
      <c r="U109">
        <v>0</v>
      </c>
      <c r="V109">
        <v>39153</v>
      </c>
      <c r="W109" t="s">
        <v>280</v>
      </c>
      <c r="X109" t="s">
        <v>281</v>
      </c>
      <c r="AP109" s="41"/>
    </row>
    <row r="110" spans="5:42" x14ac:dyDescent="0.25">
      <c r="E110" s="24" t="s">
        <v>273</v>
      </c>
      <c r="F110" s="24" t="s">
        <v>302</v>
      </c>
      <c r="G110">
        <v>13</v>
      </c>
      <c r="H110" t="s">
        <v>275</v>
      </c>
      <c r="I110" s="22" t="s">
        <v>304</v>
      </c>
      <c r="J110" s="22">
        <v>1073270601</v>
      </c>
      <c r="K110" t="s">
        <v>277</v>
      </c>
      <c r="L110" t="s">
        <v>305</v>
      </c>
      <c r="M110">
        <v>9</v>
      </c>
      <c r="N110">
        <v>8</v>
      </c>
      <c r="O110">
        <v>8</v>
      </c>
      <c r="P110" t="s">
        <v>279</v>
      </c>
      <c r="Q110" s="29">
        <v>4894.18</v>
      </c>
      <c r="R110">
        <v>39153</v>
      </c>
      <c r="S110">
        <v>20150109</v>
      </c>
      <c r="T110">
        <v>0</v>
      </c>
      <c r="U110">
        <v>0</v>
      </c>
      <c r="V110">
        <v>39153</v>
      </c>
      <c r="W110" t="s">
        <v>280</v>
      </c>
      <c r="X110" t="s">
        <v>281</v>
      </c>
      <c r="AP110" s="41"/>
    </row>
    <row r="111" spans="5:42" x14ac:dyDescent="0.25">
      <c r="E111" s="24" t="s">
        <v>273</v>
      </c>
      <c r="F111" s="24" t="s">
        <v>302</v>
      </c>
      <c r="G111">
        <v>14</v>
      </c>
      <c r="H111" t="s">
        <v>275</v>
      </c>
      <c r="I111" s="22" t="s">
        <v>304</v>
      </c>
      <c r="J111" s="22">
        <v>1075616601</v>
      </c>
      <c r="K111" t="s">
        <v>277</v>
      </c>
      <c r="L111" t="s">
        <v>305</v>
      </c>
      <c r="M111">
        <v>9</v>
      </c>
      <c r="N111">
        <v>2</v>
      </c>
      <c r="O111">
        <v>2</v>
      </c>
      <c r="P111" t="s">
        <v>279</v>
      </c>
      <c r="Q111" s="29">
        <v>4894.18</v>
      </c>
      <c r="R111">
        <v>9788</v>
      </c>
      <c r="S111">
        <v>20150115</v>
      </c>
      <c r="T111">
        <v>0</v>
      </c>
      <c r="U111">
        <v>0</v>
      </c>
      <c r="V111">
        <v>9788</v>
      </c>
      <c r="W111" t="s">
        <v>280</v>
      </c>
      <c r="X111" t="s">
        <v>281</v>
      </c>
      <c r="AP111" s="41"/>
    </row>
    <row r="112" spans="5:42" x14ac:dyDescent="0.25">
      <c r="E112" s="24" t="s">
        <v>273</v>
      </c>
      <c r="F112" s="24" t="s">
        <v>302</v>
      </c>
      <c r="G112">
        <v>15</v>
      </c>
      <c r="H112" t="s">
        <v>275</v>
      </c>
      <c r="I112" s="22" t="s">
        <v>304</v>
      </c>
      <c r="J112" s="22">
        <v>1071046101</v>
      </c>
      <c r="K112" t="s">
        <v>277</v>
      </c>
      <c r="L112" t="s">
        <v>306</v>
      </c>
      <c r="M112">
        <v>9</v>
      </c>
      <c r="N112">
        <v>4</v>
      </c>
      <c r="O112">
        <v>4</v>
      </c>
      <c r="P112" t="s">
        <v>279</v>
      </c>
      <c r="Q112" s="29">
        <v>4174.2299999999996</v>
      </c>
      <c r="R112">
        <v>16697</v>
      </c>
      <c r="S112">
        <v>20150105</v>
      </c>
      <c r="T112">
        <v>0</v>
      </c>
      <c r="U112">
        <v>0</v>
      </c>
      <c r="V112">
        <v>16697</v>
      </c>
      <c r="W112" t="s">
        <v>280</v>
      </c>
      <c r="X112" t="s">
        <v>281</v>
      </c>
      <c r="AP112" s="41"/>
    </row>
    <row r="113" spans="5:42" x14ac:dyDescent="0.25">
      <c r="E113" s="24" t="s">
        <v>273</v>
      </c>
      <c r="F113" s="24" t="s">
        <v>302</v>
      </c>
      <c r="G113">
        <v>16</v>
      </c>
      <c r="H113" t="s">
        <v>275</v>
      </c>
      <c r="I113" s="22" t="s">
        <v>304</v>
      </c>
      <c r="J113" s="22">
        <v>1076698701</v>
      </c>
      <c r="K113" t="s">
        <v>277</v>
      </c>
      <c r="L113" t="s">
        <v>306</v>
      </c>
      <c r="M113">
        <v>9</v>
      </c>
      <c r="N113">
        <v>8</v>
      </c>
      <c r="O113">
        <v>8</v>
      </c>
      <c r="P113" t="s">
        <v>279</v>
      </c>
      <c r="Q113" s="29">
        <v>4174.2299999999996</v>
      </c>
      <c r="R113">
        <v>33394</v>
      </c>
      <c r="S113">
        <v>20150119</v>
      </c>
      <c r="T113">
        <v>0</v>
      </c>
      <c r="U113">
        <v>0</v>
      </c>
      <c r="V113">
        <v>33394</v>
      </c>
      <c r="W113" t="s">
        <v>280</v>
      </c>
      <c r="X113" t="s">
        <v>281</v>
      </c>
      <c r="AP113" s="41"/>
    </row>
    <row r="114" spans="5:42" x14ac:dyDescent="0.25">
      <c r="E114" s="24" t="s">
        <v>273</v>
      </c>
      <c r="F114" s="24" t="s">
        <v>302</v>
      </c>
      <c r="G114">
        <v>17</v>
      </c>
      <c r="H114" t="s">
        <v>275</v>
      </c>
      <c r="I114" s="22" t="s">
        <v>304</v>
      </c>
      <c r="J114" s="22">
        <v>1072759601</v>
      </c>
      <c r="K114" t="s">
        <v>277</v>
      </c>
      <c r="L114" t="s">
        <v>306</v>
      </c>
      <c r="M114">
        <v>9</v>
      </c>
      <c r="N114">
        <v>18</v>
      </c>
      <c r="O114">
        <v>18</v>
      </c>
      <c r="P114" t="s">
        <v>279</v>
      </c>
      <c r="Q114" s="29">
        <v>4174.2299999999996</v>
      </c>
      <c r="R114">
        <v>75136</v>
      </c>
      <c r="S114">
        <v>20150108</v>
      </c>
      <c r="T114">
        <v>0</v>
      </c>
      <c r="U114">
        <v>0</v>
      </c>
      <c r="V114">
        <v>75136</v>
      </c>
      <c r="W114" t="s">
        <v>280</v>
      </c>
      <c r="X114" t="s">
        <v>281</v>
      </c>
      <c r="AP114" s="41"/>
    </row>
    <row r="115" spans="5:42" x14ac:dyDescent="0.25">
      <c r="E115" s="24" t="s">
        <v>273</v>
      </c>
      <c r="F115" s="24" t="s">
        <v>302</v>
      </c>
      <c r="G115">
        <v>18</v>
      </c>
      <c r="H115" t="s">
        <v>275</v>
      </c>
      <c r="I115" s="22" t="s">
        <v>304</v>
      </c>
      <c r="J115" s="22">
        <v>1076138201</v>
      </c>
      <c r="K115" t="s">
        <v>277</v>
      </c>
      <c r="L115" t="s">
        <v>306</v>
      </c>
      <c r="M115">
        <v>9</v>
      </c>
      <c r="N115">
        <v>6</v>
      </c>
      <c r="O115">
        <v>6</v>
      </c>
      <c r="P115" t="s">
        <v>279</v>
      </c>
      <c r="Q115" s="29">
        <v>4174.2299999999996</v>
      </c>
      <c r="R115">
        <v>25045</v>
      </c>
      <c r="S115">
        <v>20150119</v>
      </c>
      <c r="T115">
        <v>0</v>
      </c>
      <c r="U115">
        <v>0</v>
      </c>
      <c r="V115">
        <v>25045</v>
      </c>
      <c r="W115" t="s">
        <v>280</v>
      </c>
      <c r="X115" t="s">
        <v>281</v>
      </c>
      <c r="AP115" s="41"/>
    </row>
    <row r="116" spans="5:42" x14ac:dyDescent="0.25">
      <c r="E116" s="24" t="s">
        <v>273</v>
      </c>
      <c r="F116" s="24" t="s">
        <v>302</v>
      </c>
      <c r="G116">
        <v>19</v>
      </c>
      <c r="H116" t="s">
        <v>275</v>
      </c>
      <c r="I116" s="22" t="s">
        <v>304</v>
      </c>
      <c r="J116" s="22">
        <v>1075076101</v>
      </c>
      <c r="K116" t="s">
        <v>277</v>
      </c>
      <c r="L116" t="s">
        <v>306</v>
      </c>
      <c r="M116">
        <v>9</v>
      </c>
      <c r="N116">
        <v>8</v>
      </c>
      <c r="O116">
        <v>8</v>
      </c>
      <c r="P116" t="s">
        <v>279</v>
      </c>
      <c r="Q116" s="29">
        <v>4174.2299999999996</v>
      </c>
      <c r="R116">
        <v>33394</v>
      </c>
      <c r="S116">
        <v>20150114</v>
      </c>
      <c r="T116">
        <v>0</v>
      </c>
      <c r="U116">
        <v>0</v>
      </c>
      <c r="V116">
        <v>33394</v>
      </c>
      <c r="W116" t="s">
        <v>280</v>
      </c>
      <c r="X116" t="s">
        <v>281</v>
      </c>
      <c r="AP116" s="41"/>
    </row>
    <row r="117" spans="5:42" x14ac:dyDescent="0.25">
      <c r="E117" s="24" t="s">
        <v>273</v>
      </c>
      <c r="F117" s="24" t="s">
        <v>302</v>
      </c>
      <c r="G117">
        <v>20</v>
      </c>
      <c r="H117" t="s">
        <v>275</v>
      </c>
      <c r="I117" s="22" t="s">
        <v>304</v>
      </c>
      <c r="J117" s="22">
        <v>1073270501</v>
      </c>
      <c r="K117" t="s">
        <v>277</v>
      </c>
      <c r="L117" t="s">
        <v>306</v>
      </c>
      <c r="M117">
        <v>9</v>
      </c>
      <c r="N117">
        <v>10</v>
      </c>
      <c r="O117">
        <v>10</v>
      </c>
      <c r="P117" t="s">
        <v>279</v>
      </c>
      <c r="Q117" s="29">
        <v>4174.2299999999996</v>
      </c>
      <c r="R117">
        <v>41742</v>
      </c>
      <c r="S117">
        <v>20150109</v>
      </c>
      <c r="T117">
        <v>0</v>
      </c>
      <c r="U117">
        <v>0</v>
      </c>
      <c r="V117">
        <v>41742</v>
      </c>
      <c r="W117" t="s">
        <v>280</v>
      </c>
      <c r="X117" t="s">
        <v>281</v>
      </c>
      <c r="AP117" s="41"/>
    </row>
    <row r="118" spans="5:42" x14ac:dyDescent="0.25">
      <c r="E118" s="24" t="s">
        <v>273</v>
      </c>
      <c r="F118" s="24" t="s">
        <v>302</v>
      </c>
      <c r="G118">
        <v>21</v>
      </c>
      <c r="H118" t="s">
        <v>275</v>
      </c>
      <c r="I118" s="22" t="s">
        <v>304</v>
      </c>
      <c r="J118" s="22">
        <v>1072265301</v>
      </c>
      <c r="K118" t="s">
        <v>277</v>
      </c>
      <c r="L118" t="s">
        <v>306</v>
      </c>
      <c r="M118">
        <v>9</v>
      </c>
      <c r="N118">
        <v>6</v>
      </c>
      <c r="O118">
        <v>6</v>
      </c>
      <c r="P118" t="s">
        <v>279</v>
      </c>
      <c r="Q118" s="29">
        <v>4174.2299999999996</v>
      </c>
      <c r="R118">
        <v>25045</v>
      </c>
      <c r="S118">
        <v>20150107</v>
      </c>
      <c r="T118">
        <v>0</v>
      </c>
      <c r="U118">
        <v>0</v>
      </c>
      <c r="V118">
        <v>25045</v>
      </c>
      <c r="W118" t="s">
        <v>280</v>
      </c>
      <c r="X118" t="s">
        <v>281</v>
      </c>
      <c r="AP118" s="41"/>
    </row>
    <row r="119" spans="5:42" x14ac:dyDescent="0.25">
      <c r="E119" s="24" t="s">
        <v>273</v>
      </c>
      <c r="F119" s="24" t="s">
        <v>302</v>
      </c>
      <c r="G119">
        <v>22</v>
      </c>
      <c r="H119" t="s">
        <v>275</v>
      </c>
      <c r="I119" s="22" t="s">
        <v>304</v>
      </c>
      <c r="J119" s="22">
        <v>1073792201</v>
      </c>
      <c r="K119" t="s">
        <v>277</v>
      </c>
      <c r="L119" t="s">
        <v>306</v>
      </c>
      <c r="M119">
        <v>9</v>
      </c>
      <c r="N119">
        <v>6</v>
      </c>
      <c r="O119">
        <v>6</v>
      </c>
      <c r="P119" t="s">
        <v>279</v>
      </c>
      <c r="Q119" s="29">
        <v>4174.2299999999996</v>
      </c>
      <c r="R119">
        <v>25045</v>
      </c>
      <c r="S119">
        <v>20150112</v>
      </c>
      <c r="T119">
        <v>0</v>
      </c>
      <c r="U119">
        <v>0</v>
      </c>
      <c r="V119">
        <v>25045</v>
      </c>
      <c r="W119" t="s">
        <v>280</v>
      </c>
      <c r="X119" t="s">
        <v>281</v>
      </c>
      <c r="AP119" s="41"/>
    </row>
    <row r="120" spans="5:42" x14ac:dyDescent="0.25">
      <c r="E120" s="24" t="s">
        <v>273</v>
      </c>
      <c r="F120" s="24" t="s">
        <v>307</v>
      </c>
      <c r="G120">
        <v>1</v>
      </c>
      <c r="H120" t="s">
        <v>275</v>
      </c>
      <c r="I120" s="22" t="s">
        <v>304</v>
      </c>
      <c r="J120" s="22">
        <v>1075616701</v>
      </c>
      <c r="K120" t="s">
        <v>277</v>
      </c>
      <c r="L120" t="s">
        <v>306</v>
      </c>
      <c r="M120">
        <v>9</v>
      </c>
      <c r="N120">
        <v>10</v>
      </c>
      <c r="O120">
        <v>10</v>
      </c>
      <c r="P120" t="s">
        <v>279</v>
      </c>
      <c r="Q120" s="29">
        <v>4174.2299999999996</v>
      </c>
      <c r="R120">
        <v>41742</v>
      </c>
      <c r="S120">
        <v>20150115</v>
      </c>
      <c r="T120">
        <v>0</v>
      </c>
      <c r="U120">
        <v>0</v>
      </c>
      <c r="V120">
        <v>41742</v>
      </c>
      <c r="W120" t="s">
        <v>280</v>
      </c>
      <c r="X120" t="s">
        <v>281</v>
      </c>
      <c r="Y120">
        <v>3</v>
      </c>
      <c r="Z120">
        <v>661055</v>
      </c>
      <c r="AA120">
        <v>0</v>
      </c>
      <c r="AB120">
        <v>0</v>
      </c>
      <c r="AC120">
        <v>661055</v>
      </c>
      <c r="AP120" s="41"/>
    </row>
    <row r="121" spans="5:42" x14ac:dyDescent="0.25">
      <c r="E121" s="24" t="s">
        <v>273</v>
      </c>
      <c r="F121" s="24" t="s">
        <v>307</v>
      </c>
      <c r="G121">
        <v>2</v>
      </c>
      <c r="H121" t="s">
        <v>275</v>
      </c>
      <c r="I121" s="22" t="s">
        <v>308</v>
      </c>
      <c r="J121" s="22">
        <v>1071813501</v>
      </c>
      <c r="K121" t="s">
        <v>277</v>
      </c>
      <c r="L121" t="s">
        <v>309</v>
      </c>
      <c r="M121">
        <v>9</v>
      </c>
      <c r="N121">
        <v>2</v>
      </c>
      <c r="O121">
        <v>2</v>
      </c>
      <c r="P121" t="s">
        <v>279</v>
      </c>
      <c r="Q121" s="29">
        <v>4253.45</v>
      </c>
      <c r="R121">
        <v>8507</v>
      </c>
      <c r="S121">
        <v>20150106</v>
      </c>
      <c r="T121">
        <v>0</v>
      </c>
      <c r="U121">
        <v>0</v>
      </c>
      <c r="V121">
        <v>8507</v>
      </c>
      <c r="W121" t="s">
        <v>280</v>
      </c>
      <c r="X121" t="s">
        <v>281</v>
      </c>
      <c r="AP121" s="41"/>
    </row>
    <row r="122" spans="5:42" x14ac:dyDescent="0.25">
      <c r="E122" s="24" t="s">
        <v>273</v>
      </c>
      <c r="F122" s="24" t="s">
        <v>307</v>
      </c>
      <c r="G122">
        <v>3</v>
      </c>
      <c r="H122" t="s">
        <v>275</v>
      </c>
      <c r="I122" s="22" t="s">
        <v>308</v>
      </c>
      <c r="J122" s="22">
        <v>1075616901</v>
      </c>
      <c r="K122" t="s">
        <v>277</v>
      </c>
      <c r="L122" t="s">
        <v>309</v>
      </c>
      <c r="M122">
        <v>9</v>
      </c>
      <c r="N122">
        <v>6</v>
      </c>
      <c r="O122">
        <v>6</v>
      </c>
      <c r="P122" t="s">
        <v>279</v>
      </c>
      <c r="Q122" s="29">
        <v>4253.45</v>
      </c>
      <c r="R122">
        <v>25521</v>
      </c>
      <c r="S122">
        <v>20150115</v>
      </c>
      <c r="T122">
        <v>0</v>
      </c>
      <c r="U122">
        <v>0</v>
      </c>
      <c r="V122">
        <v>25521</v>
      </c>
      <c r="W122" t="s">
        <v>280</v>
      </c>
      <c r="X122" t="s">
        <v>281</v>
      </c>
      <c r="AP122" s="41"/>
    </row>
    <row r="123" spans="5:42" x14ac:dyDescent="0.25">
      <c r="E123" s="24" t="s">
        <v>273</v>
      </c>
      <c r="F123" s="24" t="s">
        <v>307</v>
      </c>
      <c r="G123">
        <v>4</v>
      </c>
      <c r="H123" t="s">
        <v>275</v>
      </c>
      <c r="I123" s="22" t="s">
        <v>308</v>
      </c>
      <c r="J123" s="22">
        <v>1073271001</v>
      </c>
      <c r="K123" t="s">
        <v>277</v>
      </c>
      <c r="L123" t="s">
        <v>309</v>
      </c>
      <c r="M123">
        <v>9</v>
      </c>
      <c r="N123">
        <v>2</v>
      </c>
      <c r="O123">
        <v>2</v>
      </c>
      <c r="P123" t="s">
        <v>279</v>
      </c>
      <c r="Q123" s="29">
        <v>4253.45</v>
      </c>
      <c r="R123">
        <v>8507</v>
      </c>
      <c r="S123">
        <v>20150109</v>
      </c>
      <c r="T123">
        <v>0</v>
      </c>
      <c r="U123">
        <v>0</v>
      </c>
      <c r="V123">
        <v>8507</v>
      </c>
      <c r="W123" t="s">
        <v>280</v>
      </c>
      <c r="X123" t="s">
        <v>281</v>
      </c>
      <c r="AP123" s="41"/>
    </row>
    <row r="124" spans="5:42" x14ac:dyDescent="0.25">
      <c r="E124" s="24" t="s">
        <v>273</v>
      </c>
      <c r="F124" s="24" t="s">
        <v>307</v>
      </c>
      <c r="G124">
        <v>5</v>
      </c>
      <c r="H124" t="s">
        <v>275</v>
      </c>
      <c r="I124" s="22" t="s">
        <v>308</v>
      </c>
      <c r="J124" s="22">
        <v>1072265501</v>
      </c>
      <c r="K124" t="s">
        <v>277</v>
      </c>
      <c r="L124" t="s">
        <v>309</v>
      </c>
      <c r="M124">
        <v>9</v>
      </c>
      <c r="N124">
        <v>2</v>
      </c>
      <c r="O124">
        <v>2</v>
      </c>
      <c r="P124" t="s">
        <v>279</v>
      </c>
      <c r="Q124" s="29">
        <v>4253.45</v>
      </c>
      <c r="R124">
        <v>8507</v>
      </c>
      <c r="S124">
        <v>20150107</v>
      </c>
      <c r="T124">
        <v>0</v>
      </c>
      <c r="U124">
        <v>0</v>
      </c>
      <c r="V124">
        <v>8507</v>
      </c>
      <c r="W124" t="s">
        <v>280</v>
      </c>
      <c r="X124" t="s">
        <v>281</v>
      </c>
      <c r="AP124" s="41"/>
    </row>
    <row r="125" spans="5:42" x14ac:dyDescent="0.25">
      <c r="E125" s="24" t="s">
        <v>273</v>
      </c>
      <c r="F125" s="24" t="s">
        <v>307</v>
      </c>
      <c r="G125">
        <v>6</v>
      </c>
      <c r="H125" t="s">
        <v>275</v>
      </c>
      <c r="I125" s="22" t="s">
        <v>308</v>
      </c>
      <c r="J125" s="22">
        <v>1071046401</v>
      </c>
      <c r="K125" t="s">
        <v>277</v>
      </c>
      <c r="L125" t="s">
        <v>310</v>
      </c>
      <c r="M125">
        <v>9</v>
      </c>
      <c r="N125">
        <v>22</v>
      </c>
      <c r="O125">
        <v>22</v>
      </c>
      <c r="P125" t="s">
        <v>279</v>
      </c>
      <c r="Q125" s="29">
        <v>4348.68</v>
      </c>
      <c r="R125">
        <v>95671</v>
      </c>
      <c r="S125">
        <v>20150105</v>
      </c>
      <c r="T125">
        <v>0</v>
      </c>
      <c r="U125">
        <v>0</v>
      </c>
      <c r="V125">
        <v>95671</v>
      </c>
      <c r="W125" t="s">
        <v>280</v>
      </c>
      <c r="X125" t="s">
        <v>281</v>
      </c>
      <c r="AP125" s="41"/>
    </row>
    <row r="126" spans="5:42" x14ac:dyDescent="0.25">
      <c r="E126" s="24" t="s">
        <v>273</v>
      </c>
      <c r="F126" s="24" t="s">
        <v>307</v>
      </c>
      <c r="G126">
        <v>7</v>
      </c>
      <c r="H126" t="s">
        <v>275</v>
      </c>
      <c r="I126" s="22" t="s">
        <v>308</v>
      </c>
      <c r="J126" s="22">
        <v>1075617101</v>
      </c>
      <c r="K126" t="s">
        <v>277</v>
      </c>
      <c r="L126" t="s">
        <v>310</v>
      </c>
      <c r="M126">
        <v>9</v>
      </c>
      <c r="N126">
        <v>10</v>
      </c>
      <c r="O126">
        <v>10</v>
      </c>
      <c r="P126" t="s">
        <v>279</v>
      </c>
      <c r="Q126" s="29">
        <v>4348.68</v>
      </c>
      <c r="R126">
        <v>43487</v>
      </c>
      <c r="S126">
        <v>20150115</v>
      </c>
      <c r="T126">
        <v>0</v>
      </c>
      <c r="U126">
        <v>0</v>
      </c>
      <c r="V126">
        <v>43487</v>
      </c>
      <c r="W126" t="s">
        <v>280</v>
      </c>
      <c r="X126" t="s">
        <v>281</v>
      </c>
      <c r="AD126" s="39"/>
      <c r="AP126" s="41"/>
    </row>
    <row r="127" spans="5:42" x14ac:dyDescent="0.25">
      <c r="E127" s="24" t="s">
        <v>273</v>
      </c>
      <c r="F127" s="24" t="s">
        <v>307</v>
      </c>
      <c r="G127">
        <v>8</v>
      </c>
      <c r="H127" t="s">
        <v>275</v>
      </c>
      <c r="I127" s="22" t="s">
        <v>308</v>
      </c>
      <c r="J127" s="22">
        <v>1072760001</v>
      </c>
      <c r="K127" t="s">
        <v>277</v>
      </c>
      <c r="L127" t="s">
        <v>310</v>
      </c>
      <c r="M127">
        <v>9</v>
      </c>
      <c r="N127">
        <v>4</v>
      </c>
      <c r="O127">
        <v>4</v>
      </c>
      <c r="P127" t="s">
        <v>279</v>
      </c>
      <c r="Q127" s="29">
        <v>4348.68</v>
      </c>
      <c r="R127">
        <v>17395</v>
      </c>
      <c r="S127">
        <v>20150108</v>
      </c>
      <c r="T127">
        <v>0</v>
      </c>
      <c r="U127">
        <v>0</v>
      </c>
      <c r="V127">
        <v>17395</v>
      </c>
      <c r="W127" t="s">
        <v>280</v>
      </c>
      <c r="X127" t="s">
        <v>281</v>
      </c>
      <c r="AD127" s="39"/>
      <c r="AP127" s="41"/>
    </row>
    <row r="128" spans="5:42" x14ac:dyDescent="0.25">
      <c r="E128" s="24" t="s">
        <v>273</v>
      </c>
      <c r="F128" s="24" t="s">
        <v>307</v>
      </c>
      <c r="G128">
        <v>9</v>
      </c>
      <c r="H128" t="s">
        <v>275</v>
      </c>
      <c r="I128" s="22" t="s">
        <v>308</v>
      </c>
      <c r="J128" s="22">
        <v>1075075701</v>
      </c>
      <c r="K128" t="s">
        <v>277</v>
      </c>
      <c r="L128" t="s">
        <v>310</v>
      </c>
      <c r="M128">
        <v>9</v>
      </c>
      <c r="N128">
        <v>8</v>
      </c>
      <c r="O128">
        <v>8</v>
      </c>
      <c r="P128" t="s">
        <v>279</v>
      </c>
      <c r="Q128" s="29">
        <v>4348.68</v>
      </c>
      <c r="R128">
        <v>34789</v>
      </c>
      <c r="S128">
        <v>20150114</v>
      </c>
      <c r="T128">
        <v>0</v>
      </c>
      <c r="U128">
        <v>0</v>
      </c>
      <c r="V128">
        <v>34789</v>
      </c>
      <c r="W128" t="s">
        <v>280</v>
      </c>
      <c r="X128" t="s">
        <v>281</v>
      </c>
      <c r="AD128" s="15"/>
      <c r="AP128" s="41"/>
    </row>
    <row r="129" spans="5:42" x14ac:dyDescent="0.25">
      <c r="E129" s="24" t="s">
        <v>273</v>
      </c>
      <c r="F129" s="24" t="s">
        <v>307</v>
      </c>
      <c r="G129">
        <v>10</v>
      </c>
      <c r="H129" t="s">
        <v>275</v>
      </c>
      <c r="I129" s="22" t="s">
        <v>308</v>
      </c>
      <c r="J129" s="22">
        <v>1071813701</v>
      </c>
      <c r="K129" t="s">
        <v>277</v>
      </c>
      <c r="L129" t="s">
        <v>310</v>
      </c>
      <c r="M129">
        <v>9</v>
      </c>
      <c r="N129">
        <v>6</v>
      </c>
      <c r="O129">
        <v>6</v>
      </c>
      <c r="P129" t="s">
        <v>279</v>
      </c>
      <c r="Q129" s="29">
        <v>4348.68</v>
      </c>
      <c r="R129">
        <v>26092</v>
      </c>
      <c r="S129">
        <v>20150106</v>
      </c>
      <c r="T129">
        <v>0</v>
      </c>
      <c r="U129">
        <v>0</v>
      </c>
      <c r="V129">
        <v>26092</v>
      </c>
      <c r="W129" t="s">
        <v>280</v>
      </c>
      <c r="X129" t="s">
        <v>281</v>
      </c>
      <c r="AP129" s="41"/>
    </row>
    <row r="130" spans="5:42" x14ac:dyDescent="0.25">
      <c r="E130" s="24" t="s">
        <v>273</v>
      </c>
      <c r="F130" s="24" t="s">
        <v>307</v>
      </c>
      <c r="G130">
        <v>11</v>
      </c>
      <c r="H130" t="s">
        <v>275</v>
      </c>
      <c r="I130" s="22" t="s">
        <v>308</v>
      </c>
      <c r="J130" s="22">
        <v>1074547901</v>
      </c>
      <c r="K130" t="s">
        <v>277</v>
      </c>
      <c r="L130" t="s">
        <v>310</v>
      </c>
      <c r="M130">
        <v>9</v>
      </c>
      <c r="N130">
        <v>4</v>
      </c>
      <c r="O130">
        <v>4</v>
      </c>
      <c r="P130" t="s">
        <v>279</v>
      </c>
      <c r="Q130" s="29">
        <v>4348.68</v>
      </c>
      <c r="R130">
        <v>17395</v>
      </c>
      <c r="S130">
        <v>20150113</v>
      </c>
      <c r="T130">
        <v>0</v>
      </c>
      <c r="U130">
        <v>0</v>
      </c>
      <c r="V130">
        <v>17395</v>
      </c>
      <c r="W130" t="s">
        <v>280</v>
      </c>
      <c r="X130" t="s">
        <v>281</v>
      </c>
      <c r="AP130" s="41"/>
    </row>
    <row r="131" spans="5:42" x14ac:dyDescent="0.25">
      <c r="E131" s="24" t="s">
        <v>273</v>
      </c>
      <c r="F131" s="24" t="s">
        <v>307</v>
      </c>
      <c r="G131">
        <v>12</v>
      </c>
      <c r="H131" t="s">
        <v>275</v>
      </c>
      <c r="I131" s="22" t="s">
        <v>308</v>
      </c>
      <c r="J131" s="22">
        <v>1072759901</v>
      </c>
      <c r="K131" t="s">
        <v>277</v>
      </c>
      <c r="L131" t="s">
        <v>311</v>
      </c>
      <c r="M131">
        <v>9</v>
      </c>
      <c r="N131">
        <v>14</v>
      </c>
      <c r="O131">
        <v>14</v>
      </c>
      <c r="P131" t="s">
        <v>279</v>
      </c>
      <c r="Q131" s="29">
        <v>4429.41</v>
      </c>
      <c r="R131">
        <v>62012</v>
      </c>
      <c r="S131">
        <v>20150108</v>
      </c>
      <c r="T131">
        <v>0</v>
      </c>
      <c r="U131">
        <v>0</v>
      </c>
      <c r="V131">
        <v>62012</v>
      </c>
      <c r="W131" t="s">
        <v>280</v>
      </c>
      <c r="X131" t="s">
        <v>281</v>
      </c>
      <c r="AP131" s="41"/>
    </row>
    <row r="132" spans="5:42" x14ac:dyDescent="0.25">
      <c r="E132" s="24" t="s">
        <v>273</v>
      </c>
      <c r="F132" s="24" t="s">
        <v>307</v>
      </c>
      <c r="G132">
        <v>13</v>
      </c>
      <c r="H132" t="s">
        <v>275</v>
      </c>
      <c r="I132" s="22" t="s">
        <v>308</v>
      </c>
      <c r="J132" s="22">
        <v>1073792301</v>
      </c>
      <c r="K132" t="s">
        <v>277</v>
      </c>
      <c r="L132" t="s">
        <v>311</v>
      </c>
      <c r="M132">
        <v>9</v>
      </c>
      <c r="N132">
        <v>12</v>
      </c>
      <c r="O132">
        <v>12</v>
      </c>
      <c r="P132" t="s">
        <v>279</v>
      </c>
      <c r="Q132" s="29">
        <v>4429.41</v>
      </c>
      <c r="R132">
        <v>53153</v>
      </c>
      <c r="S132">
        <v>20150112</v>
      </c>
      <c r="T132">
        <v>0</v>
      </c>
      <c r="U132">
        <v>0</v>
      </c>
      <c r="V132">
        <v>53153</v>
      </c>
      <c r="W132" t="s">
        <v>280</v>
      </c>
      <c r="X132" t="s">
        <v>281</v>
      </c>
      <c r="AD132" s="39"/>
      <c r="AP132" s="41"/>
    </row>
    <row r="133" spans="5:42" x14ac:dyDescent="0.25">
      <c r="E133" s="24" t="s">
        <v>273</v>
      </c>
      <c r="F133" s="24" t="s">
        <v>307</v>
      </c>
      <c r="G133">
        <v>14</v>
      </c>
      <c r="H133" t="s">
        <v>275</v>
      </c>
      <c r="I133" s="22" t="s">
        <v>308</v>
      </c>
      <c r="J133" s="22">
        <v>1075075801</v>
      </c>
      <c r="K133" t="s">
        <v>277</v>
      </c>
      <c r="L133" t="s">
        <v>311</v>
      </c>
      <c r="M133">
        <v>9</v>
      </c>
      <c r="N133">
        <v>6</v>
      </c>
      <c r="O133">
        <v>6</v>
      </c>
      <c r="P133" t="s">
        <v>279</v>
      </c>
      <c r="Q133" s="29">
        <v>4429.41</v>
      </c>
      <c r="R133">
        <v>26576</v>
      </c>
      <c r="S133">
        <v>20150114</v>
      </c>
      <c r="T133">
        <v>0</v>
      </c>
      <c r="U133">
        <v>0</v>
      </c>
      <c r="V133">
        <v>26576</v>
      </c>
      <c r="W133" t="s">
        <v>280</v>
      </c>
      <c r="X133" t="s">
        <v>281</v>
      </c>
      <c r="AD133" s="39"/>
      <c r="AP133" s="41"/>
    </row>
    <row r="134" spans="5:42" x14ac:dyDescent="0.25">
      <c r="E134" s="24" t="s">
        <v>273</v>
      </c>
      <c r="F134" s="24" t="s">
        <v>307</v>
      </c>
      <c r="G134">
        <v>15</v>
      </c>
      <c r="H134" t="s">
        <v>275</v>
      </c>
      <c r="I134" s="22" t="s">
        <v>308</v>
      </c>
      <c r="J134" s="22">
        <v>1073270901</v>
      </c>
      <c r="K134" t="s">
        <v>277</v>
      </c>
      <c r="L134" t="s">
        <v>311</v>
      </c>
      <c r="M134">
        <v>9</v>
      </c>
      <c r="N134">
        <v>2</v>
      </c>
      <c r="O134">
        <v>2</v>
      </c>
      <c r="P134" t="s">
        <v>279</v>
      </c>
      <c r="Q134" s="29">
        <v>4429.41</v>
      </c>
      <c r="R134">
        <v>8859</v>
      </c>
      <c r="S134">
        <v>20150109</v>
      </c>
      <c r="T134">
        <v>0</v>
      </c>
      <c r="U134">
        <v>0</v>
      </c>
      <c r="V134">
        <v>8859</v>
      </c>
      <c r="W134" t="s">
        <v>280</v>
      </c>
      <c r="X134" t="s">
        <v>281</v>
      </c>
      <c r="AD134" s="39"/>
      <c r="AP134" s="41"/>
    </row>
    <row r="135" spans="5:42" x14ac:dyDescent="0.25">
      <c r="E135" s="24" t="s">
        <v>273</v>
      </c>
      <c r="F135" s="24" t="s">
        <v>307</v>
      </c>
      <c r="G135">
        <v>16</v>
      </c>
      <c r="H135" t="s">
        <v>275</v>
      </c>
      <c r="I135" s="22" t="s">
        <v>308</v>
      </c>
      <c r="J135" s="22">
        <v>1074547801</v>
      </c>
      <c r="K135" t="s">
        <v>277</v>
      </c>
      <c r="L135" t="s">
        <v>311</v>
      </c>
      <c r="M135">
        <v>9</v>
      </c>
      <c r="N135">
        <v>6</v>
      </c>
      <c r="O135">
        <v>6</v>
      </c>
      <c r="P135" t="s">
        <v>279</v>
      </c>
      <c r="Q135" s="29">
        <v>4429.41</v>
      </c>
      <c r="R135">
        <v>26576</v>
      </c>
      <c r="S135">
        <v>20150113</v>
      </c>
      <c r="T135">
        <v>0</v>
      </c>
      <c r="U135">
        <v>0</v>
      </c>
      <c r="V135">
        <v>26576</v>
      </c>
      <c r="W135" t="s">
        <v>280</v>
      </c>
      <c r="X135" t="s">
        <v>281</v>
      </c>
      <c r="AP135" s="41"/>
    </row>
    <row r="136" spans="5:42" x14ac:dyDescent="0.25">
      <c r="E136" s="24" t="s">
        <v>273</v>
      </c>
      <c r="F136" s="24" t="s">
        <v>307</v>
      </c>
      <c r="G136">
        <v>17</v>
      </c>
      <c r="H136" t="s">
        <v>275</v>
      </c>
      <c r="I136" s="22" t="s">
        <v>308</v>
      </c>
      <c r="J136" s="22">
        <v>1074547701</v>
      </c>
      <c r="K136" t="s">
        <v>277</v>
      </c>
      <c r="L136" t="s">
        <v>312</v>
      </c>
      <c r="M136">
        <v>9</v>
      </c>
      <c r="N136">
        <v>4</v>
      </c>
      <c r="O136">
        <v>4</v>
      </c>
      <c r="P136" t="s">
        <v>279</v>
      </c>
      <c r="Q136" s="29">
        <v>3607.84</v>
      </c>
      <c r="R136">
        <v>14431</v>
      </c>
      <c r="S136">
        <v>20150113</v>
      </c>
      <c r="T136">
        <v>0</v>
      </c>
      <c r="U136">
        <v>0</v>
      </c>
      <c r="V136">
        <v>14431</v>
      </c>
      <c r="W136" t="s">
        <v>280</v>
      </c>
      <c r="X136" t="s">
        <v>281</v>
      </c>
      <c r="AP136" s="41"/>
    </row>
    <row r="137" spans="5:42" x14ac:dyDescent="0.25">
      <c r="E137" s="24" t="s">
        <v>273</v>
      </c>
      <c r="F137" s="24" t="s">
        <v>307</v>
      </c>
      <c r="G137">
        <v>18</v>
      </c>
      <c r="H137" t="s">
        <v>275</v>
      </c>
      <c r="I137" s="22" t="s">
        <v>308</v>
      </c>
      <c r="J137" s="22">
        <v>1075617201</v>
      </c>
      <c r="K137" t="s">
        <v>277</v>
      </c>
      <c r="L137" t="s">
        <v>312</v>
      </c>
      <c r="M137">
        <v>9</v>
      </c>
      <c r="N137">
        <v>18</v>
      </c>
      <c r="O137">
        <v>18</v>
      </c>
      <c r="P137" t="s">
        <v>279</v>
      </c>
      <c r="Q137" s="29">
        <v>3607.84</v>
      </c>
      <c r="R137">
        <v>64941</v>
      </c>
      <c r="S137">
        <v>20150115</v>
      </c>
      <c r="T137">
        <v>0</v>
      </c>
      <c r="U137">
        <v>0</v>
      </c>
      <c r="V137">
        <v>64941</v>
      </c>
      <c r="W137" t="s">
        <v>280</v>
      </c>
      <c r="X137" t="s">
        <v>281</v>
      </c>
      <c r="AP137" s="41"/>
    </row>
    <row r="138" spans="5:42" x14ac:dyDescent="0.25">
      <c r="E138" s="24" t="s">
        <v>273</v>
      </c>
      <c r="F138" s="24" t="s">
        <v>307</v>
      </c>
      <c r="G138">
        <v>19</v>
      </c>
      <c r="H138" t="s">
        <v>275</v>
      </c>
      <c r="I138" s="22" t="s">
        <v>308</v>
      </c>
      <c r="J138" s="22">
        <v>1071046301</v>
      </c>
      <c r="K138" t="s">
        <v>277</v>
      </c>
      <c r="L138" t="s">
        <v>313</v>
      </c>
      <c r="M138">
        <v>9</v>
      </c>
      <c r="N138">
        <v>12</v>
      </c>
      <c r="O138">
        <v>12</v>
      </c>
      <c r="P138" t="s">
        <v>279</v>
      </c>
      <c r="Q138" s="29">
        <v>4103.68</v>
      </c>
      <c r="R138">
        <v>49244</v>
      </c>
      <c r="S138">
        <v>20150105</v>
      </c>
      <c r="T138">
        <v>0</v>
      </c>
      <c r="U138">
        <v>0</v>
      </c>
      <c r="V138">
        <v>49244</v>
      </c>
      <c r="W138" t="s">
        <v>280</v>
      </c>
      <c r="X138" t="s">
        <v>281</v>
      </c>
      <c r="AP138" s="41"/>
    </row>
    <row r="139" spans="5:42" x14ac:dyDescent="0.25">
      <c r="E139" s="24" t="s">
        <v>273</v>
      </c>
      <c r="F139" s="24" t="s">
        <v>307</v>
      </c>
      <c r="G139">
        <v>20</v>
      </c>
      <c r="H139" t="s">
        <v>275</v>
      </c>
      <c r="I139" s="22" t="s">
        <v>308</v>
      </c>
      <c r="J139" s="22">
        <v>1074547601</v>
      </c>
      <c r="K139" t="s">
        <v>277</v>
      </c>
      <c r="L139" t="s">
        <v>313</v>
      </c>
      <c r="M139">
        <v>9</v>
      </c>
      <c r="N139">
        <v>2</v>
      </c>
      <c r="O139">
        <v>2</v>
      </c>
      <c r="P139" t="s">
        <v>279</v>
      </c>
      <c r="Q139" s="29">
        <v>4103.68</v>
      </c>
      <c r="R139">
        <v>8207</v>
      </c>
      <c r="S139">
        <v>20150113</v>
      </c>
      <c r="T139">
        <v>0</v>
      </c>
      <c r="U139">
        <v>0</v>
      </c>
      <c r="V139">
        <v>8207</v>
      </c>
      <c r="W139" t="s">
        <v>280</v>
      </c>
      <c r="X139" t="s">
        <v>281</v>
      </c>
      <c r="AP139" s="41"/>
    </row>
    <row r="140" spans="5:42" x14ac:dyDescent="0.25">
      <c r="E140" s="24" t="s">
        <v>273</v>
      </c>
      <c r="F140" s="24" t="s">
        <v>307</v>
      </c>
      <c r="G140">
        <v>21</v>
      </c>
      <c r="H140" t="s">
        <v>275</v>
      </c>
      <c r="I140" s="22" t="s">
        <v>308</v>
      </c>
      <c r="J140" s="22">
        <v>1071813801</v>
      </c>
      <c r="K140" t="s">
        <v>277</v>
      </c>
      <c r="L140" t="s">
        <v>313</v>
      </c>
      <c r="M140">
        <v>9</v>
      </c>
      <c r="N140">
        <v>4</v>
      </c>
      <c r="O140">
        <v>4</v>
      </c>
      <c r="P140" t="s">
        <v>279</v>
      </c>
      <c r="Q140" s="29">
        <v>4103.68</v>
      </c>
      <c r="R140">
        <v>16415</v>
      </c>
      <c r="S140">
        <v>20150106</v>
      </c>
      <c r="T140">
        <v>0</v>
      </c>
      <c r="U140">
        <v>0</v>
      </c>
      <c r="V140">
        <v>16415</v>
      </c>
      <c r="W140" t="s">
        <v>280</v>
      </c>
      <c r="X140" t="s">
        <v>281</v>
      </c>
      <c r="AD140" s="39"/>
      <c r="AP140" s="41"/>
    </row>
    <row r="141" spans="5:42" x14ac:dyDescent="0.25">
      <c r="E141" s="24" t="s">
        <v>273</v>
      </c>
      <c r="F141" s="24" t="s">
        <v>307</v>
      </c>
      <c r="G141">
        <v>22</v>
      </c>
      <c r="H141" t="s">
        <v>275</v>
      </c>
      <c r="I141" s="22" t="s">
        <v>287</v>
      </c>
      <c r="J141" s="22">
        <v>1071046201</v>
      </c>
      <c r="K141" t="s">
        <v>277</v>
      </c>
      <c r="L141" t="s">
        <v>314</v>
      </c>
      <c r="M141">
        <v>9</v>
      </c>
      <c r="N141">
        <v>32</v>
      </c>
      <c r="O141">
        <v>32</v>
      </c>
      <c r="P141" t="s">
        <v>279</v>
      </c>
      <c r="Q141" s="29">
        <v>94.64</v>
      </c>
      <c r="R141">
        <v>3028</v>
      </c>
      <c r="S141">
        <v>20150105</v>
      </c>
      <c r="T141">
        <v>0</v>
      </c>
      <c r="U141">
        <v>0</v>
      </c>
      <c r="V141">
        <v>3028</v>
      </c>
      <c r="W141" t="s">
        <v>280</v>
      </c>
      <c r="X141" t="s">
        <v>281</v>
      </c>
      <c r="AD141" s="39"/>
      <c r="AP141" s="41"/>
    </row>
    <row r="142" spans="5:42" x14ac:dyDescent="0.25">
      <c r="E142" s="24" t="s">
        <v>273</v>
      </c>
      <c r="F142" s="24" t="s">
        <v>315</v>
      </c>
      <c r="G142">
        <v>1</v>
      </c>
      <c r="H142" t="s">
        <v>275</v>
      </c>
      <c r="I142" s="22" t="s">
        <v>287</v>
      </c>
      <c r="J142" s="22">
        <v>1075617401</v>
      </c>
      <c r="K142" t="s">
        <v>277</v>
      </c>
      <c r="L142" t="s">
        <v>314</v>
      </c>
      <c r="M142">
        <v>9</v>
      </c>
      <c r="N142">
        <v>32</v>
      </c>
      <c r="O142">
        <v>32</v>
      </c>
      <c r="P142" t="s">
        <v>279</v>
      </c>
      <c r="Q142" s="29">
        <v>94.64</v>
      </c>
      <c r="R142">
        <v>3028</v>
      </c>
      <c r="S142">
        <v>20150115</v>
      </c>
      <c r="T142">
        <v>0</v>
      </c>
      <c r="U142">
        <v>0</v>
      </c>
      <c r="V142">
        <v>3028</v>
      </c>
      <c r="W142" t="s">
        <v>280</v>
      </c>
      <c r="X142" t="s">
        <v>281</v>
      </c>
      <c r="Y142">
        <v>3</v>
      </c>
      <c r="Z142">
        <v>272986</v>
      </c>
      <c r="AA142">
        <v>0</v>
      </c>
      <c r="AB142">
        <v>0</v>
      </c>
      <c r="AC142">
        <v>272986</v>
      </c>
      <c r="AP142" s="41"/>
    </row>
    <row r="143" spans="5:42" x14ac:dyDescent="0.25">
      <c r="E143" s="24" t="s">
        <v>273</v>
      </c>
      <c r="F143" s="24" t="s">
        <v>315</v>
      </c>
      <c r="G143">
        <v>2</v>
      </c>
      <c r="H143" t="s">
        <v>275</v>
      </c>
      <c r="I143" s="22" t="s">
        <v>287</v>
      </c>
      <c r="J143" s="22">
        <v>1074547501</v>
      </c>
      <c r="K143" t="s">
        <v>277</v>
      </c>
      <c r="L143" t="s">
        <v>314</v>
      </c>
      <c r="M143">
        <v>9</v>
      </c>
      <c r="N143">
        <v>32</v>
      </c>
      <c r="O143">
        <v>32</v>
      </c>
      <c r="P143" t="s">
        <v>279</v>
      </c>
      <c r="Q143" s="29">
        <v>94.64</v>
      </c>
      <c r="R143">
        <v>3028</v>
      </c>
      <c r="S143">
        <v>20150113</v>
      </c>
      <c r="T143">
        <v>0</v>
      </c>
      <c r="U143">
        <v>0</v>
      </c>
      <c r="V143">
        <v>3028</v>
      </c>
      <c r="W143" t="s">
        <v>280</v>
      </c>
      <c r="X143" t="s">
        <v>281</v>
      </c>
      <c r="AP143" s="41"/>
    </row>
    <row r="144" spans="5:42" x14ac:dyDescent="0.25">
      <c r="E144" s="24" t="s">
        <v>273</v>
      </c>
      <c r="F144" s="24" t="s">
        <v>315</v>
      </c>
      <c r="G144">
        <v>3</v>
      </c>
      <c r="H144" t="s">
        <v>275</v>
      </c>
      <c r="I144" s="22" t="s">
        <v>287</v>
      </c>
      <c r="J144" s="22">
        <v>1072759401</v>
      </c>
      <c r="K144" t="s">
        <v>277</v>
      </c>
      <c r="L144" t="s">
        <v>314</v>
      </c>
      <c r="M144">
        <v>9</v>
      </c>
      <c r="N144">
        <v>32</v>
      </c>
      <c r="O144">
        <v>32</v>
      </c>
      <c r="P144" t="s">
        <v>279</v>
      </c>
      <c r="Q144" s="29">
        <v>94.64</v>
      </c>
      <c r="R144">
        <v>3028</v>
      </c>
      <c r="S144">
        <v>20150108</v>
      </c>
      <c r="T144">
        <v>0</v>
      </c>
      <c r="U144">
        <v>0</v>
      </c>
      <c r="V144">
        <v>3028</v>
      </c>
      <c r="W144" t="s">
        <v>280</v>
      </c>
      <c r="X144" t="s">
        <v>281</v>
      </c>
      <c r="AP144" s="41"/>
    </row>
    <row r="145" spans="5:42" x14ac:dyDescent="0.25">
      <c r="E145" s="24" t="s">
        <v>273</v>
      </c>
      <c r="F145" s="24" t="s">
        <v>315</v>
      </c>
      <c r="G145">
        <v>4</v>
      </c>
      <c r="H145" t="s">
        <v>275</v>
      </c>
      <c r="I145" s="22" t="s">
        <v>287</v>
      </c>
      <c r="J145" s="22">
        <v>1071813901</v>
      </c>
      <c r="K145" t="s">
        <v>277</v>
      </c>
      <c r="L145" t="s">
        <v>314</v>
      </c>
      <c r="M145">
        <v>9</v>
      </c>
      <c r="N145">
        <v>32</v>
      </c>
      <c r="O145">
        <v>32</v>
      </c>
      <c r="P145" t="s">
        <v>279</v>
      </c>
      <c r="Q145" s="29">
        <v>94.64</v>
      </c>
      <c r="R145">
        <v>3028</v>
      </c>
      <c r="S145">
        <v>20150106</v>
      </c>
      <c r="T145">
        <v>0</v>
      </c>
      <c r="U145">
        <v>0</v>
      </c>
      <c r="V145">
        <v>3028</v>
      </c>
      <c r="W145" t="s">
        <v>280</v>
      </c>
      <c r="X145" t="s">
        <v>281</v>
      </c>
      <c r="AP145" s="41"/>
    </row>
    <row r="146" spans="5:42" x14ac:dyDescent="0.25">
      <c r="E146" s="24" t="s">
        <v>273</v>
      </c>
      <c r="F146" s="24" t="s">
        <v>315</v>
      </c>
      <c r="G146">
        <v>5</v>
      </c>
      <c r="H146" t="s">
        <v>275</v>
      </c>
      <c r="I146" s="22" t="s">
        <v>287</v>
      </c>
      <c r="J146" s="22">
        <v>1072759301</v>
      </c>
      <c r="K146" t="s">
        <v>277</v>
      </c>
      <c r="L146" t="s">
        <v>314</v>
      </c>
      <c r="M146">
        <v>9</v>
      </c>
      <c r="N146">
        <v>32</v>
      </c>
      <c r="O146">
        <v>32</v>
      </c>
      <c r="P146" t="s">
        <v>279</v>
      </c>
      <c r="Q146" s="29">
        <v>94.64</v>
      </c>
      <c r="R146">
        <v>3028</v>
      </c>
      <c r="S146">
        <v>20150108</v>
      </c>
      <c r="T146">
        <v>0</v>
      </c>
      <c r="U146">
        <v>0</v>
      </c>
      <c r="V146">
        <v>3028</v>
      </c>
      <c r="W146" t="s">
        <v>280</v>
      </c>
      <c r="X146" t="s">
        <v>281</v>
      </c>
      <c r="AP146" s="41"/>
    </row>
    <row r="147" spans="5:42" x14ac:dyDescent="0.25">
      <c r="E147" s="24" t="s">
        <v>273</v>
      </c>
      <c r="F147" s="24" t="s">
        <v>315</v>
      </c>
      <c r="G147">
        <v>6</v>
      </c>
      <c r="H147" t="s">
        <v>275</v>
      </c>
      <c r="I147" s="22" t="s">
        <v>287</v>
      </c>
      <c r="J147" s="22">
        <v>1075076201</v>
      </c>
      <c r="K147" t="s">
        <v>277</v>
      </c>
      <c r="L147" t="s">
        <v>314</v>
      </c>
      <c r="M147">
        <v>9</v>
      </c>
      <c r="N147">
        <v>32</v>
      </c>
      <c r="O147">
        <v>32</v>
      </c>
      <c r="P147" t="s">
        <v>279</v>
      </c>
      <c r="Q147" s="29">
        <v>94.64</v>
      </c>
      <c r="R147">
        <v>3028</v>
      </c>
      <c r="S147">
        <v>20150114</v>
      </c>
      <c r="T147">
        <v>0</v>
      </c>
      <c r="U147">
        <v>0</v>
      </c>
      <c r="V147">
        <v>3028</v>
      </c>
      <c r="W147" t="s">
        <v>280</v>
      </c>
      <c r="X147" t="s">
        <v>281</v>
      </c>
      <c r="AP147" s="41"/>
    </row>
    <row r="148" spans="5:42" x14ac:dyDescent="0.25">
      <c r="E148" s="24" t="s">
        <v>273</v>
      </c>
      <c r="F148" s="24" t="s">
        <v>315</v>
      </c>
      <c r="G148">
        <v>7</v>
      </c>
      <c r="H148" t="s">
        <v>275</v>
      </c>
      <c r="I148" s="22" t="s">
        <v>287</v>
      </c>
      <c r="J148" s="22">
        <v>1077403701</v>
      </c>
      <c r="K148" t="s">
        <v>277</v>
      </c>
      <c r="L148" t="s">
        <v>314</v>
      </c>
      <c r="M148">
        <v>9</v>
      </c>
      <c r="N148">
        <v>32</v>
      </c>
      <c r="O148">
        <v>32</v>
      </c>
      <c r="P148" t="s">
        <v>279</v>
      </c>
      <c r="Q148" s="29">
        <v>94.64</v>
      </c>
      <c r="R148">
        <v>3028</v>
      </c>
      <c r="S148">
        <v>20150120</v>
      </c>
      <c r="T148">
        <v>0</v>
      </c>
      <c r="U148">
        <v>0</v>
      </c>
      <c r="V148">
        <v>3028</v>
      </c>
      <c r="W148" t="s">
        <v>280</v>
      </c>
      <c r="X148" t="s">
        <v>281</v>
      </c>
      <c r="AP148" s="41"/>
    </row>
    <row r="149" spans="5:42" x14ac:dyDescent="0.25">
      <c r="E149" s="24" t="s">
        <v>273</v>
      </c>
      <c r="F149" s="24" t="s">
        <v>315</v>
      </c>
      <c r="G149">
        <v>8</v>
      </c>
      <c r="H149" t="s">
        <v>275</v>
      </c>
      <c r="I149" s="22" t="s">
        <v>287</v>
      </c>
      <c r="J149" s="22">
        <v>1074548101</v>
      </c>
      <c r="K149" t="s">
        <v>277</v>
      </c>
      <c r="L149" t="s">
        <v>314</v>
      </c>
      <c r="M149">
        <v>9</v>
      </c>
      <c r="N149">
        <v>32</v>
      </c>
      <c r="O149">
        <v>32</v>
      </c>
      <c r="P149" t="s">
        <v>279</v>
      </c>
      <c r="Q149" s="29">
        <v>94.64</v>
      </c>
      <c r="R149">
        <v>3028</v>
      </c>
      <c r="S149">
        <v>20150113</v>
      </c>
      <c r="T149">
        <v>0</v>
      </c>
      <c r="U149">
        <v>0</v>
      </c>
      <c r="V149">
        <v>3028</v>
      </c>
      <c r="W149" t="s">
        <v>280</v>
      </c>
      <c r="X149" t="s">
        <v>281</v>
      </c>
      <c r="AP149" s="41"/>
    </row>
    <row r="150" spans="5:42" x14ac:dyDescent="0.25">
      <c r="E150" s="24" t="s">
        <v>273</v>
      </c>
      <c r="F150" s="24" t="s">
        <v>315</v>
      </c>
      <c r="G150">
        <v>9</v>
      </c>
      <c r="H150" t="s">
        <v>275</v>
      </c>
      <c r="I150" s="22" t="s">
        <v>287</v>
      </c>
      <c r="J150" s="22">
        <v>1076698801</v>
      </c>
      <c r="K150" t="s">
        <v>277</v>
      </c>
      <c r="L150" t="s">
        <v>314</v>
      </c>
      <c r="M150">
        <v>9</v>
      </c>
      <c r="N150">
        <v>32</v>
      </c>
      <c r="O150">
        <v>32</v>
      </c>
      <c r="P150" t="s">
        <v>279</v>
      </c>
      <c r="Q150" s="29">
        <v>94.64</v>
      </c>
      <c r="R150">
        <v>3028</v>
      </c>
      <c r="S150">
        <v>20150119</v>
      </c>
      <c r="T150">
        <v>0</v>
      </c>
      <c r="U150">
        <v>0</v>
      </c>
      <c r="V150">
        <v>3028</v>
      </c>
      <c r="W150" t="s">
        <v>280</v>
      </c>
      <c r="X150" t="s">
        <v>281</v>
      </c>
      <c r="AP150" s="41"/>
    </row>
    <row r="151" spans="5:42" x14ac:dyDescent="0.25">
      <c r="E151" s="24" t="s">
        <v>273</v>
      </c>
      <c r="F151" s="24" t="s">
        <v>315</v>
      </c>
      <c r="G151">
        <v>10</v>
      </c>
      <c r="H151" t="s">
        <v>275</v>
      </c>
      <c r="I151" s="22" t="s">
        <v>287</v>
      </c>
      <c r="J151" s="22">
        <v>1071046501</v>
      </c>
      <c r="K151" t="s">
        <v>277</v>
      </c>
      <c r="L151" t="s">
        <v>288</v>
      </c>
      <c r="M151">
        <v>9</v>
      </c>
      <c r="N151">
        <v>32</v>
      </c>
      <c r="O151">
        <v>32</v>
      </c>
      <c r="P151" t="s">
        <v>279</v>
      </c>
      <c r="Q151" s="29">
        <v>99.88</v>
      </c>
      <c r="R151">
        <v>3196</v>
      </c>
      <c r="S151">
        <v>20150105</v>
      </c>
      <c r="T151">
        <v>0</v>
      </c>
      <c r="U151">
        <v>0</v>
      </c>
      <c r="V151">
        <v>3196</v>
      </c>
      <c r="W151" t="s">
        <v>280</v>
      </c>
      <c r="X151" t="s">
        <v>281</v>
      </c>
      <c r="AP151" s="41"/>
    </row>
    <row r="152" spans="5:42" x14ac:dyDescent="0.25">
      <c r="E152" s="24" t="s">
        <v>273</v>
      </c>
      <c r="F152" s="24" t="s">
        <v>315</v>
      </c>
      <c r="G152">
        <v>11</v>
      </c>
      <c r="H152" t="s">
        <v>275</v>
      </c>
      <c r="I152" s="22" t="s">
        <v>287</v>
      </c>
      <c r="J152" s="22">
        <v>1073270701</v>
      </c>
      <c r="K152" t="s">
        <v>277</v>
      </c>
      <c r="L152" t="s">
        <v>288</v>
      </c>
      <c r="M152">
        <v>9</v>
      </c>
      <c r="N152">
        <v>32</v>
      </c>
      <c r="O152">
        <v>32</v>
      </c>
      <c r="P152" t="s">
        <v>279</v>
      </c>
      <c r="Q152" s="29">
        <v>99.88</v>
      </c>
      <c r="R152">
        <v>3196</v>
      </c>
      <c r="S152">
        <v>20150109</v>
      </c>
      <c r="T152">
        <v>0</v>
      </c>
      <c r="U152">
        <v>0</v>
      </c>
      <c r="V152">
        <v>3196</v>
      </c>
      <c r="W152" t="s">
        <v>280</v>
      </c>
      <c r="X152" t="s">
        <v>281</v>
      </c>
      <c r="AP152" s="41"/>
    </row>
    <row r="153" spans="5:42" x14ac:dyDescent="0.25">
      <c r="E153" s="24" t="s">
        <v>273</v>
      </c>
      <c r="F153" s="24" t="s">
        <v>315</v>
      </c>
      <c r="G153">
        <v>12</v>
      </c>
      <c r="H153" t="s">
        <v>275</v>
      </c>
      <c r="I153" s="22" t="s">
        <v>287</v>
      </c>
      <c r="J153" s="22">
        <v>1075075901</v>
      </c>
      <c r="K153" t="s">
        <v>277</v>
      </c>
      <c r="L153" t="s">
        <v>288</v>
      </c>
      <c r="M153">
        <v>9</v>
      </c>
      <c r="N153">
        <v>32</v>
      </c>
      <c r="O153">
        <v>32</v>
      </c>
      <c r="P153" t="s">
        <v>279</v>
      </c>
      <c r="Q153" s="29">
        <v>99.88</v>
      </c>
      <c r="R153">
        <v>3196</v>
      </c>
      <c r="S153">
        <v>20150114</v>
      </c>
      <c r="T153">
        <v>0</v>
      </c>
      <c r="U153">
        <v>0</v>
      </c>
      <c r="V153">
        <v>3196</v>
      </c>
      <c r="W153" t="s">
        <v>280</v>
      </c>
      <c r="X153" t="s">
        <v>281</v>
      </c>
      <c r="AP153" s="41"/>
    </row>
    <row r="154" spans="5:42" x14ac:dyDescent="0.25">
      <c r="E154" s="24" t="s">
        <v>273</v>
      </c>
      <c r="F154" s="24" t="s">
        <v>315</v>
      </c>
      <c r="G154">
        <v>13</v>
      </c>
      <c r="H154" t="s">
        <v>275</v>
      </c>
      <c r="I154" s="22" t="s">
        <v>287</v>
      </c>
      <c r="J154" s="22">
        <v>1072265601</v>
      </c>
      <c r="K154" t="s">
        <v>277</v>
      </c>
      <c r="L154" t="s">
        <v>288</v>
      </c>
      <c r="M154">
        <v>9</v>
      </c>
      <c r="N154">
        <v>32</v>
      </c>
      <c r="O154">
        <v>32</v>
      </c>
      <c r="P154" t="s">
        <v>279</v>
      </c>
      <c r="Q154" s="29">
        <v>99.88</v>
      </c>
      <c r="R154">
        <v>3196</v>
      </c>
      <c r="S154">
        <v>20150107</v>
      </c>
      <c r="T154">
        <v>0</v>
      </c>
      <c r="U154">
        <v>0</v>
      </c>
      <c r="V154">
        <v>3196</v>
      </c>
      <c r="W154" t="s">
        <v>280</v>
      </c>
      <c r="X154" t="s">
        <v>281</v>
      </c>
      <c r="AP154" s="41"/>
    </row>
    <row r="155" spans="5:42" x14ac:dyDescent="0.25">
      <c r="E155" s="24" t="s">
        <v>273</v>
      </c>
      <c r="F155" s="24" t="s">
        <v>315</v>
      </c>
      <c r="G155">
        <v>14</v>
      </c>
      <c r="H155" t="s">
        <v>275</v>
      </c>
      <c r="I155" s="22" t="s">
        <v>287</v>
      </c>
      <c r="J155" s="22">
        <v>1077403501</v>
      </c>
      <c r="K155" t="s">
        <v>277</v>
      </c>
      <c r="L155" t="s">
        <v>288</v>
      </c>
      <c r="M155">
        <v>9</v>
      </c>
      <c r="N155">
        <v>32</v>
      </c>
      <c r="O155">
        <v>32</v>
      </c>
      <c r="P155" t="s">
        <v>279</v>
      </c>
      <c r="Q155" s="29">
        <v>99.88</v>
      </c>
      <c r="R155">
        <v>3196</v>
      </c>
      <c r="S155">
        <v>20150120</v>
      </c>
      <c r="T155">
        <v>0</v>
      </c>
      <c r="U155">
        <v>0</v>
      </c>
      <c r="V155">
        <v>3196</v>
      </c>
      <c r="W155" t="s">
        <v>280</v>
      </c>
      <c r="X155" t="s">
        <v>281</v>
      </c>
      <c r="AP155" s="41"/>
    </row>
    <row r="156" spans="5:42" x14ac:dyDescent="0.25">
      <c r="E156" s="24" t="s">
        <v>273</v>
      </c>
      <c r="F156" s="24" t="s">
        <v>315</v>
      </c>
      <c r="G156">
        <v>15</v>
      </c>
      <c r="H156" t="s">
        <v>275</v>
      </c>
      <c r="I156" s="22" t="s">
        <v>287</v>
      </c>
      <c r="J156" s="22">
        <v>1076138301</v>
      </c>
      <c r="K156" t="s">
        <v>277</v>
      </c>
      <c r="L156" t="s">
        <v>288</v>
      </c>
      <c r="M156">
        <v>9</v>
      </c>
      <c r="N156">
        <v>32</v>
      </c>
      <c r="O156">
        <v>32</v>
      </c>
      <c r="P156" t="s">
        <v>279</v>
      </c>
      <c r="Q156" s="29">
        <v>99.88</v>
      </c>
      <c r="R156">
        <v>3196</v>
      </c>
      <c r="S156">
        <v>20150119</v>
      </c>
      <c r="T156">
        <v>0</v>
      </c>
      <c r="U156">
        <v>0</v>
      </c>
      <c r="V156">
        <v>3196</v>
      </c>
      <c r="W156" t="s">
        <v>280</v>
      </c>
      <c r="X156" t="s">
        <v>281</v>
      </c>
      <c r="AP156" s="41"/>
    </row>
    <row r="157" spans="5:42" x14ac:dyDescent="0.25">
      <c r="E157" s="24" t="s">
        <v>273</v>
      </c>
      <c r="F157" s="24" t="s">
        <v>315</v>
      </c>
      <c r="G157">
        <v>16</v>
      </c>
      <c r="H157" t="s">
        <v>275</v>
      </c>
      <c r="I157" s="22" t="s">
        <v>287</v>
      </c>
      <c r="J157" s="22">
        <v>1075617301</v>
      </c>
      <c r="K157" t="s">
        <v>277</v>
      </c>
      <c r="L157" t="s">
        <v>288</v>
      </c>
      <c r="M157">
        <v>9</v>
      </c>
      <c r="N157">
        <v>32</v>
      </c>
      <c r="O157">
        <v>32</v>
      </c>
      <c r="P157" t="s">
        <v>279</v>
      </c>
      <c r="Q157" s="29">
        <v>99.88</v>
      </c>
      <c r="R157">
        <v>3196</v>
      </c>
      <c r="S157">
        <v>20150115</v>
      </c>
      <c r="T157">
        <v>0</v>
      </c>
      <c r="U157">
        <v>0</v>
      </c>
      <c r="V157">
        <v>3196</v>
      </c>
      <c r="W157" t="s">
        <v>280</v>
      </c>
      <c r="X157" t="s">
        <v>281</v>
      </c>
      <c r="AP157" s="41"/>
    </row>
    <row r="158" spans="5:42" x14ac:dyDescent="0.25">
      <c r="E158" s="24" t="s">
        <v>273</v>
      </c>
      <c r="F158" s="24" t="s">
        <v>315</v>
      </c>
      <c r="G158">
        <v>17</v>
      </c>
      <c r="H158" t="s">
        <v>275</v>
      </c>
      <c r="I158" s="22" t="s">
        <v>282</v>
      </c>
      <c r="J158" s="22">
        <v>1071813601</v>
      </c>
      <c r="K158" t="s">
        <v>277</v>
      </c>
      <c r="L158" t="s">
        <v>283</v>
      </c>
      <c r="M158">
        <v>9</v>
      </c>
      <c r="N158">
        <v>12</v>
      </c>
      <c r="O158">
        <v>12</v>
      </c>
      <c r="P158" t="s">
        <v>279</v>
      </c>
      <c r="Q158" s="29">
        <v>2659.05</v>
      </c>
      <c r="R158">
        <v>31909</v>
      </c>
      <c r="S158">
        <v>20150106</v>
      </c>
      <c r="T158">
        <v>0</v>
      </c>
      <c r="U158">
        <v>0</v>
      </c>
      <c r="V158">
        <v>31909</v>
      </c>
      <c r="W158" t="s">
        <v>280</v>
      </c>
      <c r="X158" t="s">
        <v>281</v>
      </c>
      <c r="AP158" s="41"/>
    </row>
    <row r="159" spans="5:42" x14ac:dyDescent="0.25">
      <c r="E159" s="24" t="s">
        <v>273</v>
      </c>
      <c r="F159" s="24" t="s">
        <v>315</v>
      </c>
      <c r="G159">
        <v>18</v>
      </c>
      <c r="H159" t="s">
        <v>275</v>
      </c>
      <c r="I159" s="22" t="s">
        <v>282</v>
      </c>
      <c r="J159" s="22">
        <v>1075617501</v>
      </c>
      <c r="K159" t="s">
        <v>277</v>
      </c>
      <c r="L159" t="s">
        <v>283</v>
      </c>
      <c r="M159">
        <v>9</v>
      </c>
      <c r="N159">
        <v>12</v>
      </c>
      <c r="O159">
        <v>12</v>
      </c>
      <c r="P159" t="s">
        <v>279</v>
      </c>
      <c r="Q159" s="29">
        <v>2659.05</v>
      </c>
      <c r="R159">
        <v>31909</v>
      </c>
      <c r="S159">
        <v>20150115</v>
      </c>
      <c r="T159">
        <v>0</v>
      </c>
      <c r="U159">
        <v>0</v>
      </c>
      <c r="V159">
        <v>31909</v>
      </c>
      <c r="W159" t="s">
        <v>280</v>
      </c>
      <c r="X159" t="s">
        <v>281</v>
      </c>
      <c r="AP159" s="41"/>
    </row>
    <row r="160" spans="5:42" x14ac:dyDescent="0.25">
      <c r="E160" s="24" t="s">
        <v>273</v>
      </c>
      <c r="F160" s="24" t="s">
        <v>315</v>
      </c>
      <c r="G160">
        <v>19</v>
      </c>
      <c r="H160" t="s">
        <v>275</v>
      </c>
      <c r="I160" s="22" t="s">
        <v>282</v>
      </c>
      <c r="J160" s="22">
        <v>1072759101</v>
      </c>
      <c r="K160" t="s">
        <v>277</v>
      </c>
      <c r="L160" t="s">
        <v>283</v>
      </c>
      <c r="M160">
        <v>9</v>
      </c>
      <c r="N160">
        <v>24</v>
      </c>
      <c r="O160">
        <v>24</v>
      </c>
      <c r="P160" t="s">
        <v>279</v>
      </c>
      <c r="Q160" s="29">
        <v>2659.05</v>
      </c>
      <c r="R160">
        <v>63817</v>
      </c>
      <c r="S160">
        <v>20150108</v>
      </c>
      <c r="T160">
        <v>0</v>
      </c>
      <c r="U160">
        <v>0</v>
      </c>
      <c r="V160">
        <v>63817</v>
      </c>
      <c r="W160" t="s">
        <v>280</v>
      </c>
      <c r="X160" t="s">
        <v>281</v>
      </c>
      <c r="AP160" s="41"/>
    </row>
    <row r="161" spans="5:42" x14ac:dyDescent="0.25">
      <c r="E161" s="24" t="s">
        <v>273</v>
      </c>
      <c r="F161" s="24" t="s">
        <v>315</v>
      </c>
      <c r="G161">
        <v>20</v>
      </c>
      <c r="H161" t="s">
        <v>275</v>
      </c>
      <c r="I161" s="22" t="s">
        <v>282</v>
      </c>
      <c r="J161" s="22">
        <v>1072265701</v>
      </c>
      <c r="K161" t="s">
        <v>277</v>
      </c>
      <c r="L161" t="s">
        <v>283</v>
      </c>
      <c r="M161">
        <v>9</v>
      </c>
      <c r="N161">
        <v>12</v>
      </c>
      <c r="O161">
        <v>12</v>
      </c>
      <c r="P161" t="s">
        <v>279</v>
      </c>
      <c r="Q161" s="29">
        <v>2659.05</v>
      </c>
      <c r="R161">
        <v>31909</v>
      </c>
      <c r="S161">
        <v>20150107</v>
      </c>
      <c r="T161">
        <v>0</v>
      </c>
      <c r="U161">
        <v>0</v>
      </c>
      <c r="V161">
        <v>31909</v>
      </c>
      <c r="W161" t="s">
        <v>280</v>
      </c>
      <c r="X161" t="s">
        <v>281</v>
      </c>
      <c r="AP161" s="41"/>
    </row>
    <row r="162" spans="5:42" x14ac:dyDescent="0.25">
      <c r="E162" s="24" t="s">
        <v>273</v>
      </c>
      <c r="F162" s="24" t="s">
        <v>315</v>
      </c>
      <c r="G162">
        <v>21</v>
      </c>
      <c r="H162" t="s">
        <v>275</v>
      </c>
      <c r="I162" s="22" t="s">
        <v>282</v>
      </c>
      <c r="J162" s="22">
        <v>1075076301</v>
      </c>
      <c r="K162" t="s">
        <v>277</v>
      </c>
      <c r="L162" t="s">
        <v>283</v>
      </c>
      <c r="M162">
        <v>9</v>
      </c>
      <c r="N162">
        <v>12</v>
      </c>
      <c r="O162">
        <v>12</v>
      </c>
      <c r="P162" t="s">
        <v>279</v>
      </c>
      <c r="Q162" s="29">
        <v>2659.05</v>
      </c>
      <c r="R162">
        <v>31909</v>
      </c>
      <c r="S162">
        <v>20150114</v>
      </c>
      <c r="T162">
        <v>0</v>
      </c>
      <c r="U162">
        <v>0</v>
      </c>
      <c r="V162">
        <v>31909</v>
      </c>
      <c r="W162" t="s">
        <v>280</v>
      </c>
      <c r="X162" t="s">
        <v>281</v>
      </c>
      <c r="AP162" s="41"/>
    </row>
    <row r="163" spans="5:42" x14ac:dyDescent="0.25">
      <c r="E163" s="24" t="s">
        <v>273</v>
      </c>
      <c r="F163" s="24" t="s">
        <v>315</v>
      </c>
      <c r="G163">
        <v>22</v>
      </c>
      <c r="H163" t="s">
        <v>275</v>
      </c>
      <c r="I163" s="22" t="s">
        <v>282</v>
      </c>
      <c r="J163" s="22">
        <v>1076698901</v>
      </c>
      <c r="K163" t="s">
        <v>277</v>
      </c>
      <c r="L163" t="s">
        <v>283</v>
      </c>
      <c r="M163">
        <v>9</v>
      </c>
      <c r="N163">
        <v>12</v>
      </c>
      <c r="O163">
        <v>12</v>
      </c>
      <c r="P163" t="s">
        <v>279</v>
      </c>
      <c r="Q163" s="29">
        <v>2659.05</v>
      </c>
      <c r="R163">
        <v>31909</v>
      </c>
      <c r="S163">
        <v>20150119</v>
      </c>
      <c r="T163">
        <v>0</v>
      </c>
      <c r="U163">
        <v>0</v>
      </c>
      <c r="V163">
        <v>31909</v>
      </c>
      <c r="W163" t="s">
        <v>280</v>
      </c>
      <c r="X163" t="s">
        <v>281</v>
      </c>
      <c r="AP163" s="41"/>
    </row>
    <row r="164" spans="5:42" x14ac:dyDescent="0.25">
      <c r="E164" s="24" t="s">
        <v>273</v>
      </c>
      <c r="F164" s="24" t="s">
        <v>316</v>
      </c>
      <c r="G164">
        <v>1</v>
      </c>
      <c r="H164" t="s">
        <v>275</v>
      </c>
      <c r="I164" s="22" t="s">
        <v>282</v>
      </c>
      <c r="J164" s="22">
        <v>1077403801</v>
      </c>
      <c r="K164" t="s">
        <v>277</v>
      </c>
      <c r="L164" t="s">
        <v>283</v>
      </c>
      <c r="M164">
        <v>9</v>
      </c>
      <c r="N164">
        <v>12</v>
      </c>
      <c r="O164">
        <v>12</v>
      </c>
      <c r="P164" t="s">
        <v>279</v>
      </c>
      <c r="Q164" s="29">
        <v>2659.05</v>
      </c>
      <c r="R164">
        <v>31909</v>
      </c>
      <c r="S164">
        <v>20150120</v>
      </c>
      <c r="T164">
        <v>0</v>
      </c>
      <c r="U164">
        <v>0</v>
      </c>
      <c r="V164">
        <v>31909</v>
      </c>
      <c r="W164" t="s">
        <v>280</v>
      </c>
      <c r="X164" t="s">
        <v>281</v>
      </c>
      <c r="Y164">
        <v>3</v>
      </c>
      <c r="Z164">
        <v>467804</v>
      </c>
      <c r="AA164">
        <v>0</v>
      </c>
      <c r="AB164">
        <v>0</v>
      </c>
      <c r="AC164">
        <v>467804</v>
      </c>
      <c r="AP164" s="41"/>
    </row>
    <row r="165" spans="5:42" x14ac:dyDescent="0.25">
      <c r="E165" s="24" t="s">
        <v>273</v>
      </c>
      <c r="F165" s="24" t="s">
        <v>316</v>
      </c>
      <c r="G165">
        <v>2</v>
      </c>
      <c r="H165" t="s">
        <v>275</v>
      </c>
      <c r="I165" s="22" t="s">
        <v>317</v>
      </c>
      <c r="J165" s="22">
        <v>1073270801</v>
      </c>
      <c r="K165" t="s">
        <v>277</v>
      </c>
      <c r="L165" t="s">
        <v>318</v>
      </c>
      <c r="M165">
        <v>9</v>
      </c>
      <c r="N165">
        <v>16</v>
      </c>
      <c r="O165">
        <v>16</v>
      </c>
      <c r="P165" t="s">
        <v>279</v>
      </c>
      <c r="Q165" s="29">
        <v>2671.22</v>
      </c>
      <c r="R165">
        <v>42740</v>
      </c>
      <c r="S165">
        <v>20150109</v>
      </c>
      <c r="T165">
        <v>0</v>
      </c>
      <c r="U165">
        <v>0</v>
      </c>
      <c r="V165">
        <v>42740</v>
      </c>
      <c r="W165" t="s">
        <v>280</v>
      </c>
      <c r="X165" t="s">
        <v>281</v>
      </c>
      <c r="AP165" s="41"/>
    </row>
    <row r="166" spans="5:42" x14ac:dyDescent="0.25">
      <c r="E166" s="24" t="s">
        <v>273</v>
      </c>
      <c r="F166" s="24" t="s">
        <v>316</v>
      </c>
      <c r="G166">
        <v>3</v>
      </c>
      <c r="H166" t="s">
        <v>275</v>
      </c>
      <c r="I166" s="22" t="s">
        <v>317</v>
      </c>
      <c r="J166" s="22">
        <v>1075076401</v>
      </c>
      <c r="K166" t="s">
        <v>277</v>
      </c>
      <c r="L166" t="s">
        <v>318</v>
      </c>
      <c r="M166">
        <v>9</v>
      </c>
      <c r="N166">
        <v>16</v>
      </c>
      <c r="O166">
        <v>16</v>
      </c>
      <c r="P166" t="s">
        <v>279</v>
      </c>
      <c r="Q166" s="29">
        <v>2671.22</v>
      </c>
      <c r="R166">
        <v>42740</v>
      </c>
      <c r="S166">
        <v>20150114</v>
      </c>
      <c r="T166">
        <v>0</v>
      </c>
      <c r="U166">
        <v>0</v>
      </c>
      <c r="V166">
        <v>42740</v>
      </c>
      <c r="W166" t="s">
        <v>280</v>
      </c>
      <c r="X166" t="s">
        <v>281</v>
      </c>
      <c r="AP166" s="41"/>
    </row>
    <row r="167" spans="5:42" x14ac:dyDescent="0.25">
      <c r="E167" s="24" t="s">
        <v>273</v>
      </c>
      <c r="F167" s="24" t="s">
        <v>316</v>
      </c>
      <c r="G167">
        <v>4</v>
      </c>
      <c r="H167" t="s">
        <v>275</v>
      </c>
      <c r="I167" s="22" t="s">
        <v>317</v>
      </c>
      <c r="J167" s="22">
        <v>1073792001</v>
      </c>
      <c r="K167" t="s">
        <v>277</v>
      </c>
      <c r="L167" t="s">
        <v>318</v>
      </c>
      <c r="M167">
        <v>9</v>
      </c>
      <c r="N167">
        <v>16</v>
      </c>
      <c r="O167">
        <v>16</v>
      </c>
      <c r="P167" t="s">
        <v>279</v>
      </c>
      <c r="Q167" s="29">
        <v>2671.22</v>
      </c>
      <c r="R167">
        <v>42740</v>
      </c>
      <c r="S167">
        <v>20150112</v>
      </c>
      <c r="T167">
        <v>0</v>
      </c>
      <c r="U167">
        <v>0</v>
      </c>
      <c r="V167">
        <v>42740</v>
      </c>
      <c r="W167" t="s">
        <v>280</v>
      </c>
      <c r="X167" t="s">
        <v>281</v>
      </c>
    </row>
    <row r="168" spans="5:42" x14ac:dyDescent="0.25">
      <c r="E168" s="24" t="s">
        <v>273</v>
      </c>
      <c r="F168" s="24" t="s">
        <v>316</v>
      </c>
      <c r="G168">
        <v>5</v>
      </c>
      <c r="H168" t="s">
        <v>275</v>
      </c>
      <c r="I168" s="22" t="s">
        <v>319</v>
      </c>
      <c r="J168" s="22">
        <v>1000138801</v>
      </c>
      <c r="K168" t="s">
        <v>277</v>
      </c>
      <c r="L168" t="s">
        <v>320</v>
      </c>
      <c r="M168">
        <v>9</v>
      </c>
      <c r="N168">
        <v>1</v>
      </c>
      <c r="O168">
        <v>1</v>
      </c>
      <c r="P168" t="s">
        <v>279</v>
      </c>
      <c r="Q168" s="29">
        <v>2671.22</v>
      </c>
      <c r="R168">
        <v>2671</v>
      </c>
      <c r="S168">
        <v>20140822</v>
      </c>
      <c r="T168">
        <v>0</v>
      </c>
      <c r="U168">
        <v>0</v>
      </c>
      <c r="V168">
        <v>2671</v>
      </c>
      <c r="W168" t="s">
        <v>280</v>
      </c>
      <c r="X168" t="s">
        <v>281</v>
      </c>
    </row>
    <row r="169" spans="5:42" x14ac:dyDescent="0.25">
      <c r="E169" s="24" t="s">
        <v>273</v>
      </c>
      <c r="F169" s="24" t="s">
        <v>316</v>
      </c>
      <c r="G169">
        <v>6</v>
      </c>
      <c r="H169" t="s">
        <v>275</v>
      </c>
      <c r="I169" s="22" t="s">
        <v>319</v>
      </c>
      <c r="J169" s="22">
        <v>1000138901</v>
      </c>
      <c r="K169" t="s">
        <v>277</v>
      </c>
      <c r="L169" t="s">
        <v>321</v>
      </c>
      <c r="M169">
        <v>9</v>
      </c>
      <c r="N169">
        <v>1</v>
      </c>
      <c r="O169">
        <v>1</v>
      </c>
      <c r="P169" t="s">
        <v>279</v>
      </c>
      <c r="Q169" s="29">
        <v>2671.22</v>
      </c>
      <c r="R169">
        <v>2671</v>
      </c>
      <c r="S169">
        <v>20140822</v>
      </c>
      <c r="T169">
        <v>0</v>
      </c>
      <c r="U169">
        <v>0</v>
      </c>
      <c r="V169">
        <v>2671</v>
      </c>
      <c r="W169" t="s">
        <v>280</v>
      </c>
      <c r="X169" t="s">
        <v>281</v>
      </c>
    </row>
    <row r="170" spans="5:42" x14ac:dyDescent="0.25">
      <c r="E170" s="24" t="s">
        <v>273</v>
      </c>
      <c r="F170" s="24" t="s">
        <v>316</v>
      </c>
      <c r="G170">
        <v>7</v>
      </c>
      <c r="H170" t="s">
        <v>275</v>
      </c>
      <c r="I170" s="22" t="s">
        <v>289</v>
      </c>
      <c r="J170" s="22">
        <v>1071814001</v>
      </c>
      <c r="K170" t="s">
        <v>277</v>
      </c>
      <c r="L170" t="s">
        <v>290</v>
      </c>
      <c r="M170">
        <v>9</v>
      </c>
      <c r="N170">
        <v>40</v>
      </c>
      <c r="O170">
        <v>40</v>
      </c>
      <c r="P170" t="s">
        <v>279</v>
      </c>
      <c r="Q170" s="29">
        <v>2712.81</v>
      </c>
      <c r="R170">
        <v>108512</v>
      </c>
      <c r="S170">
        <v>20150106</v>
      </c>
      <c r="T170">
        <v>0</v>
      </c>
      <c r="U170">
        <v>0</v>
      </c>
      <c r="V170">
        <v>108512</v>
      </c>
      <c r="W170" t="s">
        <v>280</v>
      </c>
      <c r="X170" t="s">
        <v>281</v>
      </c>
    </row>
    <row r="171" spans="5:42" x14ac:dyDescent="0.25">
      <c r="E171" s="24" t="s">
        <v>273</v>
      </c>
      <c r="F171" s="24" t="s">
        <v>316</v>
      </c>
      <c r="G171">
        <v>8</v>
      </c>
      <c r="H171" t="s">
        <v>275</v>
      </c>
      <c r="I171" s="22" t="s">
        <v>289</v>
      </c>
      <c r="J171" s="22">
        <v>1075617701</v>
      </c>
      <c r="K171" t="s">
        <v>277</v>
      </c>
      <c r="L171" t="s">
        <v>290</v>
      </c>
      <c r="M171">
        <v>9</v>
      </c>
      <c r="N171">
        <v>40</v>
      </c>
      <c r="O171">
        <v>40</v>
      </c>
      <c r="P171" t="s">
        <v>279</v>
      </c>
      <c r="Q171" s="29">
        <v>2712.81</v>
      </c>
      <c r="R171">
        <v>108512</v>
      </c>
      <c r="S171">
        <v>20150115</v>
      </c>
      <c r="T171">
        <v>0</v>
      </c>
      <c r="U171">
        <v>0</v>
      </c>
      <c r="V171">
        <v>108512</v>
      </c>
      <c r="W171" t="s">
        <v>280</v>
      </c>
      <c r="X171" t="s">
        <v>281</v>
      </c>
    </row>
    <row r="172" spans="5:42" x14ac:dyDescent="0.25">
      <c r="E172" s="24" t="s">
        <v>273</v>
      </c>
      <c r="F172" s="24" t="s">
        <v>316</v>
      </c>
      <c r="G172">
        <v>9</v>
      </c>
      <c r="H172" t="s">
        <v>275</v>
      </c>
      <c r="I172" s="22" t="s">
        <v>322</v>
      </c>
      <c r="J172" s="22">
        <v>1073792101</v>
      </c>
      <c r="K172" t="s">
        <v>277</v>
      </c>
      <c r="L172" t="s">
        <v>323</v>
      </c>
      <c r="M172">
        <v>9</v>
      </c>
      <c r="N172">
        <v>52</v>
      </c>
      <c r="O172">
        <v>52</v>
      </c>
      <c r="P172" t="s">
        <v>279</v>
      </c>
      <c r="Q172" s="29">
        <v>123.24</v>
      </c>
      <c r="R172">
        <v>6408</v>
      </c>
      <c r="S172">
        <v>20150112</v>
      </c>
      <c r="T172">
        <v>0</v>
      </c>
      <c r="U172">
        <v>0</v>
      </c>
      <c r="V172">
        <v>6408</v>
      </c>
      <c r="W172" t="s">
        <v>280</v>
      </c>
      <c r="X172" t="s">
        <v>281</v>
      </c>
    </row>
    <row r="173" spans="5:42" x14ac:dyDescent="0.25">
      <c r="E173" s="24" t="s">
        <v>273</v>
      </c>
      <c r="F173" s="24" t="s">
        <v>316</v>
      </c>
      <c r="G173">
        <v>10</v>
      </c>
      <c r="H173" t="s">
        <v>275</v>
      </c>
      <c r="I173" s="22" t="s">
        <v>322</v>
      </c>
      <c r="J173" s="22">
        <v>1072266001</v>
      </c>
      <c r="K173" t="s">
        <v>277</v>
      </c>
      <c r="L173" t="s">
        <v>324</v>
      </c>
      <c r="M173">
        <v>9</v>
      </c>
      <c r="N173">
        <v>52</v>
      </c>
      <c r="O173">
        <v>52</v>
      </c>
      <c r="P173" t="s">
        <v>279</v>
      </c>
      <c r="Q173" s="29">
        <v>459.22</v>
      </c>
      <c r="R173">
        <v>23879</v>
      </c>
      <c r="S173">
        <v>20150107</v>
      </c>
      <c r="T173">
        <v>0</v>
      </c>
      <c r="U173">
        <v>0</v>
      </c>
      <c r="V173">
        <v>23879</v>
      </c>
      <c r="W173" t="s">
        <v>280</v>
      </c>
      <c r="X173" t="s">
        <v>281</v>
      </c>
    </row>
    <row r="174" spans="5:42" x14ac:dyDescent="0.25">
      <c r="E174" s="24" t="s">
        <v>273</v>
      </c>
      <c r="F174" s="24" t="s">
        <v>316</v>
      </c>
      <c r="G174">
        <v>11</v>
      </c>
      <c r="H174" t="s">
        <v>275</v>
      </c>
      <c r="I174" s="22" t="s">
        <v>322</v>
      </c>
      <c r="J174" s="22">
        <v>1075617901</v>
      </c>
      <c r="K174" t="s">
        <v>277</v>
      </c>
      <c r="L174" t="s">
        <v>324</v>
      </c>
      <c r="M174">
        <v>9</v>
      </c>
      <c r="N174">
        <v>52</v>
      </c>
      <c r="O174">
        <v>52</v>
      </c>
      <c r="P174" t="s">
        <v>279</v>
      </c>
      <c r="Q174" s="29">
        <v>459.22</v>
      </c>
      <c r="R174">
        <v>23879</v>
      </c>
      <c r="S174">
        <v>20150115</v>
      </c>
      <c r="T174">
        <v>0</v>
      </c>
      <c r="U174">
        <v>0</v>
      </c>
      <c r="V174">
        <v>23879</v>
      </c>
      <c r="W174" t="s">
        <v>280</v>
      </c>
      <c r="X174" t="s">
        <v>281</v>
      </c>
    </row>
    <row r="175" spans="5:42" x14ac:dyDescent="0.25">
      <c r="E175" s="24" t="s">
        <v>273</v>
      </c>
      <c r="F175" s="24" t="s">
        <v>316</v>
      </c>
      <c r="G175">
        <v>12</v>
      </c>
      <c r="H175" t="s">
        <v>275</v>
      </c>
      <c r="I175" s="22" t="s">
        <v>325</v>
      </c>
      <c r="J175" s="22">
        <v>1075617801</v>
      </c>
      <c r="K175" t="s">
        <v>277</v>
      </c>
      <c r="L175" t="s">
        <v>326</v>
      </c>
      <c r="M175">
        <v>9</v>
      </c>
      <c r="N175">
        <v>1</v>
      </c>
      <c r="O175">
        <v>1</v>
      </c>
      <c r="P175" t="s">
        <v>279</v>
      </c>
      <c r="Q175" s="29">
        <v>613.11</v>
      </c>
      <c r="R175">
        <v>613</v>
      </c>
      <c r="S175">
        <v>20150115</v>
      </c>
      <c r="T175">
        <v>0</v>
      </c>
      <c r="U175">
        <v>0</v>
      </c>
      <c r="V175">
        <v>613</v>
      </c>
      <c r="W175" t="s">
        <v>280</v>
      </c>
      <c r="X175" t="s">
        <v>281</v>
      </c>
    </row>
    <row r="176" spans="5:42" x14ac:dyDescent="0.25">
      <c r="E176" s="24" t="s">
        <v>273</v>
      </c>
      <c r="F176" s="24" t="s">
        <v>316</v>
      </c>
      <c r="G176">
        <v>13</v>
      </c>
      <c r="H176" t="s">
        <v>275</v>
      </c>
      <c r="I176" s="22" t="s">
        <v>325</v>
      </c>
      <c r="J176" s="22">
        <v>1076138501</v>
      </c>
      <c r="K176" t="s">
        <v>277</v>
      </c>
      <c r="L176" t="s">
        <v>326</v>
      </c>
      <c r="M176">
        <v>9</v>
      </c>
      <c r="N176">
        <v>4</v>
      </c>
      <c r="O176">
        <v>4</v>
      </c>
      <c r="P176" t="s">
        <v>279</v>
      </c>
      <c r="Q176" s="29">
        <v>613.11</v>
      </c>
      <c r="R176">
        <v>2452</v>
      </c>
      <c r="S176">
        <v>20150119</v>
      </c>
      <c r="T176">
        <v>0</v>
      </c>
      <c r="U176">
        <v>0</v>
      </c>
      <c r="V176">
        <v>2452</v>
      </c>
      <c r="W176" t="s">
        <v>280</v>
      </c>
      <c r="X176" t="s">
        <v>281</v>
      </c>
    </row>
    <row r="177" spans="5:29" x14ac:dyDescent="0.25">
      <c r="E177" s="24" t="s">
        <v>273</v>
      </c>
      <c r="F177" s="24" t="s">
        <v>316</v>
      </c>
      <c r="G177">
        <v>14</v>
      </c>
      <c r="H177" t="s">
        <v>275</v>
      </c>
      <c r="I177" s="22" t="s">
        <v>319</v>
      </c>
      <c r="J177" s="22">
        <v>1067227301</v>
      </c>
      <c r="K177" t="s">
        <v>277</v>
      </c>
      <c r="L177" t="s">
        <v>327</v>
      </c>
      <c r="M177">
        <v>9</v>
      </c>
      <c r="N177">
        <v>3</v>
      </c>
      <c r="O177">
        <v>3</v>
      </c>
      <c r="P177" t="s">
        <v>279</v>
      </c>
      <c r="Q177" s="29">
        <v>459.22</v>
      </c>
      <c r="R177">
        <v>1378</v>
      </c>
      <c r="S177">
        <v>20150112</v>
      </c>
      <c r="T177">
        <v>0</v>
      </c>
      <c r="U177">
        <v>0</v>
      </c>
      <c r="V177">
        <v>1378</v>
      </c>
      <c r="W177" t="s">
        <v>280</v>
      </c>
      <c r="X177" t="s">
        <v>281</v>
      </c>
    </row>
    <row r="178" spans="5:29" x14ac:dyDescent="0.25">
      <c r="E178" s="24" t="s">
        <v>273</v>
      </c>
      <c r="F178" s="24" t="s">
        <v>316</v>
      </c>
      <c r="G178">
        <v>15</v>
      </c>
      <c r="H178" t="s">
        <v>275</v>
      </c>
      <c r="I178" s="22" t="s">
        <v>319</v>
      </c>
      <c r="J178" s="22">
        <v>1034396501</v>
      </c>
      <c r="K178" t="s">
        <v>277</v>
      </c>
      <c r="L178" t="s">
        <v>327</v>
      </c>
      <c r="M178">
        <v>9</v>
      </c>
      <c r="N178">
        <v>1</v>
      </c>
      <c r="O178">
        <v>1</v>
      </c>
      <c r="P178" t="s">
        <v>279</v>
      </c>
      <c r="Q178" s="29">
        <v>459.22</v>
      </c>
      <c r="R178">
        <v>459</v>
      </c>
      <c r="S178">
        <v>20141016</v>
      </c>
      <c r="T178">
        <v>0</v>
      </c>
      <c r="U178">
        <v>0</v>
      </c>
      <c r="V178">
        <v>459</v>
      </c>
      <c r="W178" t="s">
        <v>280</v>
      </c>
      <c r="X178" t="s">
        <v>281</v>
      </c>
    </row>
    <row r="179" spans="5:29" x14ac:dyDescent="0.25">
      <c r="E179" s="24" t="s">
        <v>273</v>
      </c>
      <c r="F179" s="24" t="s">
        <v>316</v>
      </c>
      <c r="G179">
        <v>16</v>
      </c>
      <c r="H179" t="s">
        <v>275</v>
      </c>
      <c r="I179" s="22" t="s">
        <v>319</v>
      </c>
      <c r="J179" s="22">
        <v>1000167701</v>
      </c>
      <c r="K179" t="s">
        <v>277</v>
      </c>
      <c r="L179" t="s">
        <v>327</v>
      </c>
      <c r="M179">
        <v>9</v>
      </c>
      <c r="N179">
        <v>4</v>
      </c>
      <c r="O179">
        <v>4</v>
      </c>
      <c r="P179" t="s">
        <v>279</v>
      </c>
      <c r="Q179" s="29">
        <v>459.22</v>
      </c>
      <c r="R179">
        <v>1837</v>
      </c>
      <c r="S179">
        <v>20140809</v>
      </c>
      <c r="T179">
        <v>0</v>
      </c>
      <c r="U179">
        <v>0</v>
      </c>
      <c r="V179">
        <v>1837</v>
      </c>
      <c r="W179" t="s">
        <v>280</v>
      </c>
      <c r="X179" t="s">
        <v>281</v>
      </c>
    </row>
    <row r="180" spans="5:29" x14ac:dyDescent="0.25">
      <c r="E180" s="24" t="s">
        <v>273</v>
      </c>
      <c r="F180" s="24" t="s">
        <v>316</v>
      </c>
      <c r="G180">
        <v>17</v>
      </c>
      <c r="H180" t="s">
        <v>275</v>
      </c>
      <c r="I180" s="22" t="s">
        <v>328</v>
      </c>
      <c r="J180" s="22">
        <v>1071326001</v>
      </c>
      <c r="K180" t="s">
        <v>277</v>
      </c>
      <c r="L180" t="s">
        <v>329</v>
      </c>
      <c r="M180">
        <v>9</v>
      </c>
      <c r="N180">
        <v>40</v>
      </c>
      <c r="O180">
        <v>40</v>
      </c>
      <c r="P180" t="s">
        <v>279</v>
      </c>
      <c r="Q180" s="29">
        <v>232.87</v>
      </c>
      <c r="R180">
        <v>9315</v>
      </c>
      <c r="S180">
        <v>20150108</v>
      </c>
      <c r="T180">
        <v>0</v>
      </c>
      <c r="U180">
        <v>0</v>
      </c>
      <c r="V180">
        <v>9315</v>
      </c>
      <c r="W180" t="s">
        <v>280</v>
      </c>
      <c r="X180" t="s">
        <v>281</v>
      </c>
    </row>
    <row r="181" spans="5:29" x14ac:dyDescent="0.25">
      <c r="E181" s="24" t="s">
        <v>273</v>
      </c>
      <c r="F181" s="24" t="s">
        <v>316</v>
      </c>
      <c r="G181">
        <v>18</v>
      </c>
      <c r="H181" t="s">
        <v>275</v>
      </c>
      <c r="I181" s="22" t="s">
        <v>328</v>
      </c>
      <c r="J181" s="22">
        <v>1071326101</v>
      </c>
      <c r="K181" t="s">
        <v>277</v>
      </c>
      <c r="L181" t="s">
        <v>329</v>
      </c>
      <c r="M181">
        <v>9</v>
      </c>
      <c r="N181">
        <v>40</v>
      </c>
      <c r="O181">
        <v>40</v>
      </c>
      <c r="P181" t="s">
        <v>279</v>
      </c>
      <c r="Q181" s="29">
        <v>232.87</v>
      </c>
      <c r="R181">
        <v>9315</v>
      </c>
      <c r="S181">
        <v>20150115</v>
      </c>
      <c r="T181">
        <v>0</v>
      </c>
      <c r="U181">
        <v>0</v>
      </c>
      <c r="V181">
        <v>9315</v>
      </c>
      <c r="W181" t="s">
        <v>280</v>
      </c>
      <c r="X181" t="s">
        <v>281</v>
      </c>
    </row>
    <row r="182" spans="5:29" x14ac:dyDescent="0.25">
      <c r="E182" s="24" t="s">
        <v>273</v>
      </c>
      <c r="F182" s="24" t="s">
        <v>316</v>
      </c>
      <c r="G182">
        <v>19</v>
      </c>
      <c r="H182" t="s">
        <v>275</v>
      </c>
      <c r="I182" s="22" t="s">
        <v>328</v>
      </c>
      <c r="J182" s="22">
        <v>1071326201</v>
      </c>
      <c r="K182" t="s">
        <v>277</v>
      </c>
      <c r="L182" t="s">
        <v>330</v>
      </c>
      <c r="M182">
        <v>9</v>
      </c>
      <c r="N182">
        <v>40</v>
      </c>
      <c r="O182">
        <v>40</v>
      </c>
      <c r="P182" t="s">
        <v>279</v>
      </c>
      <c r="Q182" s="29">
        <v>53.63</v>
      </c>
      <c r="R182">
        <v>2145</v>
      </c>
      <c r="S182">
        <v>20150108</v>
      </c>
      <c r="T182">
        <v>0</v>
      </c>
      <c r="U182">
        <v>0</v>
      </c>
      <c r="V182">
        <v>2145</v>
      </c>
      <c r="W182" t="s">
        <v>280</v>
      </c>
      <c r="X182" t="s">
        <v>281</v>
      </c>
    </row>
    <row r="183" spans="5:29" x14ac:dyDescent="0.25">
      <c r="E183" s="24" t="s">
        <v>273</v>
      </c>
      <c r="F183" s="24" t="s">
        <v>316</v>
      </c>
      <c r="G183">
        <v>20</v>
      </c>
      <c r="H183" t="s">
        <v>275</v>
      </c>
      <c r="I183" s="22" t="s">
        <v>328</v>
      </c>
      <c r="J183" s="22">
        <v>1071326301</v>
      </c>
      <c r="K183" t="s">
        <v>277</v>
      </c>
      <c r="L183" t="s">
        <v>330</v>
      </c>
      <c r="M183">
        <v>9</v>
      </c>
      <c r="N183">
        <v>40</v>
      </c>
      <c r="O183">
        <v>40</v>
      </c>
      <c r="P183" t="s">
        <v>279</v>
      </c>
      <c r="Q183" s="29">
        <v>53.63</v>
      </c>
      <c r="R183">
        <v>2145</v>
      </c>
      <c r="S183">
        <v>20150115</v>
      </c>
      <c r="T183">
        <v>0</v>
      </c>
      <c r="U183">
        <v>0</v>
      </c>
      <c r="V183">
        <v>2145</v>
      </c>
      <c r="W183" t="s">
        <v>280</v>
      </c>
      <c r="X183" t="s">
        <v>281</v>
      </c>
    </row>
    <row r="184" spans="5:29" x14ac:dyDescent="0.25">
      <c r="E184" s="24" t="s">
        <v>273</v>
      </c>
      <c r="F184" s="24" t="s">
        <v>316</v>
      </c>
      <c r="G184">
        <v>21</v>
      </c>
      <c r="H184" t="s">
        <v>275</v>
      </c>
      <c r="I184" s="22" t="s">
        <v>331</v>
      </c>
      <c r="J184" s="22">
        <v>1072504101</v>
      </c>
      <c r="K184" t="s">
        <v>277</v>
      </c>
      <c r="L184" t="s">
        <v>332</v>
      </c>
      <c r="M184">
        <v>9</v>
      </c>
      <c r="N184">
        <v>3</v>
      </c>
      <c r="O184">
        <v>3</v>
      </c>
      <c r="P184" t="s">
        <v>279</v>
      </c>
      <c r="Q184" s="29">
        <v>143.46</v>
      </c>
      <c r="R184">
        <v>430</v>
      </c>
      <c r="S184">
        <v>20150112</v>
      </c>
      <c r="T184">
        <v>0</v>
      </c>
      <c r="U184">
        <v>0</v>
      </c>
      <c r="V184">
        <v>430</v>
      </c>
      <c r="W184" t="s">
        <v>280</v>
      </c>
      <c r="X184" t="s">
        <v>281</v>
      </c>
    </row>
    <row r="185" spans="5:29" x14ac:dyDescent="0.25">
      <c r="E185" s="24" t="s">
        <v>273</v>
      </c>
      <c r="F185" s="24" t="s">
        <v>316</v>
      </c>
      <c r="G185">
        <v>22</v>
      </c>
      <c r="H185" t="s">
        <v>275</v>
      </c>
      <c r="I185" s="22" t="s">
        <v>331</v>
      </c>
      <c r="J185" s="22">
        <v>1072504201</v>
      </c>
      <c r="K185" t="s">
        <v>277</v>
      </c>
      <c r="L185" t="s">
        <v>333</v>
      </c>
      <c r="M185">
        <v>9</v>
      </c>
      <c r="N185">
        <v>3</v>
      </c>
      <c r="O185">
        <v>3</v>
      </c>
      <c r="P185" t="s">
        <v>279</v>
      </c>
      <c r="Q185" s="29">
        <v>351.31</v>
      </c>
      <c r="R185">
        <v>1054</v>
      </c>
      <c r="S185">
        <v>20150112</v>
      </c>
      <c r="T185">
        <v>0</v>
      </c>
      <c r="U185">
        <v>0</v>
      </c>
      <c r="V185">
        <v>1054</v>
      </c>
      <c r="W185" t="s">
        <v>280</v>
      </c>
      <c r="X185" t="s">
        <v>281</v>
      </c>
    </row>
    <row r="186" spans="5:29" x14ac:dyDescent="0.25">
      <c r="E186" s="24" t="s">
        <v>273</v>
      </c>
      <c r="F186" s="24" t="s">
        <v>334</v>
      </c>
      <c r="G186">
        <v>1</v>
      </c>
      <c r="H186" t="s">
        <v>275</v>
      </c>
      <c r="I186" s="22" t="s">
        <v>287</v>
      </c>
      <c r="J186" s="22">
        <v>1072759701</v>
      </c>
      <c r="K186" t="s">
        <v>277</v>
      </c>
      <c r="L186" t="s">
        <v>291</v>
      </c>
      <c r="M186">
        <v>9</v>
      </c>
      <c r="N186">
        <v>100</v>
      </c>
      <c r="O186">
        <v>100</v>
      </c>
      <c r="P186" t="s">
        <v>279</v>
      </c>
      <c r="Q186" s="29">
        <v>18.739999999999998</v>
      </c>
      <c r="R186">
        <v>1874</v>
      </c>
      <c r="S186">
        <v>20150108</v>
      </c>
      <c r="T186">
        <v>0</v>
      </c>
      <c r="U186">
        <v>0</v>
      </c>
      <c r="V186">
        <v>1874</v>
      </c>
      <c r="W186" t="s">
        <v>280</v>
      </c>
      <c r="X186" t="s">
        <v>281</v>
      </c>
      <c r="Y186">
        <v>3</v>
      </c>
      <c r="Z186">
        <v>9370</v>
      </c>
      <c r="AA186">
        <v>0</v>
      </c>
      <c r="AB186">
        <v>0</v>
      </c>
      <c r="AC186">
        <v>9370</v>
      </c>
    </row>
    <row r="187" spans="5:29" x14ac:dyDescent="0.25">
      <c r="E187" s="24" t="s">
        <v>273</v>
      </c>
      <c r="F187" s="24" t="s">
        <v>334</v>
      </c>
      <c r="G187">
        <v>2</v>
      </c>
      <c r="H187" t="s">
        <v>275</v>
      </c>
      <c r="I187" s="22" t="s">
        <v>287</v>
      </c>
      <c r="J187" s="22">
        <v>1075617601</v>
      </c>
      <c r="K187" t="s">
        <v>277</v>
      </c>
      <c r="L187" t="s">
        <v>291</v>
      </c>
      <c r="M187">
        <v>9</v>
      </c>
      <c r="N187">
        <v>100</v>
      </c>
      <c r="O187">
        <v>100</v>
      </c>
      <c r="P187" t="s">
        <v>279</v>
      </c>
      <c r="Q187" s="29">
        <v>18.739999999999998</v>
      </c>
      <c r="R187">
        <v>1874</v>
      </c>
      <c r="S187">
        <v>20150115</v>
      </c>
      <c r="T187">
        <v>0</v>
      </c>
      <c r="U187">
        <v>0</v>
      </c>
      <c r="V187">
        <v>1874</v>
      </c>
      <c r="W187" t="s">
        <v>280</v>
      </c>
      <c r="X187" t="s">
        <v>281</v>
      </c>
    </row>
    <row r="188" spans="5:29" x14ac:dyDescent="0.25">
      <c r="E188" s="24" t="s">
        <v>273</v>
      </c>
      <c r="F188" s="24" t="s">
        <v>334</v>
      </c>
      <c r="G188">
        <v>3</v>
      </c>
      <c r="H188" t="s">
        <v>275</v>
      </c>
      <c r="I188" s="22" t="s">
        <v>287</v>
      </c>
      <c r="J188" s="22">
        <v>1077403901</v>
      </c>
      <c r="K188" t="s">
        <v>277</v>
      </c>
      <c r="L188" t="s">
        <v>291</v>
      </c>
      <c r="M188">
        <v>9</v>
      </c>
      <c r="N188">
        <v>100</v>
      </c>
      <c r="O188">
        <v>100</v>
      </c>
      <c r="P188" t="s">
        <v>279</v>
      </c>
      <c r="Q188" s="29">
        <v>18.739999999999998</v>
      </c>
      <c r="R188">
        <v>1874</v>
      </c>
      <c r="S188">
        <v>20150120</v>
      </c>
      <c r="T188">
        <v>0</v>
      </c>
      <c r="U188">
        <v>0</v>
      </c>
      <c r="V188">
        <v>1874</v>
      </c>
      <c r="W188" t="s">
        <v>280</v>
      </c>
      <c r="X188" t="s">
        <v>281</v>
      </c>
    </row>
    <row r="189" spans="5:29" x14ac:dyDescent="0.25">
      <c r="E189" s="24" t="s">
        <v>273</v>
      </c>
      <c r="F189" s="24" t="s">
        <v>334</v>
      </c>
      <c r="G189">
        <v>4</v>
      </c>
      <c r="H189" t="s">
        <v>275</v>
      </c>
      <c r="I189" s="22" t="s">
        <v>287</v>
      </c>
      <c r="J189" s="22">
        <v>1072759801</v>
      </c>
      <c r="K189" t="s">
        <v>277</v>
      </c>
      <c r="L189" t="s">
        <v>291</v>
      </c>
      <c r="M189">
        <v>9</v>
      </c>
      <c r="N189">
        <v>100</v>
      </c>
      <c r="O189">
        <v>100</v>
      </c>
      <c r="P189" t="s">
        <v>279</v>
      </c>
      <c r="Q189" s="29">
        <v>18.739999999999998</v>
      </c>
      <c r="R189">
        <v>1874</v>
      </c>
      <c r="S189">
        <v>20150108</v>
      </c>
      <c r="T189">
        <v>0</v>
      </c>
      <c r="U189">
        <v>0</v>
      </c>
      <c r="V189">
        <v>1874</v>
      </c>
      <c r="W189" t="s">
        <v>280</v>
      </c>
      <c r="X189" t="s">
        <v>281</v>
      </c>
    </row>
    <row r="190" spans="5:29" x14ac:dyDescent="0.25">
      <c r="E190" s="24" t="s">
        <v>273</v>
      </c>
      <c r="F190" s="24" t="s">
        <v>334</v>
      </c>
      <c r="G190">
        <v>5</v>
      </c>
      <c r="H190" t="s">
        <v>275</v>
      </c>
      <c r="I190" s="22" t="s">
        <v>287</v>
      </c>
      <c r="J190" s="22">
        <v>1075617001</v>
      </c>
      <c r="K190" t="s">
        <v>277</v>
      </c>
      <c r="L190" t="s">
        <v>291</v>
      </c>
      <c r="M190">
        <v>9</v>
      </c>
      <c r="N190">
        <v>100</v>
      </c>
      <c r="O190">
        <v>100</v>
      </c>
      <c r="P190" t="s">
        <v>279</v>
      </c>
      <c r="Q190" s="29">
        <v>18.739999999999998</v>
      </c>
      <c r="R190">
        <v>1874</v>
      </c>
      <c r="S190">
        <v>20150115</v>
      </c>
      <c r="T190">
        <v>0</v>
      </c>
      <c r="U190">
        <v>0</v>
      </c>
      <c r="V190">
        <v>1874</v>
      </c>
      <c r="W190" t="s">
        <v>280</v>
      </c>
      <c r="X190" t="s">
        <v>281</v>
      </c>
    </row>
    <row r="191" spans="5:29" x14ac:dyDescent="0.25">
      <c r="E191" s="24" t="s">
        <v>273</v>
      </c>
      <c r="F191" s="24" t="s">
        <v>335</v>
      </c>
      <c r="G191">
        <v>1</v>
      </c>
      <c r="H191" t="s">
        <v>275</v>
      </c>
      <c r="I191" s="22">
        <v>412027</v>
      </c>
      <c r="J191" s="22" t="s">
        <v>98</v>
      </c>
      <c r="K191" t="s">
        <v>133</v>
      </c>
      <c r="L191" t="s">
        <v>98</v>
      </c>
      <c r="M191" t="s">
        <v>336</v>
      </c>
      <c r="N191">
        <v>0</v>
      </c>
      <c r="O191">
        <v>0</v>
      </c>
      <c r="P191" t="s">
        <v>132</v>
      </c>
      <c r="Q191" s="29">
        <v>0</v>
      </c>
      <c r="R191">
        <v>0</v>
      </c>
      <c r="S191">
        <v>20150115</v>
      </c>
      <c r="T191">
        <v>0</v>
      </c>
      <c r="U191">
        <v>86114</v>
      </c>
      <c r="V191">
        <v>0</v>
      </c>
      <c r="Y191">
        <v>3</v>
      </c>
      <c r="Z191">
        <v>0</v>
      </c>
      <c r="AA191">
        <v>0</v>
      </c>
      <c r="AB191">
        <v>86390</v>
      </c>
      <c r="AC191">
        <v>0</v>
      </c>
    </row>
    <row r="192" spans="5:29" x14ac:dyDescent="0.25">
      <c r="E192" s="24" t="s">
        <v>273</v>
      </c>
      <c r="F192" s="24" t="s">
        <v>335</v>
      </c>
      <c r="G192">
        <v>2</v>
      </c>
      <c r="H192" t="s">
        <v>275</v>
      </c>
      <c r="I192" s="22" t="s">
        <v>337</v>
      </c>
      <c r="J192" s="22" t="s">
        <v>98</v>
      </c>
      <c r="K192" t="s">
        <v>277</v>
      </c>
      <c r="L192" t="s">
        <v>306</v>
      </c>
      <c r="M192">
        <v>9</v>
      </c>
      <c r="N192">
        <v>0</v>
      </c>
      <c r="O192">
        <v>0</v>
      </c>
      <c r="P192" t="s">
        <v>132</v>
      </c>
      <c r="Q192" s="29">
        <v>0</v>
      </c>
      <c r="R192">
        <v>0</v>
      </c>
      <c r="S192">
        <v>20150115</v>
      </c>
      <c r="T192">
        <v>0</v>
      </c>
      <c r="U192">
        <v>138</v>
      </c>
      <c r="V192">
        <v>0</v>
      </c>
    </row>
    <row r="193" spans="5:29" x14ac:dyDescent="0.25">
      <c r="E193" s="24" t="s">
        <v>273</v>
      </c>
      <c r="F193" s="24" t="s">
        <v>335</v>
      </c>
      <c r="G193">
        <v>3</v>
      </c>
      <c r="H193" t="s">
        <v>275</v>
      </c>
      <c r="I193" s="22" t="s">
        <v>338</v>
      </c>
      <c r="J193" s="22" t="s">
        <v>98</v>
      </c>
      <c r="K193" t="s">
        <v>277</v>
      </c>
      <c r="L193" t="s">
        <v>339</v>
      </c>
      <c r="M193">
        <v>9</v>
      </c>
      <c r="N193">
        <v>0</v>
      </c>
      <c r="O193">
        <v>0</v>
      </c>
      <c r="P193" t="s">
        <v>132</v>
      </c>
      <c r="Q193" s="29">
        <v>0</v>
      </c>
      <c r="R193">
        <v>0</v>
      </c>
      <c r="S193">
        <v>20150115</v>
      </c>
      <c r="T193">
        <v>0</v>
      </c>
      <c r="U193">
        <v>138</v>
      </c>
      <c r="V193">
        <v>0</v>
      </c>
    </row>
    <row r="194" spans="5:29" x14ac:dyDescent="0.25">
      <c r="E194" s="24" t="s">
        <v>273</v>
      </c>
      <c r="F194" s="24" t="s">
        <v>340</v>
      </c>
      <c r="G194">
        <v>1</v>
      </c>
      <c r="H194" t="s">
        <v>275</v>
      </c>
      <c r="I194" s="22" t="s">
        <v>293</v>
      </c>
      <c r="J194" s="22">
        <v>1078488501</v>
      </c>
      <c r="K194" t="s">
        <v>277</v>
      </c>
      <c r="L194" t="s">
        <v>294</v>
      </c>
      <c r="M194">
        <v>9</v>
      </c>
      <c r="N194">
        <v>4</v>
      </c>
      <c r="O194">
        <v>4</v>
      </c>
      <c r="P194" t="s">
        <v>279</v>
      </c>
      <c r="Q194" s="29">
        <v>5305.56</v>
      </c>
      <c r="R194">
        <v>21222</v>
      </c>
      <c r="S194">
        <v>20150121</v>
      </c>
      <c r="T194">
        <v>0</v>
      </c>
      <c r="U194">
        <v>0</v>
      </c>
      <c r="V194">
        <v>21222</v>
      </c>
      <c r="W194" t="s">
        <v>280</v>
      </c>
      <c r="X194" t="s">
        <v>281</v>
      </c>
      <c r="Y194">
        <v>3</v>
      </c>
      <c r="Z194">
        <v>1253554</v>
      </c>
      <c r="AA194">
        <v>0</v>
      </c>
      <c r="AB194">
        <v>0</v>
      </c>
      <c r="AC194">
        <v>1253554</v>
      </c>
    </row>
    <row r="195" spans="5:29" x14ac:dyDescent="0.25">
      <c r="E195" s="24" t="s">
        <v>273</v>
      </c>
      <c r="F195" s="24" t="s">
        <v>340</v>
      </c>
      <c r="G195">
        <v>2</v>
      </c>
      <c r="H195" t="s">
        <v>275</v>
      </c>
      <c r="I195" s="22" t="s">
        <v>293</v>
      </c>
      <c r="J195" s="22">
        <v>1080261801</v>
      </c>
      <c r="K195" t="s">
        <v>277</v>
      </c>
      <c r="L195" t="s">
        <v>294</v>
      </c>
      <c r="M195">
        <v>9</v>
      </c>
      <c r="N195">
        <v>1</v>
      </c>
      <c r="O195">
        <v>1</v>
      </c>
      <c r="P195" t="s">
        <v>279</v>
      </c>
      <c r="Q195" s="29">
        <v>5305.56</v>
      </c>
      <c r="R195">
        <v>5306</v>
      </c>
      <c r="S195">
        <v>20150126</v>
      </c>
      <c r="T195">
        <v>0</v>
      </c>
      <c r="U195">
        <v>0</v>
      </c>
      <c r="V195">
        <v>5306</v>
      </c>
      <c r="W195" t="s">
        <v>280</v>
      </c>
      <c r="X195" t="s">
        <v>281</v>
      </c>
    </row>
    <row r="196" spans="5:29" x14ac:dyDescent="0.25">
      <c r="E196" s="24" t="s">
        <v>273</v>
      </c>
      <c r="F196" s="24" t="s">
        <v>340</v>
      </c>
      <c r="G196">
        <v>3</v>
      </c>
      <c r="H196" t="s">
        <v>275</v>
      </c>
      <c r="I196" s="22" t="s">
        <v>293</v>
      </c>
      <c r="J196" s="22">
        <v>1079423401</v>
      </c>
      <c r="K196" t="s">
        <v>277</v>
      </c>
      <c r="L196" t="s">
        <v>296</v>
      </c>
      <c r="M196">
        <v>9</v>
      </c>
      <c r="N196">
        <v>2</v>
      </c>
      <c r="O196">
        <v>2</v>
      </c>
      <c r="P196" t="s">
        <v>279</v>
      </c>
      <c r="Q196" s="29">
        <v>5719.34</v>
      </c>
      <c r="R196">
        <v>11439</v>
      </c>
      <c r="S196">
        <v>20150123</v>
      </c>
      <c r="T196">
        <v>0</v>
      </c>
      <c r="U196">
        <v>0</v>
      </c>
      <c r="V196">
        <v>11439</v>
      </c>
      <c r="W196" t="s">
        <v>280</v>
      </c>
      <c r="X196" t="s">
        <v>281</v>
      </c>
    </row>
    <row r="197" spans="5:29" x14ac:dyDescent="0.25">
      <c r="E197" s="24" t="s">
        <v>273</v>
      </c>
      <c r="F197" s="24" t="s">
        <v>340</v>
      </c>
      <c r="G197">
        <v>4</v>
      </c>
      <c r="H197" t="s">
        <v>275</v>
      </c>
      <c r="I197" s="22" t="s">
        <v>293</v>
      </c>
      <c r="J197" s="22">
        <v>1080882401</v>
      </c>
      <c r="K197" t="s">
        <v>277</v>
      </c>
      <c r="L197" t="s">
        <v>296</v>
      </c>
      <c r="M197">
        <v>9</v>
      </c>
      <c r="N197">
        <v>11</v>
      </c>
      <c r="O197">
        <v>11</v>
      </c>
      <c r="P197" t="s">
        <v>279</v>
      </c>
      <c r="Q197" s="29">
        <v>5719.34</v>
      </c>
      <c r="R197">
        <v>62913</v>
      </c>
      <c r="S197">
        <v>20150127</v>
      </c>
      <c r="T197">
        <v>0</v>
      </c>
      <c r="U197">
        <v>0</v>
      </c>
      <c r="V197">
        <v>62913</v>
      </c>
      <c r="W197" t="s">
        <v>280</v>
      </c>
      <c r="X197" t="s">
        <v>281</v>
      </c>
    </row>
    <row r="198" spans="5:29" x14ac:dyDescent="0.25">
      <c r="E198" s="24" t="s">
        <v>273</v>
      </c>
      <c r="F198" s="24" t="s">
        <v>340</v>
      </c>
      <c r="G198">
        <v>5</v>
      </c>
      <c r="H198" t="s">
        <v>275</v>
      </c>
      <c r="I198" s="22" t="s">
        <v>293</v>
      </c>
      <c r="J198" s="22">
        <v>1079911401</v>
      </c>
      <c r="K198" t="s">
        <v>277</v>
      </c>
      <c r="L198" t="s">
        <v>296</v>
      </c>
      <c r="M198">
        <v>9</v>
      </c>
      <c r="N198">
        <v>2</v>
      </c>
      <c r="O198">
        <v>2</v>
      </c>
      <c r="P198" t="s">
        <v>279</v>
      </c>
      <c r="Q198" s="29">
        <v>5719.34</v>
      </c>
      <c r="R198">
        <v>11439</v>
      </c>
      <c r="S198">
        <v>20150123</v>
      </c>
      <c r="T198">
        <v>0</v>
      </c>
      <c r="U198">
        <v>0</v>
      </c>
      <c r="V198">
        <v>11439</v>
      </c>
      <c r="W198" t="s">
        <v>280</v>
      </c>
      <c r="X198" t="s">
        <v>281</v>
      </c>
    </row>
    <row r="199" spans="5:29" x14ac:dyDescent="0.25">
      <c r="E199" s="24" t="s">
        <v>273</v>
      </c>
      <c r="F199" s="24" t="s">
        <v>340</v>
      </c>
      <c r="G199">
        <v>6</v>
      </c>
      <c r="H199" t="s">
        <v>275</v>
      </c>
      <c r="I199" s="22" t="s">
        <v>293</v>
      </c>
      <c r="J199" s="22">
        <v>1078654701</v>
      </c>
      <c r="K199" t="s">
        <v>277</v>
      </c>
      <c r="L199" t="s">
        <v>296</v>
      </c>
      <c r="M199">
        <v>9</v>
      </c>
      <c r="N199">
        <v>3</v>
      </c>
      <c r="O199">
        <v>3</v>
      </c>
      <c r="P199" t="s">
        <v>279</v>
      </c>
      <c r="Q199" s="29">
        <v>5719.34</v>
      </c>
      <c r="R199">
        <v>17158</v>
      </c>
      <c r="S199">
        <v>20150121</v>
      </c>
      <c r="T199">
        <v>0</v>
      </c>
      <c r="U199">
        <v>0</v>
      </c>
      <c r="V199">
        <v>17158</v>
      </c>
      <c r="W199" t="s">
        <v>280</v>
      </c>
      <c r="X199" t="s">
        <v>281</v>
      </c>
    </row>
    <row r="200" spans="5:29" x14ac:dyDescent="0.25">
      <c r="E200" s="24" t="s">
        <v>273</v>
      </c>
      <c r="F200" s="24" t="s">
        <v>340</v>
      </c>
      <c r="G200">
        <v>7</v>
      </c>
      <c r="H200" t="s">
        <v>275</v>
      </c>
      <c r="I200" s="22" t="s">
        <v>293</v>
      </c>
      <c r="J200" s="22">
        <v>1078958701</v>
      </c>
      <c r="K200" t="s">
        <v>277</v>
      </c>
      <c r="L200" t="s">
        <v>296</v>
      </c>
      <c r="M200">
        <v>9</v>
      </c>
      <c r="N200">
        <v>1</v>
      </c>
      <c r="O200">
        <v>1</v>
      </c>
      <c r="P200" t="s">
        <v>279</v>
      </c>
      <c r="Q200" s="29">
        <v>5719.34</v>
      </c>
      <c r="R200">
        <v>5719</v>
      </c>
      <c r="S200">
        <v>20150122</v>
      </c>
      <c r="T200">
        <v>0</v>
      </c>
      <c r="U200">
        <v>0</v>
      </c>
      <c r="V200">
        <v>5719</v>
      </c>
      <c r="W200" t="s">
        <v>280</v>
      </c>
      <c r="X200" t="s">
        <v>281</v>
      </c>
    </row>
    <row r="201" spans="5:29" x14ac:dyDescent="0.25">
      <c r="E201" s="24" t="s">
        <v>273</v>
      </c>
      <c r="F201" s="24" t="s">
        <v>340</v>
      </c>
      <c r="G201">
        <v>8</v>
      </c>
      <c r="H201" t="s">
        <v>275</v>
      </c>
      <c r="I201" s="22" t="s">
        <v>293</v>
      </c>
      <c r="J201" s="22">
        <v>1081178801</v>
      </c>
      <c r="K201" t="s">
        <v>277</v>
      </c>
      <c r="L201" t="s">
        <v>296</v>
      </c>
      <c r="M201">
        <v>9</v>
      </c>
      <c r="N201">
        <v>14</v>
      </c>
      <c r="O201">
        <v>14</v>
      </c>
      <c r="P201" t="s">
        <v>279</v>
      </c>
      <c r="Q201" s="29">
        <v>5719.34</v>
      </c>
      <c r="R201">
        <v>80071</v>
      </c>
      <c r="S201">
        <v>20150128</v>
      </c>
      <c r="T201">
        <v>0</v>
      </c>
      <c r="U201">
        <v>0</v>
      </c>
      <c r="V201">
        <v>80071</v>
      </c>
      <c r="W201" t="s">
        <v>280</v>
      </c>
      <c r="X201" t="s">
        <v>281</v>
      </c>
    </row>
    <row r="202" spans="5:29" x14ac:dyDescent="0.25">
      <c r="E202" s="24" t="s">
        <v>273</v>
      </c>
      <c r="F202" s="24" t="s">
        <v>340</v>
      </c>
      <c r="G202">
        <v>9</v>
      </c>
      <c r="H202" t="s">
        <v>275</v>
      </c>
      <c r="I202" s="22" t="s">
        <v>293</v>
      </c>
      <c r="J202" s="22">
        <v>1081633201</v>
      </c>
      <c r="K202" t="s">
        <v>277</v>
      </c>
      <c r="L202" t="s">
        <v>296</v>
      </c>
      <c r="M202">
        <v>9</v>
      </c>
      <c r="N202">
        <v>14</v>
      </c>
      <c r="O202">
        <v>14</v>
      </c>
      <c r="P202" t="s">
        <v>279</v>
      </c>
      <c r="Q202" s="29">
        <v>5719.34</v>
      </c>
      <c r="R202">
        <v>80071</v>
      </c>
      <c r="S202">
        <v>20150129</v>
      </c>
      <c r="T202">
        <v>0</v>
      </c>
      <c r="U202">
        <v>0</v>
      </c>
      <c r="V202">
        <v>80071</v>
      </c>
      <c r="W202" t="s">
        <v>280</v>
      </c>
      <c r="X202" t="s">
        <v>281</v>
      </c>
    </row>
    <row r="203" spans="5:29" x14ac:dyDescent="0.25">
      <c r="E203" s="24" t="s">
        <v>273</v>
      </c>
      <c r="F203" s="24" t="s">
        <v>340</v>
      </c>
      <c r="G203">
        <v>10</v>
      </c>
      <c r="H203" t="s">
        <v>275</v>
      </c>
      <c r="I203" s="22" t="s">
        <v>293</v>
      </c>
      <c r="J203" s="22">
        <v>1081334201</v>
      </c>
      <c r="K203" t="s">
        <v>277</v>
      </c>
      <c r="L203" t="s">
        <v>296</v>
      </c>
      <c r="M203">
        <v>9</v>
      </c>
      <c r="N203">
        <v>8</v>
      </c>
      <c r="O203">
        <v>8</v>
      </c>
      <c r="P203" t="s">
        <v>279</v>
      </c>
      <c r="Q203" s="29">
        <v>5719.34</v>
      </c>
      <c r="R203">
        <v>45755</v>
      </c>
      <c r="S203">
        <v>20150128</v>
      </c>
      <c r="T203">
        <v>0</v>
      </c>
      <c r="U203">
        <v>0</v>
      </c>
      <c r="V203">
        <v>45755</v>
      </c>
      <c r="W203" t="s">
        <v>280</v>
      </c>
      <c r="X203" t="s">
        <v>281</v>
      </c>
    </row>
    <row r="204" spans="5:29" x14ac:dyDescent="0.25">
      <c r="E204" s="24" t="s">
        <v>273</v>
      </c>
      <c r="F204" s="24" t="s">
        <v>340</v>
      </c>
      <c r="G204">
        <v>11</v>
      </c>
      <c r="H204" t="s">
        <v>275</v>
      </c>
      <c r="I204" s="22" t="s">
        <v>293</v>
      </c>
      <c r="J204" s="22">
        <v>1078488601</v>
      </c>
      <c r="K204" t="s">
        <v>277</v>
      </c>
      <c r="L204" t="s">
        <v>296</v>
      </c>
      <c r="M204">
        <v>9</v>
      </c>
      <c r="N204">
        <v>3</v>
      </c>
      <c r="O204">
        <v>3</v>
      </c>
      <c r="P204" t="s">
        <v>279</v>
      </c>
      <c r="Q204" s="29">
        <v>5719.34</v>
      </c>
      <c r="R204">
        <v>17158</v>
      </c>
      <c r="S204">
        <v>20150121</v>
      </c>
      <c r="T204">
        <v>0</v>
      </c>
      <c r="U204">
        <v>0</v>
      </c>
      <c r="V204">
        <v>17158</v>
      </c>
      <c r="W204" t="s">
        <v>280</v>
      </c>
      <c r="X204" t="s">
        <v>281</v>
      </c>
    </row>
    <row r="205" spans="5:29" x14ac:dyDescent="0.25">
      <c r="E205" s="24" t="s">
        <v>273</v>
      </c>
      <c r="F205" s="24" t="s">
        <v>340</v>
      </c>
      <c r="G205">
        <v>12</v>
      </c>
      <c r="H205" t="s">
        <v>275</v>
      </c>
      <c r="I205" s="22" t="s">
        <v>276</v>
      </c>
      <c r="J205" s="22">
        <v>1077885901</v>
      </c>
      <c r="K205" t="s">
        <v>277</v>
      </c>
      <c r="L205" t="s">
        <v>299</v>
      </c>
      <c r="M205">
        <v>9</v>
      </c>
      <c r="N205">
        <v>20</v>
      </c>
      <c r="O205">
        <v>20</v>
      </c>
      <c r="P205" t="s">
        <v>279</v>
      </c>
      <c r="Q205" s="29">
        <v>4899.1400000000003</v>
      </c>
      <c r="R205">
        <v>97983</v>
      </c>
      <c r="S205">
        <v>20150121</v>
      </c>
      <c r="T205">
        <v>0</v>
      </c>
      <c r="U205">
        <v>0</v>
      </c>
      <c r="V205">
        <v>97983</v>
      </c>
      <c r="W205" t="s">
        <v>280</v>
      </c>
      <c r="X205" t="s">
        <v>281</v>
      </c>
    </row>
    <row r="206" spans="5:29" x14ac:dyDescent="0.25">
      <c r="E206" s="24" t="s">
        <v>273</v>
      </c>
      <c r="F206" s="24" t="s">
        <v>340</v>
      </c>
      <c r="G206">
        <v>13</v>
      </c>
      <c r="H206" t="s">
        <v>275</v>
      </c>
      <c r="I206" s="22" t="s">
        <v>276</v>
      </c>
      <c r="J206" s="22">
        <v>1080138201</v>
      </c>
      <c r="K206" t="s">
        <v>277</v>
      </c>
      <c r="L206" t="s">
        <v>299</v>
      </c>
      <c r="M206">
        <v>9</v>
      </c>
      <c r="N206">
        <v>5</v>
      </c>
      <c r="O206">
        <v>5</v>
      </c>
      <c r="P206" t="s">
        <v>279</v>
      </c>
      <c r="Q206" s="29">
        <v>4899.1400000000003</v>
      </c>
      <c r="R206">
        <v>24496</v>
      </c>
      <c r="S206">
        <v>20150128</v>
      </c>
      <c r="T206">
        <v>0</v>
      </c>
      <c r="U206">
        <v>0</v>
      </c>
      <c r="V206">
        <v>24496</v>
      </c>
      <c r="W206" t="s">
        <v>280</v>
      </c>
      <c r="X206" t="s">
        <v>281</v>
      </c>
    </row>
    <row r="207" spans="5:29" x14ac:dyDescent="0.25">
      <c r="E207" s="24" t="s">
        <v>273</v>
      </c>
      <c r="F207" s="24" t="s">
        <v>340</v>
      </c>
      <c r="G207">
        <v>14</v>
      </c>
      <c r="H207" t="s">
        <v>275</v>
      </c>
      <c r="I207" s="22" t="s">
        <v>276</v>
      </c>
      <c r="J207" s="22">
        <v>1081097811</v>
      </c>
      <c r="K207" t="s">
        <v>277</v>
      </c>
      <c r="L207" t="s">
        <v>299</v>
      </c>
      <c r="M207">
        <v>9</v>
      </c>
      <c r="N207">
        <v>22</v>
      </c>
      <c r="O207">
        <v>22</v>
      </c>
      <c r="P207" t="s">
        <v>279</v>
      </c>
      <c r="Q207" s="29">
        <v>4899.1400000000003</v>
      </c>
      <c r="R207">
        <v>107781</v>
      </c>
      <c r="S207">
        <v>20150130</v>
      </c>
      <c r="T207">
        <v>0</v>
      </c>
      <c r="U207">
        <v>0</v>
      </c>
      <c r="V207">
        <v>107781</v>
      </c>
      <c r="W207" t="s">
        <v>280</v>
      </c>
      <c r="X207" t="s">
        <v>281</v>
      </c>
    </row>
    <row r="208" spans="5:29" x14ac:dyDescent="0.25">
      <c r="E208" s="24" t="s">
        <v>273</v>
      </c>
      <c r="F208" s="24" t="s">
        <v>340</v>
      </c>
      <c r="G208">
        <v>15</v>
      </c>
      <c r="H208" t="s">
        <v>275</v>
      </c>
      <c r="I208" s="22" t="s">
        <v>276</v>
      </c>
      <c r="J208" s="22">
        <v>1080655801</v>
      </c>
      <c r="K208" t="s">
        <v>277</v>
      </c>
      <c r="L208" t="s">
        <v>299</v>
      </c>
      <c r="M208">
        <v>9</v>
      </c>
      <c r="N208">
        <v>14</v>
      </c>
      <c r="O208">
        <v>14</v>
      </c>
      <c r="P208" t="s">
        <v>279</v>
      </c>
      <c r="Q208" s="29">
        <v>4899.1400000000003</v>
      </c>
      <c r="R208">
        <v>68588</v>
      </c>
      <c r="S208">
        <v>20150128</v>
      </c>
      <c r="T208">
        <v>0</v>
      </c>
      <c r="U208">
        <v>0</v>
      </c>
      <c r="V208">
        <v>68588</v>
      </c>
      <c r="W208" t="s">
        <v>280</v>
      </c>
      <c r="X208" t="s">
        <v>281</v>
      </c>
    </row>
    <row r="209" spans="5:29" x14ac:dyDescent="0.25">
      <c r="E209" s="24" t="s">
        <v>273</v>
      </c>
      <c r="F209" s="24" t="s">
        <v>340</v>
      </c>
      <c r="G209">
        <v>16</v>
      </c>
      <c r="H209" t="s">
        <v>275</v>
      </c>
      <c r="I209" s="22" t="s">
        <v>276</v>
      </c>
      <c r="J209" s="22">
        <v>1079346901</v>
      </c>
      <c r="K209" t="s">
        <v>277</v>
      </c>
      <c r="L209" t="s">
        <v>299</v>
      </c>
      <c r="M209">
        <v>9</v>
      </c>
      <c r="N209">
        <v>30</v>
      </c>
      <c r="O209">
        <v>30</v>
      </c>
      <c r="P209" t="s">
        <v>279</v>
      </c>
      <c r="Q209" s="29">
        <v>4899.1400000000003</v>
      </c>
      <c r="R209">
        <v>146974</v>
      </c>
      <c r="S209">
        <v>20150126</v>
      </c>
      <c r="T209">
        <v>0</v>
      </c>
      <c r="U209">
        <v>0</v>
      </c>
      <c r="V209">
        <v>146974</v>
      </c>
      <c r="W209" t="s">
        <v>280</v>
      </c>
      <c r="X209" t="s">
        <v>281</v>
      </c>
    </row>
    <row r="210" spans="5:29" x14ac:dyDescent="0.25">
      <c r="E210" s="24" t="s">
        <v>273</v>
      </c>
      <c r="F210" s="24" t="s">
        <v>340</v>
      </c>
      <c r="G210">
        <v>17</v>
      </c>
      <c r="H210" t="s">
        <v>275</v>
      </c>
      <c r="I210" s="22" t="s">
        <v>276</v>
      </c>
      <c r="J210" s="22">
        <v>1081549401</v>
      </c>
      <c r="K210" t="s">
        <v>277</v>
      </c>
      <c r="L210" t="s">
        <v>299</v>
      </c>
      <c r="M210">
        <v>9</v>
      </c>
      <c r="N210">
        <v>4</v>
      </c>
      <c r="O210">
        <v>4</v>
      </c>
      <c r="P210" t="s">
        <v>279</v>
      </c>
      <c r="Q210" s="29">
        <v>4899.1400000000003</v>
      </c>
      <c r="R210">
        <v>19597</v>
      </c>
      <c r="S210">
        <v>20150130</v>
      </c>
      <c r="T210">
        <v>0</v>
      </c>
      <c r="U210">
        <v>0</v>
      </c>
      <c r="V210">
        <v>19597</v>
      </c>
      <c r="W210" t="s">
        <v>280</v>
      </c>
      <c r="X210" t="s">
        <v>281</v>
      </c>
    </row>
    <row r="211" spans="5:29" x14ac:dyDescent="0.25">
      <c r="E211" s="24" t="s">
        <v>273</v>
      </c>
      <c r="F211" s="24" t="s">
        <v>340</v>
      </c>
      <c r="G211">
        <v>18</v>
      </c>
      <c r="H211" t="s">
        <v>275</v>
      </c>
      <c r="I211" s="22" t="s">
        <v>276</v>
      </c>
      <c r="J211" s="22">
        <v>1078886301</v>
      </c>
      <c r="K211" t="s">
        <v>277</v>
      </c>
      <c r="L211" t="s">
        <v>299</v>
      </c>
      <c r="M211">
        <v>9</v>
      </c>
      <c r="N211">
        <v>22</v>
      </c>
      <c r="O211">
        <v>22</v>
      </c>
      <c r="P211" t="s">
        <v>279</v>
      </c>
      <c r="Q211" s="29">
        <v>4899.1400000000003</v>
      </c>
      <c r="R211">
        <v>107781</v>
      </c>
      <c r="S211">
        <v>20150123</v>
      </c>
      <c r="T211">
        <v>0</v>
      </c>
      <c r="U211">
        <v>0</v>
      </c>
      <c r="V211">
        <v>107781</v>
      </c>
      <c r="W211" t="s">
        <v>280</v>
      </c>
      <c r="X211" t="s">
        <v>281</v>
      </c>
    </row>
    <row r="212" spans="5:29" x14ac:dyDescent="0.25">
      <c r="E212" s="24" t="s">
        <v>273</v>
      </c>
      <c r="F212" s="24" t="s">
        <v>340</v>
      </c>
      <c r="G212">
        <v>19</v>
      </c>
      <c r="H212" t="s">
        <v>275</v>
      </c>
      <c r="I212" s="22" t="s">
        <v>276</v>
      </c>
      <c r="J212" s="22">
        <v>1078405101</v>
      </c>
      <c r="K212" t="s">
        <v>277</v>
      </c>
      <c r="L212" t="s">
        <v>299</v>
      </c>
      <c r="M212">
        <v>9</v>
      </c>
      <c r="N212">
        <v>4</v>
      </c>
      <c r="O212">
        <v>4</v>
      </c>
      <c r="P212" t="s">
        <v>279</v>
      </c>
      <c r="Q212" s="29">
        <v>4899.1400000000003</v>
      </c>
      <c r="R212">
        <v>19597</v>
      </c>
      <c r="S212">
        <v>20150122</v>
      </c>
      <c r="T212">
        <v>0</v>
      </c>
      <c r="U212">
        <v>0</v>
      </c>
      <c r="V212">
        <v>19597</v>
      </c>
      <c r="W212" t="s">
        <v>280</v>
      </c>
      <c r="X212" t="s">
        <v>281</v>
      </c>
    </row>
    <row r="213" spans="5:29" x14ac:dyDescent="0.25">
      <c r="E213" s="24" t="s">
        <v>273</v>
      </c>
      <c r="F213" s="24" t="s">
        <v>340</v>
      </c>
      <c r="G213">
        <v>20</v>
      </c>
      <c r="H213" t="s">
        <v>275</v>
      </c>
      <c r="I213" s="22" t="s">
        <v>276</v>
      </c>
      <c r="J213" s="22">
        <v>1080185701</v>
      </c>
      <c r="K213" t="s">
        <v>277</v>
      </c>
      <c r="L213" t="s">
        <v>299</v>
      </c>
      <c r="M213">
        <v>9</v>
      </c>
      <c r="N213">
        <v>28</v>
      </c>
      <c r="O213">
        <v>28</v>
      </c>
      <c r="P213" t="s">
        <v>279</v>
      </c>
      <c r="Q213" s="29">
        <v>4899.1400000000003</v>
      </c>
      <c r="R213">
        <v>137176</v>
      </c>
      <c r="S213">
        <v>20150127</v>
      </c>
      <c r="T213">
        <v>0</v>
      </c>
      <c r="U213">
        <v>0</v>
      </c>
      <c r="V213">
        <v>137176</v>
      </c>
      <c r="W213" t="s">
        <v>280</v>
      </c>
      <c r="X213" t="s">
        <v>281</v>
      </c>
    </row>
    <row r="214" spans="5:29" x14ac:dyDescent="0.25">
      <c r="E214" s="24" t="s">
        <v>273</v>
      </c>
      <c r="F214" s="24" t="s">
        <v>340</v>
      </c>
      <c r="G214">
        <v>21</v>
      </c>
      <c r="H214" t="s">
        <v>275</v>
      </c>
      <c r="I214" s="22" t="s">
        <v>276</v>
      </c>
      <c r="J214" s="22">
        <v>1079346501</v>
      </c>
      <c r="K214" t="s">
        <v>277</v>
      </c>
      <c r="L214" t="s">
        <v>301</v>
      </c>
      <c r="M214">
        <v>9</v>
      </c>
      <c r="N214">
        <v>22</v>
      </c>
      <c r="O214">
        <v>22</v>
      </c>
      <c r="P214" t="s">
        <v>279</v>
      </c>
      <c r="Q214" s="29">
        <v>4592.5200000000004</v>
      </c>
      <c r="R214">
        <v>101035</v>
      </c>
      <c r="S214">
        <v>20150126</v>
      </c>
      <c r="T214">
        <v>0</v>
      </c>
      <c r="U214">
        <v>0</v>
      </c>
      <c r="V214">
        <v>101035</v>
      </c>
      <c r="W214" t="s">
        <v>280</v>
      </c>
      <c r="X214" t="s">
        <v>281</v>
      </c>
    </row>
    <row r="215" spans="5:29" x14ac:dyDescent="0.25">
      <c r="E215" s="24" t="s">
        <v>273</v>
      </c>
      <c r="F215" s="24" t="s">
        <v>340</v>
      </c>
      <c r="G215">
        <v>22</v>
      </c>
      <c r="H215" t="s">
        <v>275</v>
      </c>
      <c r="I215" s="22" t="s">
        <v>276</v>
      </c>
      <c r="J215" s="22">
        <v>1081549901</v>
      </c>
      <c r="K215" t="s">
        <v>277</v>
      </c>
      <c r="L215" t="s">
        <v>301</v>
      </c>
      <c r="M215">
        <v>9</v>
      </c>
      <c r="N215">
        <v>14</v>
      </c>
      <c r="O215">
        <v>14</v>
      </c>
      <c r="P215" t="s">
        <v>279</v>
      </c>
      <c r="Q215" s="29">
        <v>4592.5200000000004</v>
      </c>
      <c r="R215">
        <v>64295</v>
      </c>
      <c r="S215">
        <v>20150130</v>
      </c>
      <c r="T215">
        <v>0</v>
      </c>
      <c r="U215">
        <v>0</v>
      </c>
      <c r="V215">
        <v>64295</v>
      </c>
      <c r="W215" t="s">
        <v>280</v>
      </c>
      <c r="X215" t="s">
        <v>281</v>
      </c>
    </row>
    <row r="216" spans="5:29" x14ac:dyDescent="0.25">
      <c r="E216" s="24" t="s">
        <v>273</v>
      </c>
      <c r="F216" s="24" t="s">
        <v>341</v>
      </c>
      <c r="G216">
        <v>1</v>
      </c>
      <c r="H216" t="s">
        <v>275</v>
      </c>
      <c r="I216" s="22" t="s">
        <v>276</v>
      </c>
      <c r="J216" s="22">
        <v>1081097901</v>
      </c>
      <c r="K216" t="s">
        <v>277</v>
      </c>
      <c r="L216" t="s">
        <v>301</v>
      </c>
      <c r="M216">
        <v>9</v>
      </c>
      <c r="N216">
        <v>18</v>
      </c>
      <c r="O216">
        <v>18</v>
      </c>
      <c r="P216" t="s">
        <v>279</v>
      </c>
      <c r="Q216" s="29">
        <v>4592.5200000000004</v>
      </c>
      <c r="R216">
        <v>82665</v>
      </c>
      <c r="S216">
        <v>20150129</v>
      </c>
      <c r="T216">
        <v>0</v>
      </c>
      <c r="U216">
        <v>0</v>
      </c>
      <c r="V216">
        <v>82665</v>
      </c>
      <c r="W216" t="s">
        <v>280</v>
      </c>
      <c r="X216" t="s">
        <v>281</v>
      </c>
      <c r="Y216">
        <v>3</v>
      </c>
      <c r="Z216">
        <v>978653</v>
      </c>
      <c r="AA216">
        <v>0</v>
      </c>
      <c r="AB216">
        <v>0</v>
      </c>
      <c r="AC216">
        <v>978653</v>
      </c>
    </row>
    <row r="217" spans="5:29" x14ac:dyDescent="0.25">
      <c r="E217" s="24" t="s">
        <v>273</v>
      </c>
      <c r="F217" s="24" t="s">
        <v>341</v>
      </c>
      <c r="G217">
        <v>2</v>
      </c>
      <c r="H217" t="s">
        <v>275</v>
      </c>
      <c r="I217" s="22" t="s">
        <v>276</v>
      </c>
      <c r="J217" s="22">
        <v>1080185301</v>
      </c>
      <c r="K217" t="s">
        <v>277</v>
      </c>
      <c r="L217" t="s">
        <v>301</v>
      </c>
      <c r="M217">
        <v>9</v>
      </c>
      <c r="N217">
        <v>28</v>
      </c>
      <c r="O217">
        <v>28</v>
      </c>
      <c r="P217" t="s">
        <v>279</v>
      </c>
      <c r="Q217" s="29">
        <v>4592.5200000000004</v>
      </c>
      <c r="R217">
        <v>128591</v>
      </c>
      <c r="S217">
        <v>20150127</v>
      </c>
      <c r="T217">
        <v>0</v>
      </c>
      <c r="U217">
        <v>0</v>
      </c>
      <c r="V217">
        <v>128591</v>
      </c>
      <c r="W217" t="s">
        <v>280</v>
      </c>
      <c r="X217" t="s">
        <v>281</v>
      </c>
    </row>
    <row r="218" spans="5:29" x14ac:dyDescent="0.25">
      <c r="E218" s="24" t="s">
        <v>273</v>
      </c>
      <c r="F218" s="24" t="s">
        <v>341</v>
      </c>
      <c r="G218">
        <v>3</v>
      </c>
      <c r="H218" t="s">
        <v>275</v>
      </c>
      <c r="I218" s="22" t="s">
        <v>276</v>
      </c>
      <c r="J218" s="22">
        <v>1080655301</v>
      </c>
      <c r="K218" t="s">
        <v>277</v>
      </c>
      <c r="L218" t="s">
        <v>301</v>
      </c>
      <c r="M218">
        <v>9</v>
      </c>
      <c r="N218">
        <v>14</v>
      </c>
      <c r="O218">
        <v>14</v>
      </c>
      <c r="P218" t="s">
        <v>279</v>
      </c>
      <c r="Q218" s="29">
        <v>4592.5200000000004</v>
      </c>
      <c r="R218">
        <v>64295</v>
      </c>
      <c r="S218">
        <v>20150128</v>
      </c>
      <c r="T218">
        <v>0</v>
      </c>
      <c r="U218">
        <v>0</v>
      </c>
      <c r="V218">
        <v>64295</v>
      </c>
      <c r="W218" t="s">
        <v>280</v>
      </c>
      <c r="X218" t="s">
        <v>281</v>
      </c>
    </row>
    <row r="219" spans="5:29" x14ac:dyDescent="0.25">
      <c r="E219" s="24" t="s">
        <v>273</v>
      </c>
      <c r="F219" s="24" t="s">
        <v>341</v>
      </c>
      <c r="G219">
        <v>4</v>
      </c>
      <c r="H219" t="s">
        <v>275</v>
      </c>
      <c r="I219" s="22" t="s">
        <v>276</v>
      </c>
      <c r="J219" s="22">
        <v>1081549801</v>
      </c>
      <c r="K219" t="s">
        <v>277</v>
      </c>
      <c r="L219" t="s">
        <v>303</v>
      </c>
      <c r="M219">
        <v>9</v>
      </c>
      <c r="N219">
        <v>30</v>
      </c>
      <c r="O219">
        <v>30</v>
      </c>
      <c r="P219" t="s">
        <v>279</v>
      </c>
      <c r="Q219" s="29">
        <v>4341.3999999999996</v>
      </c>
      <c r="R219">
        <v>130242</v>
      </c>
      <c r="S219">
        <v>20150130</v>
      </c>
      <c r="T219">
        <v>0</v>
      </c>
      <c r="U219">
        <v>0</v>
      </c>
      <c r="V219">
        <v>130242</v>
      </c>
      <c r="W219" t="s">
        <v>280</v>
      </c>
      <c r="X219" t="s">
        <v>281</v>
      </c>
    </row>
    <row r="220" spans="5:29" x14ac:dyDescent="0.25">
      <c r="E220" s="24" t="s">
        <v>273</v>
      </c>
      <c r="F220" s="24" t="s">
        <v>341</v>
      </c>
      <c r="G220">
        <v>5</v>
      </c>
      <c r="H220" t="s">
        <v>275</v>
      </c>
      <c r="I220" s="22" t="s">
        <v>304</v>
      </c>
      <c r="J220" s="22">
        <v>1078405001</v>
      </c>
      <c r="K220" t="s">
        <v>277</v>
      </c>
      <c r="L220" t="s">
        <v>305</v>
      </c>
      <c r="M220">
        <v>9</v>
      </c>
      <c r="N220">
        <v>18</v>
      </c>
      <c r="O220">
        <v>18</v>
      </c>
      <c r="P220" t="s">
        <v>279</v>
      </c>
      <c r="Q220" s="29">
        <v>4894.18</v>
      </c>
      <c r="R220">
        <v>88095</v>
      </c>
      <c r="S220">
        <v>20150122</v>
      </c>
      <c r="T220">
        <v>0</v>
      </c>
      <c r="U220">
        <v>0</v>
      </c>
      <c r="V220">
        <v>88095</v>
      </c>
      <c r="W220" t="s">
        <v>280</v>
      </c>
      <c r="X220" t="s">
        <v>281</v>
      </c>
    </row>
    <row r="221" spans="5:29" x14ac:dyDescent="0.25">
      <c r="E221" s="24" t="s">
        <v>273</v>
      </c>
      <c r="F221" s="24" t="s">
        <v>341</v>
      </c>
      <c r="G221">
        <v>6</v>
      </c>
      <c r="H221" t="s">
        <v>275</v>
      </c>
      <c r="I221" s="22" t="s">
        <v>304</v>
      </c>
      <c r="J221" s="22">
        <v>1081549201</v>
      </c>
      <c r="K221" t="s">
        <v>277</v>
      </c>
      <c r="L221" t="s">
        <v>305</v>
      </c>
      <c r="M221">
        <v>9</v>
      </c>
      <c r="N221">
        <v>32</v>
      </c>
      <c r="O221">
        <v>32</v>
      </c>
      <c r="P221" t="s">
        <v>279</v>
      </c>
      <c r="Q221" s="29">
        <v>4894.18</v>
      </c>
      <c r="R221">
        <v>156614</v>
      </c>
      <c r="S221">
        <v>20150130</v>
      </c>
      <c r="T221">
        <v>0</v>
      </c>
      <c r="U221">
        <v>0</v>
      </c>
      <c r="V221">
        <v>156614</v>
      </c>
      <c r="W221" t="s">
        <v>280</v>
      </c>
      <c r="X221" t="s">
        <v>281</v>
      </c>
    </row>
    <row r="222" spans="5:29" x14ac:dyDescent="0.25">
      <c r="E222" s="24" t="s">
        <v>273</v>
      </c>
      <c r="F222" s="24" t="s">
        <v>341</v>
      </c>
      <c r="G222">
        <v>7</v>
      </c>
      <c r="H222" t="s">
        <v>275</v>
      </c>
      <c r="I222" s="22" t="s">
        <v>304</v>
      </c>
      <c r="J222" s="22">
        <v>1080655601</v>
      </c>
      <c r="K222" t="s">
        <v>277</v>
      </c>
      <c r="L222" t="s">
        <v>305</v>
      </c>
      <c r="M222">
        <v>9</v>
      </c>
      <c r="N222">
        <v>20</v>
      </c>
      <c r="O222">
        <v>20</v>
      </c>
      <c r="P222" t="s">
        <v>279</v>
      </c>
      <c r="Q222" s="29">
        <v>4894.18</v>
      </c>
      <c r="R222">
        <v>97884</v>
      </c>
      <c r="S222">
        <v>20150128</v>
      </c>
      <c r="T222">
        <v>0</v>
      </c>
      <c r="U222">
        <v>0</v>
      </c>
      <c r="V222">
        <v>97884</v>
      </c>
      <c r="W222" t="s">
        <v>280</v>
      </c>
      <c r="X222" t="s">
        <v>281</v>
      </c>
    </row>
    <row r="223" spans="5:29" x14ac:dyDescent="0.25">
      <c r="E223" s="24" t="s">
        <v>273</v>
      </c>
      <c r="F223" s="24" t="s">
        <v>341</v>
      </c>
      <c r="G223">
        <v>8</v>
      </c>
      <c r="H223" t="s">
        <v>275</v>
      </c>
      <c r="I223" s="22" t="s">
        <v>304</v>
      </c>
      <c r="J223" s="22">
        <v>1081097711</v>
      </c>
      <c r="K223" t="s">
        <v>277</v>
      </c>
      <c r="L223" t="s">
        <v>305</v>
      </c>
      <c r="M223">
        <v>9</v>
      </c>
      <c r="N223">
        <v>22</v>
      </c>
      <c r="O223">
        <v>22</v>
      </c>
      <c r="P223" t="s">
        <v>279</v>
      </c>
      <c r="Q223" s="29">
        <v>4894.18</v>
      </c>
      <c r="R223">
        <v>107672</v>
      </c>
      <c r="S223">
        <v>20150130</v>
      </c>
      <c r="T223">
        <v>0</v>
      </c>
      <c r="U223">
        <v>0</v>
      </c>
      <c r="V223">
        <v>107672</v>
      </c>
      <c r="W223" t="s">
        <v>280</v>
      </c>
      <c r="X223" t="s">
        <v>281</v>
      </c>
    </row>
    <row r="224" spans="5:29" x14ac:dyDescent="0.25">
      <c r="E224" s="24" t="s">
        <v>273</v>
      </c>
      <c r="F224" s="24" t="s">
        <v>341</v>
      </c>
      <c r="G224">
        <v>9</v>
      </c>
      <c r="H224" t="s">
        <v>275</v>
      </c>
      <c r="I224" s="22" t="s">
        <v>342</v>
      </c>
      <c r="J224" s="22">
        <v>1076369201</v>
      </c>
      <c r="K224" t="s">
        <v>277</v>
      </c>
      <c r="L224" t="s">
        <v>343</v>
      </c>
      <c r="M224">
        <v>9</v>
      </c>
      <c r="N224">
        <v>8</v>
      </c>
      <c r="O224">
        <v>8</v>
      </c>
      <c r="P224" t="s">
        <v>279</v>
      </c>
      <c r="Q224" s="29">
        <v>4530.42</v>
      </c>
      <c r="R224">
        <v>36243</v>
      </c>
      <c r="S224">
        <v>20150129</v>
      </c>
      <c r="T224">
        <v>0</v>
      </c>
      <c r="U224">
        <v>0</v>
      </c>
      <c r="V224">
        <v>36243</v>
      </c>
      <c r="W224" t="s">
        <v>280</v>
      </c>
      <c r="X224" t="s">
        <v>281</v>
      </c>
    </row>
    <row r="225" spans="5:29" x14ac:dyDescent="0.25">
      <c r="E225" s="24" t="s">
        <v>273</v>
      </c>
      <c r="F225" s="24" t="s">
        <v>341</v>
      </c>
      <c r="G225">
        <v>10</v>
      </c>
      <c r="H225" t="s">
        <v>275</v>
      </c>
      <c r="I225" s="22" t="s">
        <v>342</v>
      </c>
      <c r="J225" s="22">
        <v>1071616001</v>
      </c>
      <c r="K225" t="s">
        <v>277</v>
      </c>
      <c r="L225" t="s">
        <v>343</v>
      </c>
      <c r="M225">
        <v>9</v>
      </c>
      <c r="N225">
        <v>1</v>
      </c>
      <c r="O225">
        <v>1</v>
      </c>
      <c r="P225" t="s">
        <v>279</v>
      </c>
      <c r="Q225" s="29">
        <v>4530.42</v>
      </c>
      <c r="R225">
        <v>4530</v>
      </c>
      <c r="S225">
        <v>20150129</v>
      </c>
      <c r="T225">
        <v>0</v>
      </c>
      <c r="U225">
        <v>0</v>
      </c>
      <c r="V225">
        <v>4530</v>
      </c>
      <c r="W225" t="s">
        <v>280</v>
      </c>
      <c r="X225" t="s">
        <v>281</v>
      </c>
    </row>
    <row r="226" spans="5:29" x14ac:dyDescent="0.25">
      <c r="E226" s="24" t="s">
        <v>273</v>
      </c>
      <c r="F226" s="24" t="s">
        <v>341</v>
      </c>
      <c r="G226">
        <v>11</v>
      </c>
      <c r="H226" t="s">
        <v>275</v>
      </c>
      <c r="I226" s="22" t="s">
        <v>342</v>
      </c>
      <c r="J226" s="22">
        <v>1076369301</v>
      </c>
      <c r="K226" t="s">
        <v>277</v>
      </c>
      <c r="L226" t="s">
        <v>344</v>
      </c>
      <c r="M226">
        <v>9</v>
      </c>
      <c r="N226">
        <v>8</v>
      </c>
      <c r="O226">
        <v>8</v>
      </c>
      <c r="P226" t="s">
        <v>279</v>
      </c>
      <c r="Q226" s="29">
        <v>4979.26</v>
      </c>
      <c r="R226">
        <v>39834</v>
      </c>
      <c r="S226">
        <v>20150129</v>
      </c>
      <c r="T226">
        <v>0</v>
      </c>
      <c r="U226">
        <v>0</v>
      </c>
      <c r="V226">
        <v>39834</v>
      </c>
      <c r="W226" t="s">
        <v>280</v>
      </c>
      <c r="X226" t="s">
        <v>281</v>
      </c>
    </row>
    <row r="227" spans="5:29" x14ac:dyDescent="0.25">
      <c r="E227" s="24" t="s">
        <v>273</v>
      </c>
      <c r="F227" s="24" t="s">
        <v>341</v>
      </c>
      <c r="G227">
        <v>12</v>
      </c>
      <c r="H227" t="s">
        <v>275</v>
      </c>
      <c r="I227" s="22" t="s">
        <v>342</v>
      </c>
      <c r="J227" s="22">
        <v>1071605401</v>
      </c>
      <c r="K227" t="s">
        <v>277</v>
      </c>
      <c r="L227" t="s">
        <v>344</v>
      </c>
      <c r="M227">
        <v>9</v>
      </c>
      <c r="N227">
        <v>1</v>
      </c>
      <c r="O227">
        <v>1</v>
      </c>
      <c r="P227" t="s">
        <v>279</v>
      </c>
      <c r="Q227" s="29">
        <v>4979.26</v>
      </c>
      <c r="R227">
        <v>4979</v>
      </c>
      <c r="S227">
        <v>20150129</v>
      </c>
      <c r="T227">
        <v>0</v>
      </c>
      <c r="U227">
        <v>0</v>
      </c>
      <c r="V227">
        <v>4979</v>
      </c>
      <c r="W227" t="s">
        <v>280</v>
      </c>
      <c r="X227" t="s">
        <v>281</v>
      </c>
    </row>
    <row r="228" spans="5:29" x14ac:dyDescent="0.25">
      <c r="E228" s="24" t="s">
        <v>273</v>
      </c>
      <c r="F228" s="24" t="s">
        <v>341</v>
      </c>
      <c r="G228">
        <v>13</v>
      </c>
      <c r="H228" t="s">
        <v>275</v>
      </c>
      <c r="I228" s="22" t="s">
        <v>287</v>
      </c>
      <c r="J228" s="22">
        <v>1077886001</v>
      </c>
      <c r="K228" t="s">
        <v>277</v>
      </c>
      <c r="L228" t="s">
        <v>314</v>
      </c>
      <c r="M228">
        <v>9</v>
      </c>
      <c r="N228">
        <v>32</v>
      </c>
      <c r="O228">
        <v>32</v>
      </c>
      <c r="P228" t="s">
        <v>279</v>
      </c>
      <c r="Q228" s="29">
        <v>94.64</v>
      </c>
      <c r="R228">
        <v>3028</v>
      </c>
      <c r="S228">
        <v>20150121</v>
      </c>
      <c r="T228">
        <v>0</v>
      </c>
      <c r="U228">
        <v>0</v>
      </c>
      <c r="V228">
        <v>3028</v>
      </c>
      <c r="W228" t="s">
        <v>280</v>
      </c>
      <c r="X228" t="s">
        <v>281</v>
      </c>
    </row>
    <row r="229" spans="5:29" x14ac:dyDescent="0.25">
      <c r="E229" s="24" t="s">
        <v>273</v>
      </c>
      <c r="F229" s="24" t="s">
        <v>341</v>
      </c>
      <c r="G229">
        <v>14</v>
      </c>
      <c r="H229" t="s">
        <v>275</v>
      </c>
      <c r="I229" s="22" t="s">
        <v>287</v>
      </c>
      <c r="J229" s="22">
        <v>1080185601</v>
      </c>
      <c r="K229" t="s">
        <v>277</v>
      </c>
      <c r="L229" t="s">
        <v>314</v>
      </c>
      <c r="M229">
        <v>9</v>
      </c>
      <c r="N229">
        <v>32</v>
      </c>
      <c r="O229">
        <v>32</v>
      </c>
      <c r="P229" t="s">
        <v>279</v>
      </c>
      <c r="Q229" s="29">
        <v>94.64</v>
      </c>
      <c r="R229">
        <v>3028</v>
      </c>
      <c r="S229">
        <v>20150127</v>
      </c>
      <c r="T229">
        <v>0</v>
      </c>
      <c r="U229">
        <v>0</v>
      </c>
      <c r="V229">
        <v>3028</v>
      </c>
      <c r="W229" t="s">
        <v>280</v>
      </c>
      <c r="X229" t="s">
        <v>281</v>
      </c>
    </row>
    <row r="230" spans="5:29" x14ac:dyDescent="0.25">
      <c r="E230" s="24" t="s">
        <v>273</v>
      </c>
      <c r="F230" s="24" t="s">
        <v>341</v>
      </c>
      <c r="G230">
        <v>15</v>
      </c>
      <c r="H230" t="s">
        <v>275</v>
      </c>
      <c r="I230" s="22" t="s">
        <v>287</v>
      </c>
      <c r="J230" s="22">
        <v>1081097611</v>
      </c>
      <c r="K230" t="s">
        <v>277</v>
      </c>
      <c r="L230" t="s">
        <v>314</v>
      </c>
      <c r="M230">
        <v>9</v>
      </c>
      <c r="N230">
        <v>64</v>
      </c>
      <c r="O230">
        <v>64</v>
      </c>
      <c r="P230" t="s">
        <v>279</v>
      </c>
      <c r="Q230" s="29">
        <v>94.64</v>
      </c>
      <c r="R230">
        <v>6057</v>
      </c>
      <c r="S230">
        <v>20150130</v>
      </c>
      <c r="T230">
        <v>0</v>
      </c>
      <c r="U230">
        <v>0</v>
      </c>
      <c r="V230">
        <v>6057</v>
      </c>
      <c r="W230" t="s">
        <v>280</v>
      </c>
      <c r="X230" t="s">
        <v>281</v>
      </c>
    </row>
    <row r="231" spans="5:29" x14ac:dyDescent="0.25">
      <c r="E231" s="24" t="s">
        <v>273</v>
      </c>
      <c r="F231" s="24" t="s">
        <v>341</v>
      </c>
      <c r="G231">
        <v>16</v>
      </c>
      <c r="H231" t="s">
        <v>275</v>
      </c>
      <c r="I231" s="22" t="s">
        <v>287</v>
      </c>
      <c r="J231" s="22">
        <v>1078886201</v>
      </c>
      <c r="K231" t="s">
        <v>277</v>
      </c>
      <c r="L231" t="s">
        <v>314</v>
      </c>
      <c r="M231">
        <v>9</v>
      </c>
      <c r="N231">
        <v>32</v>
      </c>
      <c r="O231">
        <v>32</v>
      </c>
      <c r="P231" t="s">
        <v>279</v>
      </c>
      <c r="Q231" s="29">
        <v>94.64</v>
      </c>
      <c r="R231">
        <v>3028</v>
      </c>
      <c r="S231">
        <v>20150123</v>
      </c>
      <c r="T231">
        <v>0</v>
      </c>
      <c r="U231">
        <v>0</v>
      </c>
      <c r="V231">
        <v>3028</v>
      </c>
      <c r="W231" t="s">
        <v>280</v>
      </c>
      <c r="X231" t="s">
        <v>281</v>
      </c>
    </row>
    <row r="232" spans="5:29" x14ac:dyDescent="0.25">
      <c r="E232" s="24" t="s">
        <v>273</v>
      </c>
      <c r="F232" s="24" t="s">
        <v>341</v>
      </c>
      <c r="G232">
        <v>17</v>
      </c>
      <c r="H232" t="s">
        <v>275</v>
      </c>
      <c r="I232" s="22" t="s">
        <v>287</v>
      </c>
      <c r="J232" s="22">
        <v>1079346701</v>
      </c>
      <c r="K232" t="s">
        <v>277</v>
      </c>
      <c r="L232" t="s">
        <v>314</v>
      </c>
      <c r="M232">
        <v>9</v>
      </c>
      <c r="N232">
        <v>32</v>
      </c>
      <c r="O232">
        <v>32</v>
      </c>
      <c r="P232" t="s">
        <v>279</v>
      </c>
      <c r="Q232" s="29">
        <v>94.64</v>
      </c>
      <c r="R232">
        <v>3028</v>
      </c>
      <c r="S232">
        <v>20150126</v>
      </c>
      <c r="T232">
        <v>0</v>
      </c>
      <c r="U232">
        <v>0</v>
      </c>
      <c r="V232">
        <v>3028</v>
      </c>
      <c r="W232" t="s">
        <v>280</v>
      </c>
      <c r="X232" t="s">
        <v>281</v>
      </c>
    </row>
    <row r="233" spans="5:29" x14ac:dyDescent="0.25">
      <c r="E233" s="24" t="s">
        <v>273</v>
      </c>
      <c r="F233" s="24" t="s">
        <v>341</v>
      </c>
      <c r="G233">
        <v>18</v>
      </c>
      <c r="H233" t="s">
        <v>275</v>
      </c>
      <c r="I233" s="22" t="s">
        <v>287</v>
      </c>
      <c r="J233" s="22">
        <v>1080655401</v>
      </c>
      <c r="K233" t="s">
        <v>277</v>
      </c>
      <c r="L233" t="s">
        <v>314</v>
      </c>
      <c r="M233">
        <v>9</v>
      </c>
      <c r="N233">
        <v>32</v>
      </c>
      <c r="O233">
        <v>32</v>
      </c>
      <c r="P233" t="s">
        <v>279</v>
      </c>
      <c r="Q233" s="29">
        <v>94.64</v>
      </c>
      <c r="R233">
        <v>3028</v>
      </c>
      <c r="S233">
        <v>20150128</v>
      </c>
      <c r="T233">
        <v>0</v>
      </c>
      <c r="U233">
        <v>0</v>
      </c>
      <c r="V233">
        <v>3028</v>
      </c>
      <c r="W233" t="s">
        <v>280</v>
      </c>
      <c r="X233" t="s">
        <v>281</v>
      </c>
    </row>
    <row r="234" spans="5:29" x14ac:dyDescent="0.25">
      <c r="E234" s="24" t="s">
        <v>273</v>
      </c>
      <c r="F234" s="24" t="s">
        <v>341</v>
      </c>
      <c r="G234">
        <v>19</v>
      </c>
      <c r="H234" t="s">
        <v>275</v>
      </c>
      <c r="I234" s="22" t="s">
        <v>287</v>
      </c>
      <c r="J234" s="22">
        <v>1081549601</v>
      </c>
      <c r="K234" t="s">
        <v>277</v>
      </c>
      <c r="L234" t="s">
        <v>314</v>
      </c>
      <c r="M234">
        <v>9</v>
      </c>
      <c r="N234">
        <v>32</v>
      </c>
      <c r="O234">
        <v>32</v>
      </c>
      <c r="P234" t="s">
        <v>279</v>
      </c>
      <c r="Q234" s="29">
        <v>94.64</v>
      </c>
      <c r="R234">
        <v>3028</v>
      </c>
      <c r="S234">
        <v>20150130</v>
      </c>
      <c r="T234">
        <v>0</v>
      </c>
      <c r="U234">
        <v>0</v>
      </c>
      <c r="V234">
        <v>3028</v>
      </c>
      <c r="W234" t="s">
        <v>280</v>
      </c>
      <c r="X234" t="s">
        <v>281</v>
      </c>
    </row>
    <row r="235" spans="5:29" x14ac:dyDescent="0.25">
      <c r="E235" s="24" t="s">
        <v>273</v>
      </c>
      <c r="F235" s="24" t="s">
        <v>341</v>
      </c>
      <c r="G235">
        <v>20</v>
      </c>
      <c r="H235" t="s">
        <v>275</v>
      </c>
      <c r="I235" s="22" t="s">
        <v>287</v>
      </c>
      <c r="J235" s="22">
        <v>1080185501</v>
      </c>
      <c r="K235" t="s">
        <v>277</v>
      </c>
      <c r="L235" t="s">
        <v>288</v>
      </c>
      <c r="M235">
        <v>9</v>
      </c>
      <c r="N235">
        <v>32</v>
      </c>
      <c r="O235">
        <v>32</v>
      </c>
      <c r="P235" t="s">
        <v>279</v>
      </c>
      <c r="Q235" s="29">
        <v>99.88</v>
      </c>
      <c r="R235">
        <v>3196</v>
      </c>
      <c r="S235">
        <v>20150127</v>
      </c>
      <c r="T235">
        <v>0</v>
      </c>
      <c r="U235">
        <v>0</v>
      </c>
      <c r="V235">
        <v>3196</v>
      </c>
      <c r="W235" t="s">
        <v>280</v>
      </c>
      <c r="X235" t="s">
        <v>281</v>
      </c>
    </row>
    <row r="236" spans="5:29" x14ac:dyDescent="0.25">
      <c r="E236" s="24" t="s">
        <v>273</v>
      </c>
      <c r="F236" s="24" t="s">
        <v>341</v>
      </c>
      <c r="G236">
        <v>21</v>
      </c>
      <c r="H236" t="s">
        <v>275</v>
      </c>
      <c r="I236" s="22" t="s">
        <v>287</v>
      </c>
      <c r="J236" s="22">
        <v>1081549701</v>
      </c>
      <c r="K236" t="s">
        <v>277</v>
      </c>
      <c r="L236" t="s">
        <v>288</v>
      </c>
      <c r="M236">
        <v>9</v>
      </c>
      <c r="N236">
        <v>64</v>
      </c>
      <c r="O236">
        <v>64</v>
      </c>
      <c r="P236" t="s">
        <v>279</v>
      </c>
      <c r="Q236" s="29">
        <v>99.88</v>
      </c>
      <c r="R236">
        <v>6392</v>
      </c>
      <c r="S236">
        <v>20150130</v>
      </c>
      <c r="T236">
        <v>0</v>
      </c>
      <c r="U236">
        <v>0</v>
      </c>
      <c r="V236">
        <v>6392</v>
      </c>
      <c r="W236" t="s">
        <v>280</v>
      </c>
      <c r="X236" t="s">
        <v>281</v>
      </c>
    </row>
    <row r="237" spans="5:29" x14ac:dyDescent="0.25">
      <c r="E237" s="24" t="s">
        <v>273</v>
      </c>
      <c r="F237" s="24" t="s">
        <v>341</v>
      </c>
      <c r="G237">
        <v>22</v>
      </c>
      <c r="H237" t="s">
        <v>275</v>
      </c>
      <c r="I237" s="22" t="s">
        <v>287</v>
      </c>
      <c r="J237" s="22">
        <v>1080655201</v>
      </c>
      <c r="K237" t="s">
        <v>277</v>
      </c>
      <c r="L237" t="s">
        <v>288</v>
      </c>
      <c r="M237">
        <v>9</v>
      </c>
      <c r="N237">
        <v>32</v>
      </c>
      <c r="O237">
        <v>32</v>
      </c>
      <c r="P237" t="s">
        <v>279</v>
      </c>
      <c r="Q237" s="29">
        <v>99.88</v>
      </c>
      <c r="R237">
        <v>3196</v>
      </c>
      <c r="S237">
        <v>20150128</v>
      </c>
      <c r="T237">
        <v>0</v>
      </c>
      <c r="U237">
        <v>0</v>
      </c>
      <c r="V237">
        <v>3196</v>
      </c>
      <c r="W237" t="s">
        <v>280</v>
      </c>
      <c r="X237" t="s">
        <v>281</v>
      </c>
    </row>
    <row r="238" spans="5:29" x14ac:dyDescent="0.25">
      <c r="E238" s="24" t="s">
        <v>273</v>
      </c>
      <c r="F238" s="24" t="s">
        <v>345</v>
      </c>
      <c r="G238">
        <v>1</v>
      </c>
      <c r="H238" t="s">
        <v>275</v>
      </c>
      <c r="I238" s="22" t="s">
        <v>342</v>
      </c>
      <c r="J238" s="22">
        <v>1076360701</v>
      </c>
      <c r="K238" t="s">
        <v>277</v>
      </c>
      <c r="L238" t="s">
        <v>346</v>
      </c>
      <c r="M238">
        <v>9</v>
      </c>
      <c r="N238">
        <v>32</v>
      </c>
      <c r="O238">
        <v>32</v>
      </c>
      <c r="P238" t="s">
        <v>279</v>
      </c>
      <c r="Q238" s="29">
        <v>99.88</v>
      </c>
      <c r="R238">
        <v>3196</v>
      </c>
      <c r="S238">
        <v>20150126</v>
      </c>
      <c r="T238">
        <v>0</v>
      </c>
      <c r="U238">
        <v>0</v>
      </c>
      <c r="V238">
        <v>3196</v>
      </c>
      <c r="W238" t="s">
        <v>280</v>
      </c>
      <c r="X238" t="s">
        <v>281</v>
      </c>
      <c r="Y238">
        <v>3</v>
      </c>
      <c r="Z238">
        <v>871106</v>
      </c>
      <c r="AA238">
        <v>0</v>
      </c>
      <c r="AB238">
        <v>0</v>
      </c>
      <c r="AC238">
        <v>871106</v>
      </c>
    </row>
    <row r="239" spans="5:29" x14ac:dyDescent="0.25">
      <c r="E239" s="24" t="s">
        <v>273</v>
      </c>
      <c r="F239" s="24" t="s">
        <v>345</v>
      </c>
      <c r="G239">
        <v>2</v>
      </c>
      <c r="H239" t="s">
        <v>275</v>
      </c>
      <c r="I239" s="22" t="s">
        <v>342</v>
      </c>
      <c r="J239" s="22">
        <v>1070428001</v>
      </c>
      <c r="K239" t="s">
        <v>277</v>
      </c>
      <c r="L239" t="s">
        <v>346</v>
      </c>
      <c r="M239">
        <v>9</v>
      </c>
      <c r="N239">
        <v>3</v>
      </c>
      <c r="O239">
        <v>3</v>
      </c>
      <c r="P239" t="s">
        <v>279</v>
      </c>
      <c r="Q239" s="29">
        <v>99.88</v>
      </c>
      <c r="R239">
        <v>300</v>
      </c>
      <c r="S239">
        <v>20150127</v>
      </c>
      <c r="T239">
        <v>0</v>
      </c>
      <c r="U239">
        <v>0</v>
      </c>
      <c r="V239">
        <v>300</v>
      </c>
      <c r="W239" t="s">
        <v>280</v>
      </c>
      <c r="X239" t="s">
        <v>281</v>
      </c>
    </row>
    <row r="240" spans="5:29" x14ac:dyDescent="0.25">
      <c r="E240" s="24" t="s">
        <v>273</v>
      </c>
      <c r="F240" s="24" t="s">
        <v>345</v>
      </c>
      <c r="G240">
        <v>3</v>
      </c>
      <c r="H240" t="s">
        <v>275</v>
      </c>
      <c r="I240" s="22" t="s">
        <v>282</v>
      </c>
      <c r="J240" s="22">
        <v>1078405201</v>
      </c>
      <c r="K240" t="s">
        <v>277</v>
      </c>
      <c r="L240" t="s">
        <v>283</v>
      </c>
      <c r="M240">
        <v>9</v>
      </c>
      <c r="N240">
        <v>24</v>
      </c>
      <c r="O240">
        <v>24</v>
      </c>
      <c r="P240" t="s">
        <v>279</v>
      </c>
      <c r="Q240" s="29">
        <v>2659.05</v>
      </c>
      <c r="R240">
        <v>63817</v>
      </c>
      <c r="S240">
        <v>20150122</v>
      </c>
      <c r="T240">
        <v>0</v>
      </c>
      <c r="U240">
        <v>0</v>
      </c>
      <c r="V240">
        <v>63817</v>
      </c>
      <c r="W240" t="s">
        <v>280</v>
      </c>
      <c r="X240" t="s">
        <v>281</v>
      </c>
    </row>
    <row r="241" spans="5:24" x14ac:dyDescent="0.25">
      <c r="E241" s="24" t="s">
        <v>273</v>
      </c>
      <c r="F241" s="24" t="s">
        <v>345</v>
      </c>
      <c r="G241">
        <v>4</v>
      </c>
      <c r="H241" t="s">
        <v>275</v>
      </c>
      <c r="I241" s="22" t="s">
        <v>282</v>
      </c>
      <c r="J241" s="22">
        <v>1081055901</v>
      </c>
      <c r="K241" t="s">
        <v>277</v>
      </c>
      <c r="L241" t="s">
        <v>283</v>
      </c>
      <c r="M241">
        <v>9</v>
      </c>
      <c r="N241">
        <v>48</v>
      </c>
      <c r="O241">
        <v>48</v>
      </c>
      <c r="P241" t="s">
        <v>279</v>
      </c>
      <c r="Q241" s="29">
        <v>2659.05</v>
      </c>
      <c r="R241">
        <v>127634</v>
      </c>
      <c r="S241">
        <v>20150128</v>
      </c>
      <c r="T241">
        <v>0</v>
      </c>
      <c r="U241">
        <v>0</v>
      </c>
      <c r="V241">
        <v>127634</v>
      </c>
      <c r="W241" t="s">
        <v>280</v>
      </c>
      <c r="X241" t="s">
        <v>281</v>
      </c>
    </row>
    <row r="242" spans="5:24" x14ac:dyDescent="0.25">
      <c r="E242" s="24" t="s">
        <v>273</v>
      </c>
      <c r="F242" s="24" t="s">
        <v>345</v>
      </c>
      <c r="G242">
        <v>5</v>
      </c>
      <c r="H242" t="s">
        <v>275</v>
      </c>
      <c r="I242" s="22" t="s">
        <v>282</v>
      </c>
      <c r="J242" s="22">
        <v>1079346601</v>
      </c>
      <c r="K242" t="s">
        <v>277</v>
      </c>
      <c r="L242" t="s">
        <v>283</v>
      </c>
      <c r="M242">
        <v>9</v>
      </c>
      <c r="N242">
        <v>24</v>
      </c>
      <c r="O242">
        <v>24</v>
      </c>
      <c r="P242" t="s">
        <v>279</v>
      </c>
      <c r="Q242" s="29">
        <v>2659.05</v>
      </c>
      <c r="R242">
        <v>63817</v>
      </c>
      <c r="S242">
        <v>20150126</v>
      </c>
      <c r="T242">
        <v>0</v>
      </c>
      <c r="U242">
        <v>0</v>
      </c>
      <c r="V242">
        <v>63817</v>
      </c>
      <c r="W242" t="s">
        <v>280</v>
      </c>
      <c r="X242" t="s">
        <v>281</v>
      </c>
    </row>
    <row r="243" spans="5:24" x14ac:dyDescent="0.25">
      <c r="E243" s="24" t="s">
        <v>273</v>
      </c>
      <c r="F243" s="24" t="s">
        <v>345</v>
      </c>
      <c r="G243">
        <v>6</v>
      </c>
      <c r="H243" t="s">
        <v>275</v>
      </c>
      <c r="I243" s="22" t="s">
        <v>282</v>
      </c>
      <c r="J243" s="22">
        <v>1077885801</v>
      </c>
      <c r="K243" t="s">
        <v>277</v>
      </c>
      <c r="L243" t="s">
        <v>283</v>
      </c>
      <c r="M243">
        <v>9</v>
      </c>
      <c r="N243">
        <v>12</v>
      </c>
      <c r="O243">
        <v>12</v>
      </c>
      <c r="P243" t="s">
        <v>279</v>
      </c>
      <c r="Q243" s="29">
        <v>2659.05</v>
      </c>
      <c r="R243">
        <v>31909</v>
      </c>
      <c r="S243">
        <v>20150121</v>
      </c>
      <c r="T243">
        <v>0</v>
      </c>
      <c r="U243">
        <v>0</v>
      </c>
      <c r="V243">
        <v>31909</v>
      </c>
      <c r="W243" t="s">
        <v>280</v>
      </c>
      <c r="X243" t="s">
        <v>281</v>
      </c>
    </row>
    <row r="244" spans="5:24" x14ac:dyDescent="0.25">
      <c r="E244" s="24" t="s">
        <v>273</v>
      </c>
      <c r="F244" s="24" t="s">
        <v>345</v>
      </c>
      <c r="G244">
        <v>7</v>
      </c>
      <c r="H244" t="s">
        <v>275</v>
      </c>
      <c r="I244" s="22" t="s">
        <v>282</v>
      </c>
      <c r="J244" s="22">
        <v>1078886101</v>
      </c>
      <c r="K244" t="s">
        <v>277</v>
      </c>
      <c r="L244" t="s">
        <v>283</v>
      </c>
      <c r="M244">
        <v>9</v>
      </c>
      <c r="N244">
        <v>24</v>
      </c>
      <c r="O244">
        <v>24</v>
      </c>
      <c r="P244" t="s">
        <v>279</v>
      </c>
      <c r="Q244" s="29">
        <v>2659.05</v>
      </c>
      <c r="R244">
        <v>63817</v>
      </c>
      <c r="S244">
        <v>20150123</v>
      </c>
      <c r="T244">
        <v>0</v>
      </c>
      <c r="U244">
        <v>0</v>
      </c>
      <c r="V244">
        <v>63817</v>
      </c>
      <c r="W244" t="s">
        <v>280</v>
      </c>
      <c r="X244" t="s">
        <v>281</v>
      </c>
    </row>
    <row r="245" spans="5:24" x14ac:dyDescent="0.25">
      <c r="E245" s="24" t="s">
        <v>273</v>
      </c>
      <c r="F245" s="24" t="s">
        <v>345</v>
      </c>
      <c r="G245">
        <v>8</v>
      </c>
      <c r="H245" t="s">
        <v>275</v>
      </c>
      <c r="I245" s="22" t="s">
        <v>282</v>
      </c>
      <c r="J245" s="22">
        <v>1081055301</v>
      </c>
      <c r="K245" t="s">
        <v>277</v>
      </c>
      <c r="L245" t="s">
        <v>283</v>
      </c>
      <c r="M245">
        <v>9</v>
      </c>
      <c r="N245">
        <v>24</v>
      </c>
      <c r="O245">
        <v>24</v>
      </c>
      <c r="P245" t="s">
        <v>279</v>
      </c>
      <c r="Q245" s="29">
        <v>2659.05</v>
      </c>
      <c r="R245">
        <v>63817</v>
      </c>
      <c r="S245">
        <v>20150128</v>
      </c>
      <c r="T245">
        <v>0</v>
      </c>
      <c r="U245">
        <v>0</v>
      </c>
      <c r="V245">
        <v>63817</v>
      </c>
      <c r="W245" t="s">
        <v>280</v>
      </c>
      <c r="X245" t="s">
        <v>281</v>
      </c>
    </row>
    <row r="246" spans="5:24" x14ac:dyDescent="0.25">
      <c r="E246" s="24" t="s">
        <v>273</v>
      </c>
      <c r="F246" s="24" t="s">
        <v>345</v>
      </c>
      <c r="G246">
        <v>9</v>
      </c>
      <c r="H246" t="s">
        <v>275</v>
      </c>
      <c r="I246" s="22" t="s">
        <v>282</v>
      </c>
      <c r="J246" s="22">
        <v>1081055101</v>
      </c>
      <c r="K246" t="s">
        <v>277</v>
      </c>
      <c r="L246" t="s">
        <v>283</v>
      </c>
      <c r="M246">
        <v>9</v>
      </c>
      <c r="N246">
        <v>24</v>
      </c>
      <c r="O246">
        <v>24</v>
      </c>
      <c r="P246" t="s">
        <v>279</v>
      </c>
      <c r="Q246" s="29">
        <v>2659.05</v>
      </c>
      <c r="R246">
        <v>63817</v>
      </c>
      <c r="S246">
        <v>20150128</v>
      </c>
      <c r="T246">
        <v>0</v>
      </c>
      <c r="U246">
        <v>0</v>
      </c>
      <c r="V246">
        <v>63817</v>
      </c>
      <c r="W246" t="s">
        <v>280</v>
      </c>
      <c r="X246" t="s">
        <v>281</v>
      </c>
    </row>
    <row r="247" spans="5:24" x14ac:dyDescent="0.25">
      <c r="E247" s="24" t="s">
        <v>273</v>
      </c>
      <c r="F247" s="24" t="s">
        <v>345</v>
      </c>
      <c r="G247">
        <v>10</v>
      </c>
      <c r="H247" t="s">
        <v>275</v>
      </c>
      <c r="I247" s="22" t="s">
        <v>282</v>
      </c>
      <c r="J247" s="22">
        <v>1081549301</v>
      </c>
      <c r="K247" t="s">
        <v>277</v>
      </c>
      <c r="L247" t="s">
        <v>283</v>
      </c>
      <c r="M247">
        <v>9</v>
      </c>
      <c r="N247">
        <v>36</v>
      </c>
      <c r="O247">
        <v>36</v>
      </c>
      <c r="P247" t="s">
        <v>279</v>
      </c>
      <c r="Q247" s="29">
        <v>2659.05</v>
      </c>
      <c r="R247">
        <v>95726</v>
      </c>
      <c r="S247">
        <v>20150130</v>
      </c>
      <c r="T247">
        <v>0</v>
      </c>
      <c r="U247">
        <v>0</v>
      </c>
      <c r="V247">
        <v>95726</v>
      </c>
      <c r="W247" t="s">
        <v>280</v>
      </c>
      <c r="X247" t="s">
        <v>281</v>
      </c>
    </row>
    <row r="248" spans="5:24" x14ac:dyDescent="0.25">
      <c r="E248" s="24" t="s">
        <v>273</v>
      </c>
      <c r="F248" s="24" t="s">
        <v>345</v>
      </c>
      <c r="G248">
        <v>11</v>
      </c>
      <c r="H248" t="s">
        <v>275</v>
      </c>
      <c r="I248" s="22" t="s">
        <v>282</v>
      </c>
      <c r="J248" s="22">
        <v>1081549101</v>
      </c>
      <c r="K248" t="s">
        <v>277</v>
      </c>
      <c r="L248" t="s">
        <v>283</v>
      </c>
      <c r="M248">
        <v>9</v>
      </c>
      <c r="N248">
        <v>12</v>
      </c>
      <c r="O248">
        <v>12</v>
      </c>
      <c r="P248" t="s">
        <v>279</v>
      </c>
      <c r="Q248" s="29">
        <v>2659.05</v>
      </c>
      <c r="R248">
        <v>31909</v>
      </c>
      <c r="S248">
        <v>20150130</v>
      </c>
      <c r="T248">
        <v>0</v>
      </c>
      <c r="U248">
        <v>0</v>
      </c>
      <c r="V248">
        <v>31909</v>
      </c>
      <c r="W248" t="s">
        <v>280</v>
      </c>
      <c r="X248" t="s">
        <v>281</v>
      </c>
    </row>
    <row r="249" spans="5:24" x14ac:dyDescent="0.25">
      <c r="E249" s="24" t="s">
        <v>273</v>
      </c>
      <c r="F249" s="24" t="s">
        <v>345</v>
      </c>
      <c r="G249">
        <v>12</v>
      </c>
      <c r="H249" t="s">
        <v>275</v>
      </c>
      <c r="I249" s="22" t="s">
        <v>282</v>
      </c>
      <c r="J249" s="22">
        <v>1081055201</v>
      </c>
      <c r="K249" t="s">
        <v>277</v>
      </c>
      <c r="L249" t="s">
        <v>283</v>
      </c>
      <c r="M249">
        <v>9</v>
      </c>
      <c r="N249">
        <v>48</v>
      </c>
      <c r="O249">
        <v>48</v>
      </c>
      <c r="P249" t="s">
        <v>279</v>
      </c>
      <c r="Q249" s="29">
        <v>2659.05</v>
      </c>
      <c r="R249">
        <v>127634</v>
      </c>
      <c r="S249">
        <v>20150128</v>
      </c>
      <c r="T249">
        <v>0</v>
      </c>
      <c r="U249">
        <v>0</v>
      </c>
      <c r="V249">
        <v>127634</v>
      </c>
      <c r="W249" t="s">
        <v>280</v>
      </c>
      <c r="X249" t="s">
        <v>281</v>
      </c>
    </row>
    <row r="250" spans="5:24" x14ac:dyDescent="0.25">
      <c r="E250" s="24" t="s">
        <v>273</v>
      </c>
      <c r="F250" s="24" t="s">
        <v>345</v>
      </c>
      <c r="G250">
        <v>13</v>
      </c>
      <c r="H250" t="s">
        <v>275</v>
      </c>
      <c r="I250" s="22" t="s">
        <v>317</v>
      </c>
      <c r="J250" s="22">
        <v>1079346801</v>
      </c>
      <c r="K250" t="s">
        <v>277</v>
      </c>
      <c r="L250" t="s">
        <v>318</v>
      </c>
      <c r="M250">
        <v>9</v>
      </c>
      <c r="N250">
        <v>16</v>
      </c>
      <c r="O250">
        <v>16</v>
      </c>
      <c r="P250" t="s">
        <v>279</v>
      </c>
      <c r="Q250" s="29">
        <v>2671.22</v>
      </c>
      <c r="R250">
        <v>42740</v>
      </c>
      <c r="S250">
        <v>20150126</v>
      </c>
      <c r="T250">
        <v>0</v>
      </c>
      <c r="U250">
        <v>0</v>
      </c>
      <c r="V250">
        <v>42740</v>
      </c>
      <c r="W250" t="s">
        <v>280</v>
      </c>
      <c r="X250" t="s">
        <v>281</v>
      </c>
    </row>
    <row r="251" spans="5:24" x14ac:dyDescent="0.25">
      <c r="E251" s="24" t="s">
        <v>273</v>
      </c>
      <c r="F251" s="24" t="s">
        <v>345</v>
      </c>
      <c r="G251">
        <v>14</v>
      </c>
      <c r="H251" t="s">
        <v>275</v>
      </c>
      <c r="I251" s="22" t="s">
        <v>317</v>
      </c>
      <c r="J251" s="22">
        <v>1080655501</v>
      </c>
      <c r="K251" t="s">
        <v>277</v>
      </c>
      <c r="L251" t="s">
        <v>318</v>
      </c>
      <c r="M251">
        <v>9</v>
      </c>
      <c r="N251">
        <v>16</v>
      </c>
      <c r="O251">
        <v>16</v>
      </c>
      <c r="P251" t="s">
        <v>279</v>
      </c>
      <c r="Q251" s="29">
        <v>2671.22</v>
      </c>
      <c r="R251">
        <v>42740</v>
      </c>
      <c r="S251">
        <v>20150128</v>
      </c>
      <c r="T251">
        <v>0</v>
      </c>
      <c r="U251">
        <v>0</v>
      </c>
      <c r="V251">
        <v>42740</v>
      </c>
      <c r="W251" t="s">
        <v>280</v>
      </c>
      <c r="X251" t="s">
        <v>281</v>
      </c>
    </row>
    <row r="252" spans="5:24" x14ac:dyDescent="0.25">
      <c r="E252" s="24" t="s">
        <v>273</v>
      </c>
      <c r="F252" s="24" t="s">
        <v>345</v>
      </c>
      <c r="G252">
        <v>15</v>
      </c>
      <c r="H252" t="s">
        <v>275</v>
      </c>
      <c r="I252" s="22" t="s">
        <v>342</v>
      </c>
      <c r="J252" s="22">
        <v>1075798101</v>
      </c>
      <c r="K252" t="s">
        <v>277</v>
      </c>
      <c r="L252" t="s">
        <v>347</v>
      </c>
      <c r="M252">
        <v>9</v>
      </c>
      <c r="N252">
        <v>2</v>
      </c>
      <c r="O252">
        <v>2</v>
      </c>
      <c r="P252" t="s">
        <v>279</v>
      </c>
      <c r="Q252" s="29">
        <v>143.16999999999999</v>
      </c>
      <c r="R252">
        <v>286</v>
      </c>
      <c r="S252">
        <v>20150121</v>
      </c>
      <c r="T252">
        <v>0</v>
      </c>
      <c r="U252">
        <v>0</v>
      </c>
      <c r="V252">
        <v>286</v>
      </c>
      <c r="W252" t="s">
        <v>280</v>
      </c>
      <c r="X252" t="s">
        <v>281</v>
      </c>
    </row>
    <row r="253" spans="5:24" x14ac:dyDescent="0.25">
      <c r="E253" s="24" t="s">
        <v>273</v>
      </c>
      <c r="F253" s="24" t="s">
        <v>345</v>
      </c>
      <c r="G253">
        <v>16</v>
      </c>
      <c r="H253" t="s">
        <v>275</v>
      </c>
      <c r="I253" s="22" t="s">
        <v>322</v>
      </c>
      <c r="J253" s="22">
        <v>1080655701</v>
      </c>
      <c r="K253" t="s">
        <v>277</v>
      </c>
      <c r="L253" t="s">
        <v>323</v>
      </c>
      <c r="M253">
        <v>9</v>
      </c>
      <c r="N253">
        <v>52</v>
      </c>
      <c r="O253">
        <v>52</v>
      </c>
      <c r="P253" t="s">
        <v>279</v>
      </c>
      <c r="Q253" s="29">
        <v>123.24</v>
      </c>
      <c r="R253">
        <v>6408</v>
      </c>
      <c r="S253">
        <v>20150128</v>
      </c>
      <c r="T253">
        <v>0</v>
      </c>
      <c r="U253">
        <v>0</v>
      </c>
      <c r="V253">
        <v>6408</v>
      </c>
      <c r="W253" t="s">
        <v>280</v>
      </c>
      <c r="X253" t="s">
        <v>281</v>
      </c>
    </row>
    <row r="254" spans="5:24" x14ac:dyDescent="0.25">
      <c r="E254" s="24" t="s">
        <v>273</v>
      </c>
      <c r="F254" s="24" t="s">
        <v>345</v>
      </c>
      <c r="G254">
        <v>17</v>
      </c>
      <c r="H254" t="s">
        <v>275</v>
      </c>
      <c r="I254" s="22" t="s">
        <v>322</v>
      </c>
      <c r="J254" s="22">
        <v>1078886001</v>
      </c>
      <c r="K254" t="s">
        <v>277</v>
      </c>
      <c r="L254" t="s">
        <v>324</v>
      </c>
      <c r="M254">
        <v>9</v>
      </c>
      <c r="N254">
        <v>52</v>
      </c>
      <c r="O254">
        <v>52</v>
      </c>
      <c r="P254" t="s">
        <v>279</v>
      </c>
      <c r="Q254" s="29">
        <v>459.22</v>
      </c>
      <c r="R254">
        <v>23879</v>
      </c>
      <c r="S254">
        <v>20150123</v>
      </c>
      <c r="T254">
        <v>0</v>
      </c>
      <c r="U254">
        <v>0</v>
      </c>
      <c r="V254">
        <v>23879</v>
      </c>
      <c r="W254" t="s">
        <v>280</v>
      </c>
      <c r="X254" t="s">
        <v>281</v>
      </c>
    </row>
    <row r="255" spans="5:24" x14ac:dyDescent="0.25">
      <c r="E255" s="24" t="s">
        <v>273</v>
      </c>
      <c r="F255" s="24" t="s">
        <v>345</v>
      </c>
      <c r="G255">
        <v>18</v>
      </c>
      <c r="H255" t="s">
        <v>275</v>
      </c>
      <c r="I255" s="22" t="s">
        <v>325</v>
      </c>
      <c r="J255" s="22">
        <v>1078140901</v>
      </c>
      <c r="K255" t="s">
        <v>277</v>
      </c>
      <c r="L255" t="s">
        <v>326</v>
      </c>
      <c r="M255">
        <v>9</v>
      </c>
      <c r="N255">
        <v>4</v>
      </c>
      <c r="O255">
        <v>4</v>
      </c>
      <c r="P255" t="s">
        <v>279</v>
      </c>
      <c r="Q255" s="29">
        <v>613.11</v>
      </c>
      <c r="R255">
        <v>2452</v>
      </c>
      <c r="S255">
        <v>20150121</v>
      </c>
      <c r="T255">
        <v>0</v>
      </c>
      <c r="U255">
        <v>0</v>
      </c>
      <c r="V255">
        <v>2452</v>
      </c>
      <c r="W255" t="s">
        <v>280</v>
      </c>
      <c r="X255" t="s">
        <v>281</v>
      </c>
    </row>
    <row r="256" spans="5:24" x14ac:dyDescent="0.25">
      <c r="E256" s="24" t="s">
        <v>273</v>
      </c>
      <c r="F256" s="24" t="s">
        <v>345</v>
      </c>
      <c r="G256">
        <v>19</v>
      </c>
      <c r="H256" t="s">
        <v>275</v>
      </c>
      <c r="I256" s="22" t="s">
        <v>328</v>
      </c>
      <c r="J256" s="22">
        <v>1077154001</v>
      </c>
      <c r="K256" t="s">
        <v>277</v>
      </c>
      <c r="L256" t="s">
        <v>329</v>
      </c>
      <c r="M256">
        <v>9</v>
      </c>
      <c r="N256">
        <v>40</v>
      </c>
      <c r="O256">
        <v>40</v>
      </c>
      <c r="P256" t="s">
        <v>279</v>
      </c>
      <c r="Q256" s="29">
        <v>232.87</v>
      </c>
      <c r="R256">
        <v>9315</v>
      </c>
      <c r="S256">
        <v>20150126</v>
      </c>
      <c r="T256">
        <v>0</v>
      </c>
      <c r="U256">
        <v>0</v>
      </c>
      <c r="V256">
        <v>9315</v>
      </c>
      <c r="W256" t="s">
        <v>280</v>
      </c>
      <c r="X256" t="s">
        <v>281</v>
      </c>
    </row>
    <row r="257" spans="5:29" x14ac:dyDescent="0.25">
      <c r="E257" s="24" t="s">
        <v>273</v>
      </c>
      <c r="F257" s="24" t="s">
        <v>345</v>
      </c>
      <c r="G257">
        <v>20</v>
      </c>
      <c r="H257" t="s">
        <v>275</v>
      </c>
      <c r="I257" s="22" t="s">
        <v>328</v>
      </c>
      <c r="J257" s="22">
        <v>1077154101</v>
      </c>
      <c r="K257" t="s">
        <v>277</v>
      </c>
      <c r="L257" t="s">
        <v>330</v>
      </c>
      <c r="M257">
        <v>9</v>
      </c>
      <c r="N257">
        <v>40</v>
      </c>
      <c r="O257">
        <v>40</v>
      </c>
      <c r="P257" t="s">
        <v>279</v>
      </c>
      <c r="Q257" s="29">
        <v>53.63</v>
      </c>
      <c r="R257">
        <v>2145</v>
      </c>
      <c r="S257">
        <v>20150126</v>
      </c>
      <c r="T257">
        <v>0</v>
      </c>
      <c r="U257">
        <v>0</v>
      </c>
      <c r="V257">
        <v>2145</v>
      </c>
      <c r="W257" t="s">
        <v>280</v>
      </c>
      <c r="X257" t="s">
        <v>281</v>
      </c>
    </row>
    <row r="258" spans="5:29" x14ac:dyDescent="0.25">
      <c r="E258" s="24" t="s">
        <v>273</v>
      </c>
      <c r="F258" s="24" t="s">
        <v>345</v>
      </c>
      <c r="G258">
        <v>21</v>
      </c>
      <c r="H258" t="s">
        <v>275</v>
      </c>
      <c r="I258" s="22" t="s">
        <v>287</v>
      </c>
      <c r="J258" s="22">
        <v>1079346401</v>
      </c>
      <c r="K258" t="s">
        <v>277</v>
      </c>
      <c r="L258" t="s">
        <v>291</v>
      </c>
      <c r="M258">
        <v>9</v>
      </c>
      <c r="N258">
        <v>100</v>
      </c>
      <c r="O258">
        <v>100</v>
      </c>
      <c r="P258" t="s">
        <v>279</v>
      </c>
      <c r="Q258" s="29">
        <v>18.739999999999998</v>
      </c>
      <c r="R258">
        <v>1874</v>
      </c>
      <c r="S258">
        <v>20150126</v>
      </c>
      <c r="T258">
        <v>0</v>
      </c>
      <c r="U258">
        <v>0</v>
      </c>
      <c r="V258">
        <v>1874</v>
      </c>
      <c r="W258" t="s">
        <v>280</v>
      </c>
      <c r="X258" t="s">
        <v>281</v>
      </c>
    </row>
    <row r="259" spans="5:29" x14ac:dyDescent="0.25">
      <c r="E259" s="24" t="s">
        <v>273</v>
      </c>
      <c r="F259" s="24" t="s">
        <v>345</v>
      </c>
      <c r="G259">
        <v>22</v>
      </c>
      <c r="H259" t="s">
        <v>275</v>
      </c>
      <c r="I259" s="22" t="s">
        <v>287</v>
      </c>
      <c r="J259" s="22">
        <v>1081097501</v>
      </c>
      <c r="K259" t="s">
        <v>277</v>
      </c>
      <c r="L259" t="s">
        <v>291</v>
      </c>
      <c r="M259">
        <v>9</v>
      </c>
      <c r="N259">
        <v>100</v>
      </c>
      <c r="O259">
        <v>100</v>
      </c>
      <c r="P259" t="s">
        <v>279</v>
      </c>
      <c r="Q259" s="29">
        <v>18.739999999999998</v>
      </c>
      <c r="R259">
        <v>1874</v>
      </c>
      <c r="S259">
        <v>20150128</v>
      </c>
      <c r="T259">
        <v>0</v>
      </c>
      <c r="U259">
        <v>0</v>
      </c>
      <c r="V259">
        <v>1874</v>
      </c>
      <c r="W259" t="s">
        <v>280</v>
      </c>
      <c r="X259" t="s">
        <v>281</v>
      </c>
    </row>
    <row r="260" spans="5:29" x14ac:dyDescent="0.25">
      <c r="E260" s="24" t="s">
        <v>273</v>
      </c>
      <c r="F260" s="24" t="s">
        <v>348</v>
      </c>
      <c r="G260">
        <v>1</v>
      </c>
      <c r="H260" t="s">
        <v>275</v>
      </c>
      <c r="I260" s="22" t="s">
        <v>287</v>
      </c>
      <c r="J260" s="22">
        <v>1081549501</v>
      </c>
      <c r="K260" t="s">
        <v>277</v>
      </c>
      <c r="L260" t="s">
        <v>291</v>
      </c>
      <c r="M260">
        <v>9</v>
      </c>
      <c r="N260">
        <v>100</v>
      </c>
      <c r="O260">
        <v>100</v>
      </c>
      <c r="P260" t="s">
        <v>279</v>
      </c>
      <c r="Q260" s="29">
        <v>18.739999999999998</v>
      </c>
      <c r="R260">
        <v>1874</v>
      </c>
      <c r="S260">
        <v>20150130</v>
      </c>
      <c r="T260">
        <v>0</v>
      </c>
      <c r="U260">
        <v>0</v>
      </c>
      <c r="V260">
        <v>1874</v>
      </c>
      <c r="W260" t="s">
        <v>280</v>
      </c>
      <c r="X260" t="s">
        <v>281</v>
      </c>
      <c r="Y260">
        <v>3</v>
      </c>
      <c r="Z260">
        <v>3748</v>
      </c>
      <c r="AA260">
        <v>0</v>
      </c>
      <c r="AB260">
        <v>0</v>
      </c>
      <c r="AC260">
        <v>3748</v>
      </c>
    </row>
    <row r="261" spans="5:29" x14ac:dyDescent="0.25">
      <c r="E261" s="24" t="s">
        <v>273</v>
      </c>
      <c r="F261" s="24" t="s">
        <v>348</v>
      </c>
      <c r="G261">
        <v>2</v>
      </c>
      <c r="H261" t="s">
        <v>275</v>
      </c>
      <c r="I261" s="22" t="s">
        <v>287</v>
      </c>
      <c r="J261" s="22">
        <v>1080185401</v>
      </c>
      <c r="K261" t="s">
        <v>277</v>
      </c>
      <c r="L261" t="s">
        <v>291</v>
      </c>
      <c r="M261">
        <v>9</v>
      </c>
      <c r="N261">
        <v>100</v>
      </c>
      <c r="O261">
        <v>100</v>
      </c>
      <c r="P261" t="s">
        <v>279</v>
      </c>
      <c r="Q261" s="29">
        <v>18.739999999999998</v>
      </c>
      <c r="R261">
        <v>1874</v>
      </c>
      <c r="S261">
        <v>20150127</v>
      </c>
      <c r="T261">
        <v>0</v>
      </c>
      <c r="U261">
        <v>0</v>
      </c>
      <c r="V261">
        <v>1874</v>
      </c>
      <c r="W261" t="s">
        <v>280</v>
      </c>
      <c r="X261" t="s">
        <v>281</v>
      </c>
    </row>
    <row r="510" spans="6:6" x14ac:dyDescent="0.25">
      <c r="F510" s="40"/>
    </row>
    <row r="511" spans="6:6" x14ac:dyDescent="0.25">
      <c r="F511" s="40"/>
    </row>
  </sheetData>
  <mergeCells count="2">
    <mergeCell ref="C1:F1"/>
    <mergeCell ref="J1:O1"/>
  </mergeCells>
  <phoneticPr fontId="3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對帳單資料_裕隆utf8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小計設定_憑單編號">
                <anchor moveWithCells="1" sizeWithCells="1">
                  <from>
                    <xdr:col>19</xdr:col>
                    <xdr:colOff>9525</xdr:colOff>
                    <xdr:row>0</xdr:row>
                    <xdr:rowOff>0</xdr:rowOff>
                  </from>
                  <to>
                    <xdr:col>20</xdr:col>
                    <xdr:colOff>247650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小計移除">
                <anchor moveWithCells="1" sizeWithCells="1">
                  <from>
                    <xdr:col>20</xdr:col>
                    <xdr:colOff>257175</xdr:colOff>
                    <xdr:row>0</xdr:row>
                    <xdr:rowOff>0</xdr:rowOff>
                  </from>
                  <to>
                    <xdr:col>21</xdr:col>
                    <xdr:colOff>285750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FFFF00"/>
  </sheetPr>
  <dimension ref="A1:AM141"/>
  <sheetViews>
    <sheetView tabSelected="1" topLeftCell="L1" workbookViewId="0">
      <pane ySplit="3" topLeftCell="A4" activePane="bottomLeft" state="frozen"/>
      <selection pane="bottomLeft" activeCell="M4" sqref="M4:Y141"/>
    </sheetView>
  </sheetViews>
  <sheetFormatPr defaultRowHeight="16.5" x14ac:dyDescent="0.25"/>
  <cols>
    <col min="1" max="1" width="5.625" customWidth="1"/>
    <col min="2" max="2" width="18" style="24" bestFit="1" customWidth="1"/>
    <col min="3" max="3" width="6.75" style="24" customWidth="1"/>
    <col min="4" max="4" width="5.625" style="24" customWidth="1"/>
    <col min="5" max="5" width="13.625" style="24" customWidth="1"/>
    <col min="6" max="6" width="14.125" style="24" customWidth="1"/>
    <col min="7" max="7" width="10.875" style="24" customWidth="1"/>
    <col min="8" max="8" width="11.375" customWidth="1"/>
    <col min="9" max="9" width="5.375" customWidth="1"/>
    <col min="10" max="10" width="11.75" style="50" customWidth="1"/>
    <col min="11" max="11" width="12.75" customWidth="1"/>
    <col min="12" max="12" width="16" customWidth="1"/>
    <col min="13" max="13" width="5.125" customWidth="1"/>
    <col min="14" max="14" width="11.375" customWidth="1"/>
    <col min="15" max="15" width="13.125" customWidth="1"/>
    <col min="16" max="16" width="11.75" customWidth="1"/>
    <col min="17" max="17" width="10.875" customWidth="1"/>
    <col min="19" max="19" width="9.625" style="50" bestFit="1" customWidth="1"/>
    <col min="21" max="21" width="12.125" customWidth="1"/>
    <col min="24" max="24" width="13.5" bestFit="1" customWidth="1"/>
    <col min="25" max="25" width="11.5" customWidth="1"/>
  </cols>
  <sheetData>
    <row r="1" spans="1:39" s="9" customFormat="1" ht="21.75" customHeight="1" x14ac:dyDescent="0.25">
      <c r="A1" s="23" t="s">
        <v>65</v>
      </c>
      <c r="B1" s="23"/>
      <c r="C1" s="55" t="s">
        <v>130</v>
      </c>
      <c r="D1" s="55"/>
      <c r="E1" s="55"/>
      <c r="F1" s="55"/>
      <c r="G1" s="23"/>
      <c r="H1" s="9" t="s">
        <v>66</v>
      </c>
      <c r="I1" s="20"/>
      <c r="J1" s="56" t="s">
        <v>354</v>
      </c>
      <c r="K1" s="56"/>
      <c r="L1" s="56"/>
      <c r="N1" s="27"/>
      <c r="S1" s="51"/>
      <c r="AB1" s="23"/>
      <c r="AC1" s="23"/>
      <c r="AD1" s="23"/>
      <c r="AE1" s="23"/>
      <c r="AG1" s="27"/>
      <c r="AH1" s="23"/>
      <c r="AI1" s="23"/>
      <c r="AJ1" s="23"/>
      <c r="AK1" s="23"/>
      <c r="AL1" s="23"/>
      <c r="AM1" s="8"/>
    </row>
    <row r="2" spans="1:39" s="16" customFormat="1" x14ac:dyDescent="0.25">
      <c r="A2" s="43">
        <v>1</v>
      </c>
      <c r="B2" s="43">
        <v>2</v>
      </c>
      <c r="C2" s="43">
        <v>3</v>
      </c>
      <c r="D2" s="43">
        <v>4</v>
      </c>
      <c r="E2" s="43">
        <v>5</v>
      </c>
      <c r="F2" s="43">
        <v>6</v>
      </c>
      <c r="G2" s="43">
        <v>7</v>
      </c>
      <c r="H2" s="43">
        <v>8</v>
      </c>
      <c r="I2" s="43">
        <v>9</v>
      </c>
      <c r="J2" s="49">
        <v>10</v>
      </c>
      <c r="K2" s="43">
        <v>11</v>
      </c>
      <c r="L2" s="46">
        <v>12</v>
      </c>
      <c r="M2" s="47"/>
      <c r="N2" s="48"/>
      <c r="O2" s="47"/>
      <c r="P2" s="47"/>
      <c r="Q2" s="47"/>
      <c r="R2" s="47"/>
      <c r="S2" s="52"/>
      <c r="T2" s="47"/>
      <c r="U2" s="47"/>
      <c r="V2" s="47"/>
      <c r="W2" s="47"/>
      <c r="X2" s="47"/>
      <c r="Y2" s="47"/>
      <c r="Z2" s="47"/>
      <c r="AB2" s="44"/>
      <c r="AC2" s="44"/>
      <c r="AD2" s="44"/>
      <c r="AE2" s="44"/>
      <c r="AG2" s="45"/>
      <c r="AH2" s="44"/>
      <c r="AI2" s="44"/>
      <c r="AJ2" s="44"/>
      <c r="AK2" s="44"/>
      <c r="AL2" s="44"/>
      <c r="AM2" s="15" t="e">
        <f>S2-ROUND(#REF!*N2,0)</f>
        <v>#REF!</v>
      </c>
    </row>
    <row r="3" spans="1:39" x14ac:dyDescent="0.25">
      <c r="A3" t="s">
        <v>119</v>
      </c>
      <c r="B3" s="24" t="s">
        <v>120</v>
      </c>
      <c r="C3" s="24" t="s">
        <v>121</v>
      </c>
      <c r="D3" s="24" t="s">
        <v>122</v>
      </c>
      <c r="E3" s="24" t="s">
        <v>128</v>
      </c>
      <c r="F3" s="24" t="s">
        <v>127</v>
      </c>
      <c r="G3" s="24" t="s">
        <v>126</v>
      </c>
      <c r="H3" t="s">
        <v>123</v>
      </c>
      <c r="I3" t="s">
        <v>125</v>
      </c>
      <c r="J3" s="50" t="s">
        <v>104</v>
      </c>
      <c r="K3" t="s">
        <v>124</v>
      </c>
      <c r="L3" t="s">
        <v>129</v>
      </c>
      <c r="M3" s="25" t="s">
        <v>99</v>
      </c>
      <c r="N3" s="25" t="s">
        <v>45</v>
      </c>
      <c r="O3" s="25"/>
      <c r="P3" s="26" t="s">
        <v>100</v>
      </c>
      <c r="Q3" s="26" t="s">
        <v>101</v>
      </c>
      <c r="R3" s="26" t="s">
        <v>102</v>
      </c>
      <c r="S3" s="25" t="s">
        <v>103</v>
      </c>
      <c r="T3" s="53" t="s">
        <v>104</v>
      </c>
      <c r="U3" s="26" t="s">
        <v>105</v>
      </c>
      <c r="V3" s="25" t="s">
        <v>106</v>
      </c>
      <c r="W3" s="25" t="s">
        <v>107</v>
      </c>
      <c r="X3" s="26" t="s">
        <v>108</v>
      </c>
      <c r="Y3" s="26" t="s">
        <v>109</v>
      </c>
    </row>
    <row r="4" spans="1:39" x14ac:dyDescent="0.25">
      <c r="A4">
        <v>1</v>
      </c>
      <c r="B4" s="24" t="s">
        <v>555</v>
      </c>
      <c r="C4" s="24" t="s">
        <v>355</v>
      </c>
      <c r="D4" s="24" t="s">
        <v>356</v>
      </c>
      <c r="E4" s="24" t="s">
        <v>131</v>
      </c>
      <c r="F4" s="24" t="s">
        <v>357</v>
      </c>
      <c r="G4" s="24" t="s">
        <v>358</v>
      </c>
      <c r="H4">
        <v>14</v>
      </c>
      <c r="I4" t="s">
        <v>359</v>
      </c>
      <c r="J4" s="50">
        <v>4530.07</v>
      </c>
      <c r="K4">
        <v>63421</v>
      </c>
      <c r="L4" t="s">
        <v>556</v>
      </c>
      <c r="M4" s="15">
        <v>1</v>
      </c>
      <c r="N4" t="s">
        <v>583</v>
      </c>
      <c r="O4" t="s">
        <v>556</v>
      </c>
      <c r="P4" t="s">
        <v>584</v>
      </c>
      <c r="Q4" t="s">
        <v>585</v>
      </c>
      <c r="R4" t="s">
        <v>586</v>
      </c>
      <c r="S4" s="50">
        <v>14</v>
      </c>
      <c r="T4">
        <v>4530.07</v>
      </c>
      <c r="U4" t="s">
        <v>587</v>
      </c>
      <c r="V4">
        <v>51</v>
      </c>
      <c r="W4">
        <v>0</v>
      </c>
      <c r="X4" t="s">
        <v>556</v>
      </c>
      <c r="Y4" t="s">
        <v>583</v>
      </c>
    </row>
    <row r="5" spans="1:39" x14ac:dyDescent="0.25">
      <c r="A5">
        <v>2</v>
      </c>
      <c r="B5" s="24" t="s">
        <v>529</v>
      </c>
      <c r="C5" s="24" t="s">
        <v>355</v>
      </c>
      <c r="D5" s="24" t="s">
        <v>356</v>
      </c>
      <c r="E5" s="24" t="s">
        <v>134</v>
      </c>
      <c r="F5" s="24" t="s">
        <v>360</v>
      </c>
      <c r="G5" s="24" t="s">
        <v>361</v>
      </c>
      <c r="H5">
        <v>45</v>
      </c>
      <c r="I5" t="s">
        <v>359</v>
      </c>
      <c r="J5" s="50">
        <v>5305.56</v>
      </c>
      <c r="K5">
        <v>238750</v>
      </c>
      <c r="L5" t="s">
        <v>557</v>
      </c>
      <c r="M5">
        <v>2</v>
      </c>
      <c r="N5" t="s">
        <v>588</v>
      </c>
      <c r="O5" t="s">
        <v>557</v>
      </c>
      <c r="P5" t="s">
        <v>589</v>
      </c>
      <c r="Q5" t="s">
        <v>589</v>
      </c>
      <c r="R5" t="s">
        <v>589</v>
      </c>
      <c r="S5" s="50" t="s">
        <v>589</v>
      </c>
      <c r="T5" t="s">
        <v>589</v>
      </c>
      <c r="U5" t="s">
        <v>589</v>
      </c>
      <c r="V5" t="s">
        <v>589</v>
      </c>
      <c r="W5" t="s">
        <v>589</v>
      </c>
      <c r="X5" t="s">
        <v>589</v>
      </c>
      <c r="Y5" t="s">
        <v>589</v>
      </c>
    </row>
    <row r="6" spans="1:39" x14ac:dyDescent="0.25">
      <c r="A6" t="s">
        <v>132</v>
      </c>
      <c r="B6" s="24" t="s">
        <v>529</v>
      </c>
      <c r="C6" s="24" t="s">
        <v>355</v>
      </c>
      <c r="D6" s="24" t="s">
        <v>356</v>
      </c>
      <c r="E6" s="24" t="s">
        <v>135</v>
      </c>
      <c r="F6" s="24" t="s">
        <v>362</v>
      </c>
      <c r="G6" s="24" t="s">
        <v>363</v>
      </c>
      <c r="H6">
        <v>27</v>
      </c>
      <c r="I6" t="s">
        <v>359</v>
      </c>
      <c r="J6" s="50">
        <v>5305.56</v>
      </c>
      <c r="K6">
        <v>143250</v>
      </c>
      <c r="L6" t="s">
        <v>557</v>
      </c>
      <c r="M6">
        <v>3</v>
      </c>
      <c r="N6" t="s">
        <v>590</v>
      </c>
      <c r="O6" t="s">
        <v>557</v>
      </c>
      <c r="P6" t="s">
        <v>584</v>
      </c>
      <c r="Q6" t="s">
        <v>591</v>
      </c>
      <c r="R6" t="s">
        <v>592</v>
      </c>
      <c r="S6" s="50">
        <v>9</v>
      </c>
      <c r="T6">
        <v>5550.11</v>
      </c>
      <c r="U6" t="s">
        <v>593</v>
      </c>
      <c r="V6">
        <v>61</v>
      </c>
      <c r="W6">
        <v>0</v>
      </c>
      <c r="X6" t="s">
        <v>557</v>
      </c>
      <c r="Y6" t="s">
        <v>590</v>
      </c>
    </row>
    <row r="7" spans="1:39" x14ac:dyDescent="0.25">
      <c r="A7" t="s">
        <v>132</v>
      </c>
      <c r="B7" s="24" t="s">
        <v>529</v>
      </c>
      <c r="C7" s="24" t="s">
        <v>355</v>
      </c>
      <c r="D7" s="24" t="s">
        <v>356</v>
      </c>
      <c r="E7" s="24" t="s">
        <v>136</v>
      </c>
      <c r="F7" s="24" t="s">
        <v>364</v>
      </c>
      <c r="G7" s="24" t="s">
        <v>363</v>
      </c>
      <c r="H7">
        <v>12</v>
      </c>
      <c r="I7" t="s">
        <v>359</v>
      </c>
      <c r="J7" s="50">
        <v>5305.56</v>
      </c>
      <c r="K7">
        <v>63667</v>
      </c>
      <c r="L7" t="s">
        <v>557</v>
      </c>
      <c r="M7" s="15">
        <v>3</v>
      </c>
      <c r="N7" t="s">
        <v>590</v>
      </c>
      <c r="O7" t="s">
        <v>557</v>
      </c>
      <c r="P7" t="s">
        <v>584</v>
      </c>
      <c r="Q7" t="s">
        <v>594</v>
      </c>
      <c r="R7" t="s">
        <v>595</v>
      </c>
      <c r="S7" s="50">
        <v>18</v>
      </c>
      <c r="T7">
        <v>5550.11</v>
      </c>
      <c r="U7" t="s">
        <v>593</v>
      </c>
      <c r="V7">
        <v>61</v>
      </c>
      <c r="W7">
        <v>0</v>
      </c>
      <c r="X7" t="s">
        <v>557</v>
      </c>
      <c r="Y7" t="s">
        <v>590</v>
      </c>
    </row>
    <row r="8" spans="1:39" x14ac:dyDescent="0.25">
      <c r="A8" t="s">
        <v>132</v>
      </c>
      <c r="B8" s="24" t="s">
        <v>529</v>
      </c>
      <c r="C8" s="24" t="s">
        <v>355</v>
      </c>
      <c r="D8" s="24" t="s">
        <v>356</v>
      </c>
      <c r="E8" s="24" t="s">
        <v>137</v>
      </c>
      <c r="F8" s="24" t="s">
        <v>365</v>
      </c>
      <c r="G8" s="24" t="s">
        <v>366</v>
      </c>
      <c r="H8">
        <v>30</v>
      </c>
      <c r="I8" t="s">
        <v>359</v>
      </c>
      <c r="J8" s="50">
        <v>5305.56</v>
      </c>
      <c r="K8">
        <v>159167</v>
      </c>
      <c r="L8" t="s">
        <v>557</v>
      </c>
      <c r="M8" s="15">
        <v>4</v>
      </c>
      <c r="N8" t="s">
        <v>596</v>
      </c>
      <c r="O8" t="s">
        <v>557</v>
      </c>
      <c r="P8" t="s">
        <v>584</v>
      </c>
      <c r="Q8" t="s">
        <v>597</v>
      </c>
      <c r="R8" t="s">
        <v>598</v>
      </c>
      <c r="S8" s="50">
        <v>12</v>
      </c>
      <c r="T8">
        <v>5550.11</v>
      </c>
      <c r="U8" t="s">
        <v>593</v>
      </c>
      <c r="V8">
        <v>61</v>
      </c>
      <c r="W8">
        <v>0</v>
      </c>
      <c r="X8" t="s">
        <v>557</v>
      </c>
      <c r="Y8" t="s">
        <v>596</v>
      </c>
    </row>
    <row r="9" spans="1:39" x14ac:dyDescent="0.25">
      <c r="A9" t="s">
        <v>132</v>
      </c>
      <c r="B9" s="24" t="s">
        <v>529</v>
      </c>
      <c r="C9" s="24" t="s">
        <v>355</v>
      </c>
      <c r="D9" s="24" t="s">
        <v>356</v>
      </c>
      <c r="E9" s="24" t="s">
        <v>138</v>
      </c>
      <c r="F9" s="24" t="s">
        <v>367</v>
      </c>
      <c r="G9" s="24" t="s">
        <v>368</v>
      </c>
      <c r="H9">
        <v>30</v>
      </c>
      <c r="I9" t="s">
        <v>359</v>
      </c>
      <c r="J9" s="50">
        <v>5305.56</v>
      </c>
      <c r="K9">
        <v>159167</v>
      </c>
      <c r="L9" t="s">
        <v>557</v>
      </c>
      <c r="M9" s="15">
        <v>5</v>
      </c>
      <c r="N9" t="s">
        <v>599</v>
      </c>
      <c r="O9" t="s">
        <v>557</v>
      </c>
      <c r="P9" t="s">
        <v>584</v>
      </c>
      <c r="Q9" t="s">
        <v>600</v>
      </c>
      <c r="R9" t="s">
        <v>601</v>
      </c>
      <c r="S9" s="50">
        <v>30</v>
      </c>
      <c r="T9">
        <v>5550.11</v>
      </c>
      <c r="U9" t="s">
        <v>593</v>
      </c>
      <c r="V9">
        <v>61</v>
      </c>
      <c r="W9">
        <v>0</v>
      </c>
      <c r="X9" t="s">
        <v>557</v>
      </c>
      <c r="Y9" t="s">
        <v>599</v>
      </c>
    </row>
    <row r="10" spans="1:39" x14ac:dyDescent="0.25">
      <c r="A10" t="s">
        <v>132</v>
      </c>
      <c r="B10" s="24" t="s">
        <v>529</v>
      </c>
      <c r="C10" s="24" t="s">
        <v>355</v>
      </c>
      <c r="D10" s="24" t="s">
        <v>356</v>
      </c>
      <c r="E10" s="24" t="s">
        <v>139</v>
      </c>
      <c r="F10" s="24" t="s">
        <v>369</v>
      </c>
      <c r="G10" s="24" t="s">
        <v>368</v>
      </c>
      <c r="H10">
        <v>5</v>
      </c>
      <c r="I10" t="s">
        <v>359</v>
      </c>
      <c r="J10" s="50">
        <v>5305.56</v>
      </c>
      <c r="K10">
        <v>26528</v>
      </c>
      <c r="L10" t="s">
        <v>557</v>
      </c>
      <c r="M10" s="15">
        <v>6</v>
      </c>
      <c r="N10" t="s">
        <v>602</v>
      </c>
      <c r="O10" t="s">
        <v>557</v>
      </c>
      <c r="P10" t="s">
        <v>584</v>
      </c>
      <c r="Q10" t="s">
        <v>603</v>
      </c>
      <c r="R10" t="s">
        <v>604</v>
      </c>
      <c r="S10" s="50">
        <v>30</v>
      </c>
      <c r="T10">
        <v>5550.11</v>
      </c>
      <c r="U10" t="s">
        <v>593</v>
      </c>
      <c r="V10">
        <v>61</v>
      </c>
      <c r="W10">
        <v>0</v>
      </c>
      <c r="X10" t="s">
        <v>557</v>
      </c>
      <c r="Y10" t="s">
        <v>602</v>
      </c>
    </row>
    <row r="11" spans="1:39" x14ac:dyDescent="0.25">
      <c r="A11" t="s">
        <v>132</v>
      </c>
      <c r="B11" s="24" t="s">
        <v>529</v>
      </c>
      <c r="C11" s="24" t="s">
        <v>355</v>
      </c>
      <c r="D11" s="24" t="s">
        <v>356</v>
      </c>
      <c r="E11" s="24" t="s">
        <v>140</v>
      </c>
      <c r="F11" s="24" t="s">
        <v>370</v>
      </c>
      <c r="G11" s="24" t="s">
        <v>371</v>
      </c>
      <c r="H11">
        <v>20</v>
      </c>
      <c r="I11" t="s">
        <v>359</v>
      </c>
      <c r="J11" s="50">
        <v>5305.56</v>
      </c>
      <c r="K11">
        <v>106111</v>
      </c>
      <c r="L11" t="s">
        <v>557</v>
      </c>
      <c r="M11" s="15">
        <v>7</v>
      </c>
      <c r="N11" t="s">
        <v>605</v>
      </c>
      <c r="O11" t="s">
        <v>557</v>
      </c>
      <c r="P11" t="s">
        <v>584</v>
      </c>
      <c r="Q11" t="s">
        <v>606</v>
      </c>
      <c r="R11" t="s">
        <v>607</v>
      </c>
      <c r="S11" s="50">
        <v>5</v>
      </c>
      <c r="T11">
        <v>5550.11</v>
      </c>
      <c r="U11" t="s">
        <v>593</v>
      </c>
      <c r="V11">
        <v>61</v>
      </c>
      <c r="W11">
        <v>0</v>
      </c>
      <c r="X11" t="s">
        <v>557</v>
      </c>
      <c r="Y11" t="s">
        <v>605</v>
      </c>
    </row>
    <row r="12" spans="1:39" x14ac:dyDescent="0.25">
      <c r="A12" t="s">
        <v>132</v>
      </c>
      <c r="B12" s="24" t="s">
        <v>529</v>
      </c>
      <c r="C12" s="24" t="s">
        <v>355</v>
      </c>
      <c r="D12" s="24" t="s">
        <v>356</v>
      </c>
      <c r="E12" s="24" t="s">
        <v>141</v>
      </c>
      <c r="F12" s="24" t="s">
        <v>372</v>
      </c>
      <c r="G12" s="24" t="s">
        <v>373</v>
      </c>
      <c r="H12">
        <v>12</v>
      </c>
      <c r="I12" t="s">
        <v>359</v>
      </c>
      <c r="J12" s="50">
        <v>5305.56</v>
      </c>
      <c r="K12">
        <v>63667</v>
      </c>
      <c r="L12" t="s">
        <v>557</v>
      </c>
      <c r="M12" s="15">
        <v>8</v>
      </c>
      <c r="N12" t="s">
        <v>608</v>
      </c>
      <c r="O12" t="s">
        <v>557</v>
      </c>
      <c r="P12" t="s">
        <v>584</v>
      </c>
      <c r="Q12" t="s">
        <v>609</v>
      </c>
      <c r="R12" t="s">
        <v>610</v>
      </c>
      <c r="S12" s="50">
        <v>20</v>
      </c>
      <c r="T12">
        <v>5550.11</v>
      </c>
      <c r="U12" t="s">
        <v>593</v>
      </c>
      <c r="V12">
        <v>61</v>
      </c>
      <c r="W12">
        <v>0</v>
      </c>
      <c r="X12" t="s">
        <v>557</v>
      </c>
      <c r="Y12" t="s">
        <v>608</v>
      </c>
    </row>
    <row r="13" spans="1:39" x14ac:dyDescent="0.25">
      <c r="A13" t="s">
        <v>132</v>
      </c>
      <c r="B13" s="24" t="s">
        <v>529</v>
      </c>
      <c r="C13" s="24" t="s">
        <v>355</v>
      </c>
      <c r="D13" s="24" t="s">
        <v>356</v>
      </c>
      <c r="E13" s="24" t="s">
        <v>142</v>
      </c>
      <c r="F13" s="24" t="s">
        <v>374</v>
      </c>
      <c r="G13" s="24" t="s">
        <v>375</v>
      </c>
      <c r="H13">
        <v>6</v>
      </c>
      <c r="I13" t="s">
        <v>359</v>
      </c>
      <c r="J13" s="50">
        <v>5305.56</v>
      </c>
      <c r="K13">
        <v>31833</v>
      </c>
      <c r="L13" t="s">
        <v>557</v>
      </c>
      <c r="M13" s="15">
        <v>9</v>
      </c>
      <c r="N13" t="s">
        <v>611</v>
      </c>
      <c r="O13" t="s">
        <v>557</v>
      </c>
      <c r="P13" t="s">
        <v>584</v>
      </c>
      <c r="Q13" t="s">
        <v>612</v>
      </c>
      <c r="R13" t="s">
        <v>613</v>
      </c>
      <c r="S13" s="50">
        <v>12</v>
      </c>
      <c r="T13">
        <v>5550.11</v>
      </c>
      <c r="U13" t="s">
        <v>593</v>
      </c>
      <c r="V13">
        <v>61</v>
      </c>
      <c r="W13">
        <v>0</v>
      </c>
      <c r="X13" t="s">
        <v>557</v>
      </c>
      <c r="Y13" t="s">
        <v>611</v>
      </c>
    </row>
    <row r="14" spans="1:39" x14ac:dyDescent="0.25">
      <c r="A14" t="s">
        <v>132</v>
      </c>
      <c r="B14" s="24" t="s">
        <v>529</v>
      </c>
      <c r="C14" s="24" t="s">
        <v>355</v>
      </c>
      <c r="D14" s="24" t="s">
        <v>356</v>
      </c>
      <c r="E14" s="24" t="s">
        <v>143</v>
      </c>
      <c r="F14" s="24" t="s">
        <v>376</v>
      </c>
      <c r="G14" s="24" t="s">
        <v>377</v>
      </c>
      <c r="H14">
        <v>24</v>
      </c>
      <c r="I14" t="s">
        <v>359</v>
      </c>
      <c r="J14" s="50">
        <v>5305.56</v>
      </c>
      <c r="K14">
        <v>127333</v>
      </c>
      <c r="L14" t="s">
        <v>557</v>
      </c>
      <c r="M14" s="15">
        <v>10</v>
      </c>
      <c r="N14" t="s">
        <v>614</v>
      </c>
      <c r="O14" t="s">
        <v>557</v>
      </c>
      <c r="P14" t="s">
        <v>584</v>
      </c>
      <c r="Q14" t="s">
        <v>615</v>
      </c>
      <c r="R14" t="s">
        <v>616</v>
      </c>
      <c r="S14" s="50">
        <v>6</v>
      </c>
      <c r="T14">
        <v>5550.11</v>
      </c>
      <c r="U14" t="s">
        <v>593</v>
      </c>
      <c r="V14">
        <v>61</v>
      </c>
      <c r="W14">
        <v>0</v>
      </c>
      <c r="X14" t="s">
        <v>557</v>
      </c>
      <c r="Y14" t="s">
        <v>614</v>
      </c>
    </row>
    <row r="15" spans="1:39" x14ac:dyDescent="0.25">
      <c r="A15" t="s">
        <v>132</v>
      </c>
      <c r="B15" s="24" t="s">
        <v>529</v>
      </c>
      <c r="C15" s="24" t="s">
        <v>355</v>
      </c>
      <c r="D15" s="24" t="s">
        <v>356</v>
      </c>
      <c r="E15" s="24" t="s">
        <v>144</v>
      </c>
      <c r="F15" s="24" t="s">
        <v>378</v>
      </c>
      <c r="G15" s="24" t="s">
        <v>379</v>
      </c>
      <c r="H15">
        <v>15</v>
      </c>
      <c r="I15" t="s">
        <v>359</v>
      </c>
      <c r="J15" s="50">
        <v>5305.56</v>
      </c>
      <c r="K15">
        <v>79583</v>
      </c>
      <c r="L15" t="s">
        <v>557</v>
      </c>
      <c r="M15" s="15">
        <v>11</v>
      </c>
      <c r="N15" t="s">
        <v>617</v>
      </c>
      <c r="O15" t="s">
        <v>557</v>
      </c>
      <c r="P15" t="s">
        <v>584</v>
      </c>
      <c r="Q15" t="s">
        <v>618</v>
      </c>
      <c r="R15" t="s">
        <v>619</v>
      </c>
      <c r="S15" s="50">
        <v>24</v>
      </c>
      <c r="T15">
        <v>5550.11</v>
      </c>
      <c r="U15" t="s">
        <v>593</v>
      </c>
      <c r="V15">
        <v>61</v>
      </c>
      <c r="W15">
        <v>0</v>
      </c>
      <c r="X15" t="s">
        <v>557</v>
      </c>
      <c r="Y15" t="s">
        <v>617</v>
      </c>
    </row>
    <row r="16" spans="1:39" x14ac:dyDescent="0.25">
      <c r="A16" t="s">
        <v>132</v>
      </c>
      <c r="B16" s="24" t="s">
        <v>529</v>
      </c>
      <c r="C16" s="24" t="s">
        <v>355</v>
      </c>
      <c r="D16" s="24" t="s">
        <v>356</v>
      </c>
      <c r="E16" s="24" t="s">
        <v>145</v>
      </c>
      <c r="F16" s="24" t="s">
        <v>380</v>
      </c>
      <c r="G16" s="24" t="s">
        <v>381</v>
      </c>
      <c r="H16">
        <v>15</v>
      </c>
      <c r="I16" t="s">
        <v>359</v>
      </c>
      <c r="J16" s="50">
        <v>5305.56</v>
      </c>
      <c r="K16">
        <v>79583</v>
      </c>
      <c r="L16" t="s">
        <v>557</v>
      </c>
      <c r="M16" s="15">
        <v>12</v>
      </c>
      <c r="N16" t="s">
        <v>620</v>
      </c>
      <c r="O16" t="s">
        <v>557</v>
      </c>
      <c r="P16" t="s">
        <v>584</v>
      </c>
      <c r="Q16" t="s">
        <v>621</v>
      </c>
      <c r="R16" t="s">
        <v>622</v>
      </c>
      <c r="S16" s="50">
        <v>15</v>
      </c>
      <c r="T16">
        <v>5550.11</v>
      </c>
      <c r="U16" t="s">
        <v>593</v>
      </c>
      <c r="V16">
        <v>61</v>
      </c>
      <c r="W16">
        <v>0</v>
      </c>
      <c r="X16" t="s">
        <v>557</v>
      </c>
      <c r="Y16" t="s">
        <v>620</v>
      </c>
    </row>
    <row r="17" spans="1:25" x14ac:dyDescent="0.25">
      <c r="A17" t="s">
        <v>132</v>
      </c>
      <c r="B17" s="24" t="s">
        <v>529</v>
      </c>
      <c r="C17" s="24" t="s">
        <v>355</v>
      </c>
      <c r="D17" s="24" t="s">
        <v>356</v>
      </c>
      <c r="E17" s="24" t="s">
        <v>146</v>
      </c>
      <c r="F17" s="24" t="s">
        <v>382</v>
      </c>
      <c r="G17" s="24" t="s">
        <v>358</v>
      </c>
      <c r="H17">
        <v>12</v>
      </c>
      <c r="I17" t="s">
        <v>359</v>
      </c>
      <c r="J17" s="50">
        <v>5305.56</v>
      </c>
      <c r="K17">
        <v>63667</v>
      </c>
      <c r="L17" t="s">
        <v>557</v>
      </c>
      <c r="M17" s="15">
        <v>13</v>
      </c>
      <c r="N17" t="s">
        <v>623</v>
      </c>
      <c r="O17" t="s">
        <v>557</v>
      </c>
      <c r="P17" t="s">
        <v>584</v>
      </c>
      <c r="Q17" t="s">
        <v>624</v>
      </c>
      <c r="R17" t="s">
        <v>625</v>
      </c>
      <c r="S17" s="50">
        <v>15</v>
      </c>
      <c r="T17">
        <v>5550.11</v>
      </c>
      <c r="U17" t="s">
        <v>593</v>
      </c>
      <c r="V17">
        <v>61</v>
      </c>
      <c r="W17">
        <v>0</v>
      </c>
      <c r="X17" t="s">
        <v>557</v>
      </c>
      <c r="Y17" t="s">
        <v>623</v>
      </c>
    </row>
    <row r="18" spans="1:25" x14ac:dyDescent="0.25">
      <c r="A18" t="s">
        <v>132</v>
      </c>
      <c r="B18" s="24" t="s">
        <v>529</v>
      </c>
      <c r="C18" s="24" t="s">
        <v>355</v>
      </c>
      <c r="D18" s="24" t="s">
        <v>356</v>
      </c>
      <c r="E18" s="24" t="s">
        <v>147</v>
      </c>
      <c r="F18" s="24" t="s">
        <v>383</v>
      </c>
      <c r="G18" s="24" t="s">
        <v>384</v>
      </c>
      <c r="H18">
        <v>18</v>
      </c>
      <c r="I18" t="s">
        <v>359</v>
      </c>
      <c r="J18" s="50">
        <v>5305.56</v>
      </c>
      <c r="K18">
        <v>95500</v>
      </c>
      <c r="L18" t="s">
        <v>557</v>
      </c>
      <c r="M18" s="15">
        <v>14</v>
      </c>
      <c r="N18" t="s">
        <v>626</v>
      </c>
      <c r="O18" t="s">
        <v>557</v>
      </c>
      <c r="P18" t="s">
        <v>584</v>
      </c>
      <c r="Q18" t="s">
        <v>627</v>
      </c>
      <c r="R18" t="s">
        <v>628</v>
      </c>
      <c r="S18" s="50">
        <v>12</v>
      </c>
      <c r="T18">
        <v>5550.11</v>
      </c>
      <c r="U18" t="s">
        <v>593</v>
      </c>
      <c r="V18">
        <v>61</v>
      </c>
      <c r="W18">
        <v>0</v>
      </c>
      <c r="X18" t="s">
        <v>557</v>
      </c>
      <c r="Y18" t="s">
        <v>626</v>
      </c>
    </row>
    <row r="19" spans="1:25" x14ac:dyDescent="0.25">
      <c r="A19" t="s">
        <v>132</v>
      </c>
      <c r="B19" s="24" t="s">
        <v>529</v>
      </c>
      <c r="C19" s="24" t="s">
        <v>355</v>
      </c>
      <c r="D19" s="24" t="s">
        <v>356</v>
      </c>
      <c r="E19" s="24" t="s">
        <v>148</v>
      </c>
      <c r="F19" s="24" t="s">
        <v>385</v>
      </c>
      <c r="G19" s="24" t="s">
        <v>386</v>
      </c>
      <c r="H19">
        <v>15</v>
      </c>
      <c r="I19" t="s">
        <v>359</v>
      </c>
      <c r="J19" s="50">
        <v>5305.56</v>
      </c>
      <c r="K19">
        <v>79583</v>
      </c>
      <c r="L19" t="s">
        <v>557</v>
      </c>
      <c r="M19" s="15">
        <v>15</v>
      </c>
      <c r="N19" t="s">
        <v>629</v>
      </c>
      <c r="O19" t="s">
        <v>557</v>
      </c>
      <c r="P19" t="s">
        <v>584</v>
      </c>
      <c r="Q19" t="s">
        <v>630</v>
      </c>
      <c r="R19" t="s">
        <v>631</v>
      </c>
      <c r="S19" s="50">
        <v>18</v>
      </c>
      <c r="T19">
        <v>5550.11</v>
      </c>
      <c r="U19" t="s">
        <v>593</v>
      </c>
      <c r="V19">
        <v>61</v>
      </c>
      <c r="W19">
        <v>0</v>
      </c>
      <c r="X19" t="s">
        <v>557</v>
      </c>
      <c r="Y19" t="s">
        <v>629</v>
      </c>
    </row>
    <row r="20" spans="1:25" x14ac:dyDescent="0.25">
      <c r="A20">
        <v>3</v>
      </c>
      <c r="B20" s="24" t="s">
        <v>530</v>
      </c>
      <c r="C20" s="24" t="s">
        <v>355</v>
      </c>
      <c r="D20" s="24" t="s">
        <v>356</v>
      </c>
      <c r="E20" s="24" t="s">
        <v>149</v>
      </c>
      <c r="F20" s="24" t="s">
        <v>387</v>
      </c>
      <c r="G20" s="24" t="s">
        <v>388</v>
      </c>
      <c r="H20">
        <v>24</v>
      </c>
      <c r="I20" t="s">
        <v>359</v>
      </c>
      <c r="J20" s="50">
        <v>5719.34</v>
      </c>
      <c r="K20">
        <v>137264</v>
      </c>
      <c r="L20" t="s">
        <v>558</v>
      </c>
      <c r="M20">
        <v>16</v>
      </c>
      <c r="N20" t="s">
        <v>632</v>
      </c>
      <c r="O20" t="s">
        <v>557</v>
      </c>
      <c r="P20" t="s">
        <v>584</v>
      </c>
      <c r="Q20" t="s">
        <v>633</v>
      </c>
      <c r="R20" t="s">
        <v>634</v>
      </c>
      <c r="S20" s="50">
        <v>15</v>
      </c>
      <c r="T20">
        <v>5550.11</v>
      </c>
      <c r="U20" t="s">
        <v>593</v>
      </c>
      <c r="V20">
        <v>61</v>
      </c>
      <c r="W20">
        <v>0</v>
      </c>
      <c r="X20" t="s">
        <v>557</v>
      </c>
      <c r="Y20" t="s">
        <v>632</v>
      </c>
    </row>
    <row r="21" spans="1:25" x14ac:dyDescent="0.25">
      <c r="A21" t="s">
        <v>132</v>
      </c>
      <c r="B21" s="24" t="s">
        <v>530</v>
      </c>
      <c r="C21" s="24" t="s">
        <v>355</v>
      </c>
      <c r="D21" s="24" t="s">
        <v>356</v>
      </c>
      <c r="E21" s="24" t="s">
        <v>150</v>
      </c>
      <c r="F21" s="24" t="s">
        <v>389</v>
      </c>
      <c r="G21" s="24" t="s">
        <v>390</v>
      </c>
      <c r="H21">
        <v>24</v>
      </c>
      <c r="I21" t="s">
        <v>359</v>
      </c>
      <c r="J21" s="50">
        <v>5719.34</v>
      </c>
      <c r="K21">
        <v>137264</v>
      </c>
      <c r="L21" t="s">
        <v>558</v>
      </c>
      <c r="M21">
        <v>17</v>
      </c>
      <c r="N21" t="s">
        <v>635</v>
      </c>
      <c r="O21" t="s">
        <v>558</v>
      </c>
      <c r="P21" t="s">
        <v>636</v>
      </c>
      <c r="Q21" t="s">
        <v>637</v>
      </c>
      <c r="R21" t="s">
        <v>638</v>
      </c>
      <c r="S21" s="50">
        <v>5</v>
      </c>
      <c r="T21">
        <v>5985.66</v>
      </c>
      <c r="U21" t="s">
        <v>639</v>
      </c>
      <c r="V21">
        <v>57</v>
      </c>
      <c r="W21">
        <v>20</v>
      </c>
      <c r="X21" t="s">
        <v>558</v>
      </c>
      <c r="Y21" t="s">
        <v>635</v>
      </c>
    </row>
    <row r="22" spans="1:25" x14ac:dyDescent="0.25">
      <c r="A22" t="s">
        <v>132</v>
      </c>
      <c r="B22" s="24" t="s">
        <v>530</v>
      </c>
      <c r="C22" s="24" t="s">
        <v>355</v>
      </c>
      <c r="D22" s="24" t="s">
        <v>356</v>
      </c>
      <c r="E22" s="24" t="s">
        <v>151</v>
      </c>
      <c r="F22" s="24" t="s">
        <v>391</v>
      </c>
      <c r="G22" s="24" t="s">
        <v>392</v>
      </c>
      <c r="H22">
        <v>30</v>
      </c>
      <c r="I22" t="s">
        <v>359</v>
      </c>
      <c r="J22" s="50">
        <v>5719.34</v>
      </c>
      <c r="K22">
        <v>171580</v>
      </c>
      <c r="L22" t="s">
        <v>558</v>
      </c>
      <c r="M22" s="15">
        <v>17</v>
      </c>
      <c r="N22" t="s">
        <v>635</v>
      </c>
      <c r="O22" t="s">
        <v>558</v>
      </c>
      <c r="P22" t="s">
        <v>584</v>
      </c>
      <c r="Q22" t="s">
        <v>591</v>
      </c>
      <c r="R22" t="s">
        <v>640</v>
      </c>
      <c r="S22" s="50">
        <v>19</v>
      </c>
      <c r="T22">
        <v>5985.66</v>
      </c>
      <c r="U22" t="s">
        <v>639</v>
      </c>
      <c r="V22">
        <v>60</v>
      </c>
      <c r="W22">
        <v>0</v>
      </c>
      <c r="X22" t="s">
        <v>558</v>
      </c>
      <c r="Y22" t="s">
        <v>635</v>
      </c>
    </row>
    <row r="23" spans="1:25" x14ac:dyDescent="0.25">
      <c r="A23" t="s">
        <v>132</v>
      </c>
      <c r="B23" s="24" t="s">
        <v>530</v>
      </c>
      <c r="C23" s="24" t="s">
        <v>355</v>
      </c>
      <c r="D23" s="24" t="s">
        <v>356</v>
      </c>
      <c r="E23" s="24" t="s">
        <v>152</v>
      </c>
      <c r="F23" s="24" t="s">
        <v>393</v>
      </c>
      <c r="G23" s="24" t="s">
        <v>394</v>
      </c>
      <c r="H23">
        <v>21</v>
      </c>
      <c r="I23" t="s">
        <v>359</v>
      </c>
      <c r="J23" s="50">
        <v>5719.34</v>
      </c>
      <c r="K23">
        <v>120106</v>
      </c>
      <c r="L23" t="s">
        <v>558</v>
      </c>
      <c r="M23" s="15">
        <v>18</v>
      </c>
      <c r="N23" t="s">
        <v>641</v>
      </c>
      <c r="O23" t="s">
        <v>558</v>
      </c>
      <c r="P23" t="s">
        <v>584</v>
      </c>
      <c r="Q23" t="s">
        <v>591</v>
      </c>
      <c r="R23" t="s">
        <v>642</v>
      </c>
      <c r="S23" s="50">
        <v>24</v>
      </c>
      <c r="T23">
        <v>5985.66</v>
      </c>
      <c r="U23" t="s">
        <v>639</v>
      </c>
      <c r="V23">
        <v>61</v>
      </c>
      <c r="W23">
        <v>0</v>
      </c>
      <c r="X23" t="s">
        <v>558</v>
      </c>
      <c r="Y23" t="s">
        <v>641</v>
      </c>
    </row>
    <row r="24" spans="1:25" x14ac:dyDescent="0.25">
      <c r="A24" t="s">
        <v>132</v>
      </c>
      <c r="B24" s="24" t="s">
        <v>530</v>
      </c>
      <c r="C24" s="24" t="s">
        <v>355</v>
      </c>
      <c r="D24" s="24" t="s">
        <v>356</v>
      </c>
      <c r="E24" s="24" t="s">
        <v>153</v>
      </c>
      <c r="F24" s="24" t="s">
        <v>395</v>
      </c>
      <c r="G24" s="24" t="s">
        <v>396</v>
      </c>
      <c r="H24">
        <v>6</v>
      </c>
      <c r="I24" t="s">
        <v>359</v>
      </c>
      <c r="J24" s="50">
        <v>5719.34</v>
      </c>
      <c r="K24">
        <v>34316</v>
      </c>
      <c r="L24" t="s">
        <v>558</v>
      </c>
      <c r="M24" s="15">
        <v>19</v>
      </c>
      <c r="N24" t="s">
        <v>643</v>
      </c>
      <c r="O24" t="s">
        <v>558</v>
      </c>
      <c r="P24" t="s">
        <v>584</v>
      </c>
      <c r="Q24" t="s">
        <v>591</v>
      </c>
      <c r="R24" t="s">
        <v>644</v>
      </c>
      <c r="S24" s="50">
        <v>7</v>
      </c>
      <c r="T24">
        <v>5985.66</v>
      </c>
      <c r="U24" t="s">
        <v>639</v>
      </c>
      <c r="V24">
        <v>61</v>
      </c>
      <c r="W24">
        <v>0</v>
      </c>
      <c r="X24" t="s">
        <v>558</v>
      </c>
      <c r="Y24" t="s">
        <v>643</v>
      </c>
    </row>
    <row r="25" spans="1:25" x14ac:dyDescent="0.25">
      <c r="A25" t="s">
        <v>132</v>
      </c>
      <c r="B25" s="24" t="s">
        <v>530</v>
      </c>
      <c r="C25" s="24" t="s">
        <v>355</v>
      </c>
      <c r="D25" s="24" t="s">
        <v>356</v>
      </c>
      <c r="E25" s="24" t="s">
        <v>154</v>
      </c>
      <c r="F25" s="24" t="s">
        <v>397</v>
      </c>
      <c r="G25" s="24" t="s">
        <v>398</v>
      </c>
      <c r="H25">
        <v>15</v>
      </c>
      <c r="I25" t="s">
        <v>359</v>
      </c>
      <c r="J25" s="50">
        <v>5719.34</v>
      </c>
      <c r="K25">
        <v>85790</v>
      </c>
      <c r="L25" t="s">
        <v>558</v>
      </c>
      <c r="M25" s="15">
        <v>19</v>
      </c>
      <c r="N25" t="s">
        <v>643</v>
      </c>
      <c r="O25" t="s">
        <v>558</v>
      </c>
      <c r="P25" t="s">
        <v>584</v>
      </c>
      <c r="Q25" t="s">
        <v>645</v>
      </c>
      <c r="R25" t="s">
        <v>646</v>
      </c>
      <c r="S25" s="50">
        <v>23</v>
      </c>
      <c r="T25">
        <v>5985.66</v>
      </c>
      <c r="U25" t="s">
        <v>639</v>
      </c>
      <c r="V25">
        <v>61</v>
      </c>
      <c r="W25">
        <v>0</v>
      </c>
      <c r="X25" t="s">
        <v>558</v>
      </c>
      <c r="Y25" t="s">
        <v>643</v>
      </c>
    </row>
    <row r="26" spans="1:25" x14ac:dyDescent="0.25">
      <c r="A26" t="s">
        <v>132</v>
      </c>
      <c r="B26" s="24" t="s">
        <v>530</v>
      </c>
      <c r="C26" s="24" t="s">
        <v>355</v>
      </c>
      <c r="D26" s="24" t="s">
        <v>356</v>
      </c>
      <c r="E26" s="24" t="s">
        <v>155</v>
      </c>
      <c r="F26" s="24" t="s">
        <v>399</v>
      </c>
      <c r="G26" s="24" t="s">
        <v>398</v>
      </c>
      <c r="H26">
        <v>21</v>
      </c>
      <c r="I26" t="s">
        <v>359</v>
      </c>
      <c r="J26" s="50">
        <v>5719.34</v>
      </c>
      <c r="K26">
        <v>120106</v>
      </c>
      <c r="L26" t="s">
        <v>558</v>
      </c>
      <c r="M26" s="15">
        <v>20</v>
      </c>
      <c r="N26" t="s">
        <v>647</v>
      </c>
      <c r="O26" t="s">
        <v>558</v>
      </c>
      <c r="P26" t="s">
        <v>584</v>
      </c>
      <c r="Q26" t="s">
        <v>648</v>
      </c>
      <c r="R26" t="s">
        <v>649</v>
      </c>
      <c r="S26" s="50">
        <v>21</v>
      </c>
      <c r="T26">
        <v>5985.66</v>
      </c>
      <c r="U26" t="s">
        <v>639</v>
      </c>
      <c r="V26">
        <v>61</v>
      </c>
      <c r="W26">
        <v>0</v>
      </c>
      <c r="X26" t="s">
        <v>558</v>
      </c>
      <c r="Y26" t="s">
        <v>647</v>
      </c>
    </row>
    <row r="27" spans="1:25" x14ac:dyDescent="0.25">
      <c r="A27" t="s">
        <v>132</v>
      </c>
      <c r="B27" s="24" t="s">
        <v>530</v>
      </c>
      <c r="C27" s="24" t="s">
        <v>355</v>
      </c>
      <c r="D27" s="24" t="s">
        <v>356</v>
      </c>
      <c r="E27" s="24" t="s">
        <v>156</v>
      </c>
      <c r="F27" s="24" t="s">
        <v>400</v>
      </c>
      <c r="G27" s="24" t="s">
        <v>375</v>
      </c>
      <c r="H27">
        <v>30</v>
      </c>
      <c r="I27" t="s">
        <v>359</v>
      </c>
      <c r="J27" s="50">
        <v>5719.34</v>
      </c>
      <c r="K27">
        <v>171580</v>
      </c>
      <c r="L27" t="s">
        <v>558</v>
      </c>
      <c r="M27" s="15">
        <v>21</v>
      </c>
      <c r="N27" t="s">
        <v>650</v>
      </c>
      <c r="O27" t="s">
        <v>558</v>
      </c>
      <c r="P27" t="s">
        <v>584</v>
      </c>
      <c r="Q27" t="s">
        <v>651</v>
      </c>
      <c r="R27" t="s">
        <v>652</v>
      </c>
      <c r="S27" s="50">
        <v>6</v>
      </c>
      <c r="T27">
        <v>5985.66</v>
      </c>
      <c r="U27" t="s">
        <v>639</v>
      </c>
      <c r="V27">
        <v>61</v>
      </c>
      <c r="W27">
        <v>0</v>
      </c>
      <c r="X27" t="s">
        <v>558</v>
      </c>
      <c r="Y27" t="s">
        <v>650</v>
      </c>
    </row>
    <row r="28" spans="1:25" x14ac:dyDescent="0.25">
      <c r="A28" t="s">
        <v>132</v>
      </c>
      <c r="B28" s="24" t="s">
        <v>530</v>
      </c>
      <c r="C28" s="24" t="s">
        <v>355</v>
      </c>
      <c r="D28" s="24" t="s">
        <v>356</v>
      </c>
      <c r="E28" s="24" t="s">
        <v>157</v>
      </c>
      <c r="F28" s="24" t="s">
        <v>401</v>
      </c>
      <c r="G28" s="24" t="s">
        <v>402</v>
      </c>
      <c r="H28">
        <v>9</v>
      </c>
      <c r="I28" t="s">
        <v>359</v>
      </c>
      <c r="J28" s="50">
        <v>5719.34</v>
      </c>
      <c r="K28">
        <v>51474</v>
      </c>
      <c r="L28" t="s">
        <v>558</v>
      </c>
      <c r="M28" s="15">
        <v>22</v>
      </c>
      <c r="N28" t="s">
        <v>653</v>
      </c>
      <c r="O28" t="s">
        <v>558</v>
      </c>
      <c r="P28" t="s">
        <v>584</v>
      </c>
      <c r="Q28" t="s">
        <v>654</v>
      </c>
      <c r="R28" t="s">
        <v>655</v>
      </c>
      <c r="S28" s="50">
        <v>15</v>
      </c>
      <c r="T28">
        <v>5985.66</v>
      </c>
      <c r="U28" t="s">
        <v>639</v>
      </c>
      <c r="V28">
        <v>61</v>
      </c>
      <c r="W28">
        <v>0</v>
      </c>
      <c r="X28" t="s">
        <v>558</v>
      </c>
      <c r="Y28" t="s">
        <v>653</v>
      </c>
    </row>
    <row r="29" spans="1:25" x14ac:dyDescent="0.25">
      <c r="A29" t="s">
        <v>132</v>
      </c>
      <c r="B29" s="24" t="s">
        <v>530</v>
      </c>
      <c r="C29" s="24" t="s">
        <v>355</v>
      </c>
      <c r="D29" s="24" t="s">
        <v>356</v>
      </c>
      <c r="E29" s="24" t="s">
        <v>158</v>
      </c>
      <c r="F29" s="24" t="s">
        <v>403</v>
      </c>
      <c r="G29" s="24" t="s">
        <v>404</v>
      </c>
      <c r="H29">
        <v>9</v>
      </c>
      <c r="I29" t="s">
        <v>359</v>
      </c>
      <c r="J29" s="50">
        <v>5719.34</v>
      </c>
      <c r="K29">
        <v>51474</v>
      </c>
      <c r="L29" t="s">
        <v>558</v>
      </c>
      <c r="M29" s="15">
        <v>23</v>
      </c>
      <c r="N29" t="s">
        <v>656</v>
      </c>
      <c r="O29" t="s">
        <v>558</v>
      </c>
      <c r="P29" t="s">
        <v>584</v>
      </c>
      <c r="Q29" t="s">
        <v>657</v>
      </c>
      <c r="R29" t="s">
        <v>658</v>
      </c>
      <c r="S29" s="50">
        <v>21</v>
      </c>
      <c r="T29">
        <v>5985.66</v>
      </c>
      <c r="U29" t="s">
        <v>639</v>
      </c>
      <c r="V29">
        <v>61</v>
      </c>
      <c r="W29">
        <v>0</v>
      </c>
      <c r="X29" t="s">
        <v>558</v>
      </c>
      <c r="Y29" t="s">
        <v>656</v>
      </c>
    </row>
    <row r="30" spans="1:25" x14ac:dyDescent="0.25">
      <c r="A30" t="s">
        <v>132</v>
      </c>
      <c r="B30" s="24" t="s">
        <v>530</v>
      </c>
      <c r="C30" s="24" t="s">
        <v>355</v>
      </c>
      <c r="D30" s="24" t="s">
        <v>356</v>
      </c>
      <c r="E30" s="24" t="s">
        <v>159</v>
      </c>
      <c r="F30" s="24" t="s">
        <v>405</v>
      </c>
      <c r="G30" s="24" t="s">
        <v>406</v>
      </c>
      <c r="H30">
        <v>6</v>
      </c>
      <c r="I30" t="s">
        <v>359</v>
      </c>
      <c r="J30" s="50">
        <v>5719.34</v>
      </c>
      <c r="K30">
        <v>34316</v>
      </c>
      <c r="L30" t="s">
        <v>558</v>
      </c>
      <c r="M30" s="15">
        <v>24</v>
      </c>
      <c r="N30" t="s">
        <v>659</v>
      </c>
      <c r="O30" t="s">
        <v>558</v>
      </c>
      <c r="P30" t="s">
        <v>584</v>
      </c>
      <c r="Q30" t="s">
        <v>660</v>
      </c>
      <c r="R30" t="s">
        <v>661</v>
      </c>
      <c r="S30" s="50">
        <v>30</v>
      </c>
      <c r="T30">
        <v>5985.66</v>
      </c>
      <c r="U30" t="s">
        <v>639</v>
      </c>
      <c r="V30">
        <v>61</v>
      </c>
      <c r="W30">
        <v>0</v>
      </c>
      <c r="X30" t="s">
        <v>558</v>
      </c>
      <c r="Y30" t="s">
        <v>659</v>
      </c>
    </row>
    <row r="31" spans="1:25" x14ac:dyDescent="0.25">
      <c r="A31" t="s">
        <v>132</v>
      </c>
      <c r="B31" s="24" t="s">
        <v>530</v>
      </c>
      <c r="C31" s="24" t="s">
        <v>355</v>
      </c>
      <c r="D31" s="24" t="s">
        <v>356</v>
      </c>
      <c r="E31" s="24" t="s">
        <v>160</v>
      </c>
      <c r="F31" s="24" t="s">
        <v>407</v>
      </c>
      <c r="G31" s="24" t="s">
        <v>408</v>
      </c>
      <c r="H31">
        <v>18</v>
      </c>
      <c r="I31" t="s">
        <v>359</v>
      </c>
      <c r="J31" s="50">
        <v>5719.34</v>
      </c>
      <c r="K31">
        <v>102948</v>
      </c>
      <c r="L31" t="s">
        <v>558</v>
      </c>
      <c r="M31" s="15">
        <v>25</v>
      </c>
      <c r="N31" t="s">
        <v>662</v>
      </c>
      <c r="O31" t="s">
        <v>558</v>
      </c>
      <c r="P31" t="s">
        <v>584</v>
      </c>
      <c r="Q31" t="s">
        <v>663</v>
      </c>
      <c r="R31" t="s">
        <v>664</v>
      </c>
      <c r="S31" s="50">
        <v>9</v>
      </c>
      <c r="T31">
        <v>5985.66</v>
      </c>
      <c r="U31" t="s">
        <v>639</v>
      </c>
      <c r="V31">
        <v>61</v>
      </c>
      <c r="W31">
        <v>0</v>
      </c>
      <c r="X31" t="s">
        <v>558</v>
      </c>
      <c r="Y31" t="s">
        <v>662</v>
      </c>
    </row>
    <row r="32" spans="1:25" x14ac:dyDescent="0.25">
      <c r="A32" t="s">
        <v>132</v>
      </c>
      <c r="B32" s="24" t="s">
        <v>530</v>
      </c>
      <c r="C32" s="24" t="s">
        <v>355</v>
      </c>
      <c r="D32" s="24" t="s">
        <v>356</v>
      </c>
      <c r="E32" s="24" t="s">
        <v>161</v>
      </c>
      <c r="F32" s="24" t="s">
        <v>409</v>
      </c>
      <c r="G32" s="24" t="s">
        <v>384</v>
      </c>
      <c r="H32">
        <v>12</v>
      </c>
      <c r="I32" t="s">
        <v>359</v>
      </c>
      <c r="J32" s="50">
        <v>5719.34</v>
      </c>
      <c r="K32">
        <v>68632</v>
      </c>
      <c r="L32" t="s">
        <v>558</v>
      </c>
      <c r="M32" s="15">
        <v>26</v>
      </c>
      <c r="N32" t="s">
        <v>665</v>
      </c>
      <c r="O32" t="s">
        <v>558</v>
      </c>
      <c r="P32" t="s">
        <v>584</v>
      </c>
      <c r="Q32" t="s">
        <v>666</v>
      </c>
      <c r="R32" t="s">
        <v>667</v>
      </c>
      <c r="S32" s="50">
        <v>9</v>
      </c>
      <c r="T32">
        <v>5985.66</v>
      </c>
      <c r="U32" t="s">
        <v>639</v>
      </c>
      <c r="V32">
        <v>61</v>
      </c>
      <c r="W32">
        <v>0</v>
      </c>
      <c r="X32" t="s">
        <v>558</v>
      </c>
      <c r="Y32" t="s">
        <v>665</v>
      </c>
    </row>
    <row r="33" spans="1:25" x14ac:dyDescent="0.25">
      <c r="A33" t="s">
        <v>132</v>
      </c>
      <c r="B33" s="24" t="s">
        <v>530</v>
      </c>
      <c r="C33" s="24" t="s">
        <v>355</v>
      </c>
      <c r="D33" s="24" t="s">
        <v>356</v>
      </c>
      <c r="E33" s="24" t="s">
        <v>162</v>
      </c>
      <c r="F33" s="24" t="s">
        <v>410</v>
      </c>
      <c r="G33" s="24" t="s">
        <v>411</v>
      </c>
      <c r="H33">
        <v>15</v>
      </c>
      <c r="I33" t="s">
        <v>359</v>
      </c>
      <c r="J33" s="50">
        <v>5719.34</v>
      </c>
      <c r="K33">
        <v>85790</v>
      </c>
      <c r="L33" t="s">
        <v>558</v>
      </c>
      <c r="M33" s="15">
        <v>27</v>
      </c>
      <c r="N33" t="s">
        <v>668</v>
      </c>
      <c r="O33" t="s">
        <v>558</v>
      </c>
      <c r="P33" t="s">
        <v>584</v>
      </c>
      <c r="Q33" t="s">
        <v>669</v>
      </c>
      <c r="R33" t="s">
        <v>670</v>
      </c>
      <c r="S33" s="50">
        <v>6</v>
      </c>
      <c r="T33">
        <v>5985.66</v>
      </c>
      <c r="U33" t="s">
        <v>639</v>
      </c>
      <c r="V33">
        <v>61</v>
      </c>
      <c r="W33">
        <v>0</v>
      </c>
      <c r="X33" t="s">
        <v>558</v>
      </c>
      <c r="Y33" t="s">
        <v>668</v>
      </c>
    </row>
    <row r="34" spans="1:25" x14ac:dyDescent="0.25">
      <c r="A34" t="s">
        <v>132</v>
      </c>
      <c r="B34" s="24" t="s">
        <v>530</v>
      </c>
      <c r="C34" s="24" t="s">
        <v>355</v>
      </c>
      <c r="D34" s="24" t="s">
        <v>356</v>
      </c>
      <c r="E34" s="24" t="s">
        <v>163</v>
      </c>
      <c r="F34" s="24" t="s">
        <v>412</v>
      </c>
      <c r="G34" s="24" t="s">
        <v>413</v>
      </c>
      <c r="H34">
        <v>12</v>
      </c>
      <c r="I34" t="s">
        <v>359</v>
      </c>
      <c r="J34" s="50">
        <v>5719.34</v>
      </c>
      <c r="K34">
        <v>68632</v>
      </c>
      <c r="L34" t="s">
        <v>558</v>
      </c>
      <c r="M34" s="15">
        <v>28</v>
      </c>
      <c r="N34" t="s">
        <v>671</v>
      </c>
      <c r="O34" t="s">
        <v>558</v>
      </c>
      <c r="P34" t="s">
        <v>584</v>
      </c>
      <c r="Q34" t="s">
        <v>672</v>
      </c>
      <c r="R34" t="s">
        <v>673</v>
      </c>
      <c r="S34" s="50">
        <v>18</v>
      </c>
      <c r="T34">
        <v>5985.66</v>
      </c>
      <c r="U34" t="s">
        <v>639</v>
      </c>
      <c r="V34">
        <v>61</v>
      </c>
      <c r="W34">
        <v>0</v>
      </c>
      <c r="X34" t="s">
        <v>558</v>
      </c>
      <c r="Y34" t="s">
        <v>671</v>
      </c>
    </row>
    <row r="35" spans="1:25" x14ac:dyDescent="0.25">
      <c r="A35" t="s">
        <v>132</v>
      </c>
      <c r="B35" s="24" t="s">
        <v>530</v>
      </c>
      <c r="C35" s="24" t="s">
        <v>355</v>
      </c>
      <c r="D35" s="24" t="s">
        <v>356</v>
      </c>
      <c r="E35" s="24" t="s">
        <v>164</v>
      </c>
      <c r="F35" s="24" t="s">
        <v>414</v>
      </c>
      <c r="G35" s="24" t="s">
        <v>415</v>
      </c>
      <c r="H35">
        <v>24</v>
      </c>
      <c r="I35" t="s">
        <v>359</v>
      </c>
      <c r="J35" s="50">
        <v>5719.34</v>
      </c>
      <c r="K35">
        <v>137264</v>
      </c>
      <c r="L35" t="s">
        <v>558</v>
      </c>
      <c r="M35" s="15">
        <v>29</v>
      </c>
      <c r="N35" t="s">
        <v>674</v>
      </c>
      <c r="O35" t="s">
        <v>558</v>
      </c>
      <c r="P35" t="s">
        <v>584</v>
      </c>
      <c r="Q35" t="s">
        <v>675</v>
      </c>
      <c r="R35" t="s">
        <v>676</v>
      </c>
      <c r="S35" s="50">
        <v>12</v>
      </c>
      <c r="T35">
        <v>5985.66</v>
      </c>
      <c r="U35" t="s">
        <v>639</v>
      </c>
      <c r="V35">
        <v>61</v>
      </c>
      <c r="W35">
        <v>0</v>
      </c>
      <c r="X35" t="s">
        <v>558</v>
      </c>
      <c r="Y35" t="s">
        <v>674</v>
      </c>
    </row>
    <row r="36" spans="1:25" x14ac:dyDescent="0.25">
      <c r="A36" t="s">
        <v>132</v>
      </c>
      <c r="B36" s="24" t="s">
        <v>530</v>
      </c>
      <c r="C36" s="24" t="s">
        <v>355</v>
      </c>
      <c r="D36" s="24" t="s">
        <v>356</v>
      </c>
      <c r="E36" s="24" t="s">
        <v>165</v>
      </c>
      <c r="F36" s="24" t="s">
        <v>416</v>
      </c>
      <c r="G36" s="24" t="s">
        <v>417</v>
      </c>
      <c r="H36">
        <v>24</v>
      </c>
      <c r="I36" t="s">
        <v>359</v>
      </c>
      <c r="J36" s="50">
        <v>5719.34</v>
      </c>
      <c r="K36">
        <v>137264</v>
      </c>
      <c r="L36" t="s">
        <v>558</v>
      </c>
      <c r="M36" s="15">
        <v>30</v>
      </c>
      <c r="N36" t="s">
        <v>677</v>
      </c>
      <c r="O36" t="s">
        <v>558</v>
      </c>
      <c r="P36" t="s">
        <v>584</v>
      </c>
      <c r="Q36" t="s">
        <v>678</v>
      </c>
      <c r="R36" t="s">
        <v>679</v>
      </c>
      <c r="S36" s="50">
        <v>15</v>
      </c>
      <c r="T36">
        <v>5985.66</v>
      </c>
      <c r="U36" t="s">
        <v>639</v>
      </c>
      <c r="V36">
        <v>61</v>
      </c>
      <c r="W36">
        <v>0</v>
      </c>
      <c r="X36" t="s">
        <v>558</v>
      </c>
      <c r="Y36" t="s">
        <v>677</v>
      </c>
    </row>
    <row r="37" spans="1:25" x14ac:dyDescent="0.25">
      <c r="A37" t="s">
        <v>132</v>
      </c>
      <c r="B37" s="24" t="s">
        <v>530</v>
      </c>
      <c r="C37" s="24" t="s">
        <v>355</v>
      </c>
      <c r="D37" s="24" t="s">
        <v>356</v>
      </c>
      <c r="E37" s="24" t="s">
        <v>166</v>
      </c>
      <c r="F37" s="24" t="s">
        <v>418</v>
      </c>
      <c r="G37" s="24" t="s">
        <v>419</v>
      </c>
      <c r="H37">
        <v>18</v>
      </c>
      <c r="I37" t="s">
        <v>359</v>
      </c>
      <c r="J37" s="50">
        <v>5719.34</v>
      </c>
      <c r="K37">
        <v>102948</v>
      </c>
      <c r="L37" t="s">
        <v>558</v>
      </c>
      <c r="M37" s="15">
        <v>31</v>
      </c>
      <c r="N37" t="s">
        <v>680</v>
      </c>
      <c r="O37" t="s">
        <v>558</v>
      </c>
      <c r="P37" t="s">
        <v>584</v>
      </c>
      <c r="Q37" t="s">
        <v>681</v>
      </c>
      <c r="R37" t="s">
        <v>682</v>
      </c>
      <c r="S37" s="50">
        <v>12</v>
      </c>
      <c r="T37">
        <v>5985.66</v>
      </c>
      <c r="U37" t="s">
        <v>639</v>
      </c>
      <c r="V37">
        <v>61</v>
      </c>
      <c r="W37">
        <v>0</v>
      </c>
      <c r="X37" t="s">
        <v>558</v>
      </c>
      <c r="Y37" t="s">
        <v>680</v>
      </c>
    </row>
    <row r="38" spans="1:25" x14ac:dyDescent="0.25">
      <c r="A38" t="s">
        <v>132</v>
      </c>
      <c r="B38" s="24" t="s">
        <v>530</v>
      </c>
      <c r="C38" s="24" t="s">
        <v>355</v>
      </c>
      <c r="D38" s="24" t="s">
        <v>356</v>
      </c>
      <c r="E38" s="24" t="s">
        <v>167</v>
      </c>
      <c r="F38" s="24" t="s">
        <v>420</v>
      </c>
      <c r="G38" s="24" t="s">
        <v>419</v>
      </c>
      <c r="H38">
        <v>18</v>
      </c>
      <c r="I38" t="s">
        <v>359</v>
      </c>
      <c r="J38" s="50">
        <v>5719.34</v>
      </c>
      <c r="K38">
        <v>102948</v>
      </c>
      <c r="L38" t="s">
        <v>558</v>
      </c>
      <c r="M38" s="15">
        <v>32</v>
      </c>
      <c r="N38" t="s">
        <v>683</v>
      </c>
      <c r="O38" t="s">
        <v>558</v>
      </c>
      <c r="P38" t="s">
        <v>584</v>
      </c>
      <c r="Q38" t="s">
        <v>684</v>
      </c>
      <c r="R38" t="s">
        <v>685</v>
      </c>
      <c r="S38" s="50">
        <v>24</v>
      </c>
      <c r="T38">
        <v>5719.34</v>
      </c>
      <c r="U38" t="s">
        <v>639</v>
      </c>
      <c r="V38">
        <v>70</v>
      </c>
      <c r="W38">
        <v>0</v>
      </c>
      <c r="X38" t="s">
        <v>558</v>
      </c>
      <c r="Y38" t="s">
        <v>683</v>
      </c>
    </row>
    <row r="39" spans="1:25" x14ac:dyDescent="0.25">
      <c r="A39" t="s">
        <v>132</v>
      </c>
      <c r="B39" s="24" t="s">
        <v>530</v>
      </c>
      <c r="C39" s="24" t="s">
        <v>355</v>
      </c>
      <c r="D39" s="24" t="s">
        <v>356</v>
      </c>
      <c r="E39" s="24" t="s">
        <v>168</v>
      </c>
      <c r="F39" s="24" t="s">
        <v>421</v>
      </c>
      <c r="G39" s="24" t="s">
        <v>422</v>
      </c>
      <c r="H39">
        <v>15</v>
      </c>
      <c r="I39" t="s">
        <v>359</v>
      </c>
      <c r="J39" s="50">
        <v>5719.34</v>
      </c>
      <c r="K39">
        <v>85790</v>
      </c>
      <c r="L39" t="s">
        <v>558</v>
      </c>
      <c r="M39" s="15">
        <v>33</v>
      </c>
      <c r="N39" t="s">
        <v>686</v>
      </c>
      <c r="O39" t="s">
        <v>558</v>
      </c>
      <c r="P39" t="s">
        <v>584</v>
      </c>
      <c r="Q39" t="s">
        <v>687</v>
      </c>
      <c r="R39" t="s">
        <v>688</v>
      </c>
      <c r="S39" s="50">
        <v>24</v>
      </c>
      <c r="T39">
        <v>5719.34</v>
      </c>
      <c r="U39" t="s">
        <v>639</v>
      </c>
      <c r="V39">
        <v>70</v>
      </c>
      <c r="W39">
        <v>0</v>
      </c>
      <c r="X39" t="s">
        <v>558</v>
      </c>
      <c r="Y39" t="s">
        <v>686</v>
      </c>
    </row>
    <row r="40" spans="1:25" x14ac:dyDescent="0.25">
      <c r="A40">
        <v>4</v>
      </c>
      <c r="B40" s="24" t="s">
        <v>531</v>
      </c>
      <c r="C40" s="24" t="s">
        <v>355</v>
      </c>
      <c r="D40" s="24" t="s">
        <v>356</v>
      </c>
      <c r="E40" s="24" t="s">
        <v>169</v>
      </c>
      <c r="F40" s="24" t="s">
        <v>423</v>
      </c>
      <c r="G40" s="24" t="s">
        <v>379</v>
      </c>
      <c r="H40">
        <v>6</v>
      </c>
      <c r="I40" t="s">
        <v>359</v>
      </c>
      <c r="J40" s="50">
        <v>4610.03</v>
      </c>
      <c r="K40">
        <v>27660</v>
      </c>
      <c r="L40" t="s">
        <v>559</v>
      </c>
      <c r="M40">
        <v>34</v>
      </c>
      <c r="N40" t="s">
        <v>689</v>
      </c>
      <c r="O40" t="s">
        <v>558</v>
      </c>
      <c r="P40" t="s">
        <v>584</v>
      </c>
      <c r="Q40" t="s">
        <v>690</v>
      </c>
      <c r="R40" t="s">
        <v>691</v>
      </c>
      <c r="S40" s="50">
        <v>18</v>
      </c>
      <c r="T40">
        <v>5719.34</v>
      </c>
      <c r="U40" t="s">
        <v>639</v>
      </c>
      <c r="V40">
        <v>70</v>
      </c>
      <c r="W40">
        <v>0</v>
      </c>
      <c r="X40" t="s">
        <v>558</v>
      </c>
      <c r="Y40" t="s">
        <v>689</v>
      </c>
    </row>
    <row r="41" spans="1:25" x14ac:dyDescent="0.25">
      <c r="A41" t="s">
        <v>132</v>
      </c>
      <c r="B41" s="24" t="s">
        <v>531</v>
      </c>
      <c r="C41" s="24" t="s">
        <v>355</v>
      </c>
      <c r="D41" s="24" t="s">
        <v>356</v>
      </c>
      <c r="E41" s="24" t="s">
        <v>170</v>
      </c>
      <c r="F41" s="24" t="s">
        <v>424</v>
      </c>
      <c r="G41" s="24" t="s">
        <v>425</v>
      </c>
      <c r="H41">
        <v>15</v>
      </c>
      <c r="I41" t="s">
        <v>359</v>
      </c>
      <c r="J41" s="50">
        <v>4610.03</v>
      </c>
      <c r="K41">
        <v>69150</v>
      </c>
      <c r="L41" t="s">
        <v>559</v>
      </c>
      <c r="M41">
        <v>35</v>
      </c>
      <c r="N41" t="s">
        <v>692</v>
      </c>
      <c r="O41" t="s">
        <v>558</v>
      </c>
      <c r="P41" t="s">
        <v>584</v>
      </c>
      <c r="Q41" t="s">
        <v>693</v>
      </c>
      <c r="R41" t="s">
        <v>694</v>
      </c>
      <c r="S41" s="50">
        <v>18</v>
      </c>
      <c r="T41">
        <v>5719.34</v>
      </c>
      <c r="U41" t="s">
        <v>639</v>
      </c>
      <c r="V41">
        <v>70</v>
      </c>
      <c r="W41">
        <v>0</v>
      </c>
      <c r="X41" t="s">
        <v>558</v>
      </c>
      <c r="Y41" t="s">
        <v>692</v>
      </c>
    </row>
    <row r="42" spans="1:25" x14ac:dyDescent="0.25">
      <c r="A42" t="s">
        <v>132</v>
      </c>
      <c r="B42" s="24" t="s">
        <v>531</v>
      </c>
      <c r="C42" s="24" t="s">
        <v>355</v>
      </c>
      <c r="D42" s="24" t="s">
        <v>356</v>
      </c>
      <c r="E42" s="24" t="s">
        <v>171</v>
      </c>
      <c r="F42" s="24" t="s">
        <v>426</v>
      </c>
      <c r="G42" s="24" t="s">
        <v>404</v>
      </c>
      <c r="H42">
        <v>21</v>
      </c>
      <c r="I42" t="s">
        <v>359</v>
      </c>
      <c r="J42" s="50">
        <v>4610.03</v>
      </c>
      <c r="K42">
        <v>96811</v>
      </c>
      <c r="L42" t="s">
        <v>559</v>
      </c>
      <c r="M42" s="15">
        <v>36</v>
      </c>
      <c r="N42" t="s">
        <v>695</v>
      </c>
      <c r="O42" t="s">
        <v>558</v>
      </c>
      <c r="P42" t="s">
        <v>584</v>
      </c>
      <c r="Q42" t="s">
        <v>696</v>
      </c>
      <c r="R42" t="s">
        <v>697</v>
      </c>
      <c r="S42" s="50">
        <v>15</v>
      </c>
      <c r="T42">
        <v>5719.34</v>
      </c>
      <c r="U42" t="s">
        <v>639</v>
      </c>
      <c r="V42">
        <v>70</v>
      </c>
      <c r="W42">
        <v>0</v>
      </c>
      <c r="X42" t="s">
        <v>558</v>
      </c>
      <c r="Y42" t="s">
        <v>695</v>
      </c>
    </row>
    <row r="43" spans="1:25" x14ac:dyDescent="0.25">
      <c r="A43" t="s">
        <v>132</v>
      </c>
      <c r="B43" s="24" t="s">
        <v>531</v>
      </c>
      <c r="C43" s="24" t="s">
        <v>355</v>
      </c>
      <c r="D43" s="24" t="s">
        <v>356</v>
      </c>
      <c r="E43" s="24" t="s">
        <v>172</v>
      </c>
      <c r="F43" s="24" t="s">
        <v>427</v>
      </c>
      <c r="G43" s="24" t="s">
        <v>406</v>
      </c>
      <c r="H43">
        <v>15</v>
      </c>
      <c r="I43" t="s">
        <v>359</v>
      </c>
      <c r="J43" s="50">
        <v>4610.03</v>
      </c>
      <c r="K43">
        <v>69150</v>
      </c>
      <c r="L43" t="s">
        <v>559</v>
      </c>
      <c r="M43" s="15">
        <v>37</v>
      </c>
      <c r="N43" t="s">
        <v>698</v>
      </c>
      <c r="O43" t="s">
        <v>559</v>
      </c>
      <c r="P43" t="s">
        <v>584</v>
      </c>
      <c r="Q43" t="s">
        <v>699</v>
      </c>
      <c r="R43" t="s">
        <v>700</v>
      </c>
      <c r="S43" s="50">
        <v>6</v>
      </c>
      <c r="T43">
        <v>4610.03</v>
      </c>
      <c r="U43" t="s">
        <v>701</v>
      </c>
      <c r="V43">
        <v>51</v>
      </c>
      <c r="W43">
        <v>0</v>
      </c>
      <c r="X43" t="s">
        <v>559</v>
      </c>
      <c r="Y43" t="s">
        <v>698</v>
      </c>
    </row>
    <row r="44" spans="1:25" x14ac:dyDescent="0.25">
      <c r="A44" t="s">
        <v>132</v>
      </c>
      <c r="B44" s="24" t="s">
        <v>531</v>
      </c>
      <c r="C44" s="24" t="s">
        <v>355</v>
      </c>
      <c r="D44" s="24" t="s">
        <v>356</v>
      </c>
      <c r="E44" s="24" t="s">
        <v>173</v>
      </c>
      <c r="F44" s="24" t="s">
        <v>428</v>
      </c>
      <c r="G44" s="24" t="s">
        <v>358</v>
      </c>
      <c r="H44">
        <v>6</v>
      </c>
      <c r="I44" t="s">
        <v>359</v>
      </c>
      <c r="J44" s="50">
        <v>4610.03</v>
      </c>
      <c r="K44">
        <v>27660</v>
      </c>
      <c r="L44" t="s">
        <v>559</v>
      </c>
      <c r="M44" s="15">
        <v>38</v>
      </c>
      <c r="N44" t="s">
        <v>702</v>
      </c>
      <c r="O44" t="s">
        <v>559</v>
      </c>
      <c r="P44" t="s">
        <v>584</v>
      </c>
      <c r="Q44" t="s">
        <v>703</v>
      </c>
      <c r="R44" t="s">
        <v>704</v>
      </c>
      <c r="S44" s="50">
        <v>15</v>
      </c>
      <c r="T44">
        <v>4610.03</v>
      </c>
      <c r="U44" t="s">
        <v>701</v>
      </c>
      <c r="V44">
        <v>51</v>
      </c>
      <c r="W44">
        <v>0</v>
      </c>
      <c r="X44" t="s">
        <v>559</v>
      </c>
      <c r="Y44" t="s">
        <v>702</v>
      </c>
    </row>
    <row r="45" spans="1:25" x14ac:dyDescent="0.25">
      <c r="A45" t="s">
        <v>132</v>
      </c>
      <c r="B45" s="24" t="s">
        <v>531</v>
      </c>
      <c r="C45" s="24" t="s">
        <v>355</v>
      </c>
      <c r="D45" s="24" t="s">
        <v>356</v>
      </c>
      <c r="E45" s="24" t="s">
        <v>174</v>
      </c>
      <c r="F45" s="24" t="s">
        <v>429</v>
      </c>
      <c r="G45" s="24" t="s">
        <v>384</v>
      </c>
      <c r="H45">
        <v>30</v>
      </c>
      <c r="I45" t="s">
        <v>359</v>
      </c>
      <c r="J45" s="50">
        <v>4610.03</v>
      </c>
      <c r="K45">
        <v>138301</v>
      </c>
      <c r="L45" t="s">
        <v>559</v>
      </c>
      <c r="M45" s="15">
        <v>39</v>
      </c>
      <c r="N45" t="s">
        <v>705</v>
      </c>
      <c r="O45" t="s">
        <v>559</v>
      </c>
      <c r="P45" t="s">
        <v>584</v>
      </c>
      <c r="Q45" t="s">
        <v>706</v>
      </c>
      <c r="R45" t="s">
        <v>707</v>
      </c>
      <c r="S45" s="50">
        <v>21</v>
      </c>
      <c r="T45">
        <v>4610.03</v>
      </c>
      <c r="U45" t="s">
        <v>701</v>
      </c>
      <c r="V45">
        <v>51</v>
      </c>
      <c r="W45">
        <v>0</v>
      </c>
      <c r="X45" t="s">
        <v>559</v>
      </c>
      <c r="Y45" t="s">
        <v>705</v>
      </c>
    </row>
    <row r="46" spans="1:25" x14ac:dyDescent="0.25">
      <c r="A46" t="s">
        <v>132</v>
      </c>
      <c r="B46" s="24" t="s">
        <v>531</v>
      </c>
      <c r="C46" s="24" t="s">
        <v>355</v>
      </c>
      <c r="D46" s="24" t="s">
        <v>356</v>
      </c>
      <c r="E46" s="24" t="s">
        <v>175</v>
      </c>
      <c r="F46" s="24" t="s">
        <v>430</v>
      </c>
      <c r="G46" s="24" t="s">
        <v>386</v>
      </c>
      <c r="H46">
        <v>36</v>
      </c>
      <c r="I46" t="s">
        <v>359</v>
      </c>
      <c r="J46" s="50">
        <v>4610.03</v>
      </c>
      <c r="K46">
        <v>165961</v>
      </c>
      <c r="L46" t="s">
        <v>559</v>
      </c>
      <c r="M46" s="15">
        <v>40</v>
      </c>
      <c r="N46" t="s">
        <v>708</v>
      </c>
      <c r="O46" t="s">
        <v>559</v>
      </c>
      <c r="P46" t="s">
        <v>584</v>
      </c>
      <c r="Q46" t="s">
        <v>709</v>
      </c>
      <c r="R46" t="s">
        <v>710</v>
      </c>
      <c r="S46" s="50">
        <v>15</v>
      </c>
      <c r="T46">
        <v>4610.03</v>
      </c>
      <c r="U46" t="s">
        <v>701</v>
      </c>
      <c r="V46">
        <v>51</v>
      </c>
      <c r="W46">
        <v>0</v>
      </c>
      <c r="X46" t="s">
        <v>559</v>
      </c>
      <c r="Y46" t="s">
        <v>708</v>
      </c>
    </row>
    <row r="47" spans="1:25" x14ac:dyDescent="0.25">
      <c r="A47" t="s">
        <v>132</v>
      </c>
      <c r="B47" s="24" t="s">
        <v>531</v>
      </c>
      <c r="C47" s="24" t="s">
        <v>355</v>
      </c>
      <c r="D47" s="24" t="s">
        <v>356</v>
      </c>
      <c r="E47" s="24" t="s">
        <v>176</v>
      </c>
      <c r="F47" s="24" t="s">
        <v>431</v>
      </c>
      <c r="G47" s="24" t="s">
        <v>432</v>
      </c>
      <c r="H47">
        <v>9</v>
      </c>
      <c r="I47" t="s">
        <v>359</v>
      </c>
      <c r="J47" s="50">
        <v>4610.03</v>
      </c>
      <c r="K47">
        <v>41490</v>
      </c>
      <c r="L47" t="s">
        <v>559</v>
      </c>
      <c r="M47" s="15">
        <v>41</v>
      </c>
      <c r="N47" t="s">
        <v>711</v>
      </c>
      <c r="O47" t="s">
        <v>559</v>
      </c>
      <c r="P47" t="s">
        <v>584</v>
      </c>
      <c r="Q47" t="s">
        <v>712</v>
      </c>
      <c r="R47" t="s">
        <v>713</v>
      </c>
      <c r="S47" s="50">
        <v>6</v>
      </c>
      <c r="T47">
        <v>4610.03</v>
      </c>
      <c r="U47" t="s">
        <v>701</v>
      </c>
      <c r="V47">
        <v>51</v>
      </c>
      <c r="W47">
        <v>0</v>
      </c>
      <c r="X47" t="s">
        <v>559</v>
      </c>
      <c r="Y47" t="s">
        <v>711</v>
      </c>
    </row>
    <row r="48" spans="1:25" x14ac:dyDescent="0.25">
      <c r="A48" t="s">
        <v>132</v>
      </c>
      <c r="B48" s="24" t="s">
        <v>531</v>
      </c>
      <c r="C48" s="24" t="s">
        <v>355</v>
      </c>
      <c r="D48" s="24" t="s">
        <v>356</v>
      </c>
      <c r="E48" s="24" t="s">
        <v>177</v>
      </c>
      <c r="F48" s="24" t="s">
        <v>433</v>
      </c>
      <c r="G48" s="24" t="s">
        <v>415</v>
      </c>
      <c r="H48">
        <v>36</v>
      </c>
      <c r="I48" t="s">
        <v>359</v>
      </c>
      <c r="J48" s="50">
        <v>4610.03</v>
      </c>
      <c r="K48">
        <v>165961</v>
      </c>
      <c r="L48" t="s">
        <v>559</v>
      </c>
      <c r="M48" s="15">
        <v>42</v>
      </c>
      <c r="N48" t="s">
        <v>714</v>
      </c>
      <c r="O48" t="s">
        <v>559</v>
      </c>
      <c r="P48" t="s">
        <v>584</v>
      </c>
      <c r="Q48" t="s">
        <v>715</v>
      </c>
      <c r="R48" t="s">
        <v>716</v>
      </c>
      <c r="S48" s="50">
        <v>30</v>
      </c>
      <c r="T48">
        <v>4610.03</v>
      </c>
      <c r="U48" t="s">
        <v>701</v>
      </c>
      <c r="V48">
        <v>51</v>
      </c>
      <c r="W48">
        <v>0</v>
      </c>
      <c r="X48" t="s">
        <v>559</v>
      </c>
      <c r="Y48" t="s">
        <v>714</v>
      </c>
    </row>
    <row r="49" spans="1:25" x14ac:dyDescent="0.25">
      <c r="A49" t="s">
        <v>132</v>
      </c>
      <c r="B49" s="24" t="s">
        <v>531</v>
      </c>
      <c r="C49" s="24" t="s">
        <v>355</v>
      </c>
      <c r="D49" s="24" t="s">
        <v>356</v>
      </c>
      <c r="E49" s="24" t="s">
        <v>178</v>
      </c>
      <c r="F49" s="24" t="s">
        <v>434</v>
      </c>
      <c r="G49" s="24" t="s">
        <v>417</v>
      </c>
      <c r="H49">
        <v>24</v>
      </c>
      <c r="I49" t="s">
        <v>359</v>
      </c>
      <c r="J49" s="50">
        <v>4610.03</v>
      </c>
      <c r="K49">
        <v>110641</v>
      </c>
      <c r="L49" t="s">
        <v>559</v>
      </c>
      <c r="M49" s="15">
        <v>43</v>
      </c>
      <c r="N49" t="s">
        <v>717</v>
      </c>
      <c r="O49" t="s">
        <v>559</v>
      </c>
      <c r="P49" t="s">
        <v>584</v>
      </c>
      <c r="Q49" t="s">
        <v>718</v>
      </c>
      <c r="R49" t="s">
        <v>719</v>
      </c>
      <c r="S49" s="50">
        <v>36</v>
      </c>
      <c r="T49">
        <v>4610.03</v>
      </c>
      <c r="U49" t="s">
        <v>701</v>
      </c>
      <c r="V49">
        <v>51</v>
      </c>
      <c r="W49">
        <v>0</v>
      </c>
      <c r="X49" t="s">
        <v>559</v>
      </c>
      <c r="Y49" t="s">
        <v>717</v>
      </c>
    </row>
    <row r="50" spans="1:25" x14ac:dyDescent="0.25">
      <c r="A50" t="s">
        <v>132</v>
      </c>
      <c r="B50" s="24" t="s">
        <v>531</v>
      </c>
      <c r="C50" s="24" t="s">
        <v>355</v>
      </c>
      <c r="D50" s="24" t="s">
        <v>356</v>
      </c>
      <c r="E50" s="24" t="s">
        <v>179</v>
      </c>
      <c r="F50" s="24" t="s">
        <v>435</v>
      </c>
      <c r="G50" s="24" t="s">
        <v>419</v>
      </c>
      <c r="H50">
        <v>30</v>
      </c>
      <c r="I50" t="s">
        <v>359</v>
      </c>
      <c r="J50" s="50">
        <v>4610.03</v>
      </c>
      <c r="K50">
        <v>138301</v>
      </c>
      <c r="L50" t="s">
        <v>559</v>
      </c>
      <c r="M50" s="15">
        <v>44</v>
      </c>
      <c r="N50" t="s">
        <v>720</v>
      </c>
      <c r="O50" t="s">
        <v>559</v>
      </c>
      <c r="P50" t="s">
        <v>584</v>
      </c>
      <c r="Q50" t="s">
        <v>721</v>
      </c>
      <c r="R50" t="s">
        <v>722</v>
      </c>
      <c r="S50" s="50">
        <v>9</v>
      </c>
      <c r="T50">
        <v>4610.03</v>
      </c>
      <c r="U50" t="s">
        <v>701</v>
      </c>
      <c r="V50">
        <v>70</v>
      </c>
      <c r="W50">
        <v>0</v>
      </c>
      <c r="X50" t="s">
        <v>559</v>
      </c>
      <c r="Y50" t="s">
        <v>720</v>
      </c>
    </row>
    <row r="51" spans="1:25" x14ac:dyDescent="0.25">
      <c r="A51" t="s">
        <v>132</v>
      </c>
      <c r="B51" s="24" t="s">
        <v>531</v>
      </c>
      <c r="C51" s="24" t="s">
        <v>355</v>
      </c>
      <c r="D51" s="24" t="s">
        <v>356</v>
      </c>
      <c r="E51" s="24" t="s">
        <v>180</v>
      </c>
      <c r="F51" s="24" t="s">
        <v>436</v>
      </c>
      <c r="G51" s="24" t="s">
        <v>422</v>
      </c>
      <c r="H51">
        <v>72</v>
      </c>
      <c r="I51" t="s">
        <v>359</v>
      </c>
      <c r="J51" s="50">
        <v>4610.03</v>
      </c>
      <c r="K51">
        <v>331922</v>
      </c>
      <c r="L51" t="s">
        <v>559</v>
      </c>
      <c r="M51" s="15">
        <v>45</v>
      </c>
      <c r="N51" t="s">
        <v>723</v>
      </c>
      <c r="O51" t="s">
        <v>559</v>
      </c>
      <c r="P51" t="s">
        <v>584</v>
      </c>
      <c r="Q51" t="s">
        <v>724</v>
      </c>
      <c r="R51" t="s">
        <v>725</v>
      </c>
      <c r="S51" s="50">
        <v>36</v>
      </c>
      <c r="T51">
        <v>4610.03</v>
      </c>
      <c r="U51" t="s">
        <v>701</v>
      </c>
      <c r="V51">
        <v>70</v>
      </c>
      <c r="W51">
        <v>0</v>
      </c>
      <c r="X51" t="s">
        <v>559</v>
      </c>
      <c r="Y51" t="s">
        <v>723</v>
      </c>
    </row>
    <row r="52" spans="1:25" x14ac:dyDescent="0.25">
      <c r="A52">
        <v>5</v>
      </c>
      <c r="B52" s="24" t="s">
        <v>532</v>
      </c>
      <c r="C52" s="24" t="s">
        <v>355</v>
      </c>
      <c r="D52" s="24" t="s">
        <v>356</v>
      </c>
      <c r="E52" s="24" t="s">
        <v>181</v>
      </c>
      <c r="F52" s="24" t="s">
        <v>437</v>
      </c>
      <c r="G52" s="24" t="s">
        <v>404</v>
      </c>
      <c r="H52">
        <v>9</v>
      </c>
      <c r="I52" t="s">
        <v>359</v>
      </c>
      <c r="J52" s="50">
        <v>4638.1400000000003</v>
      </c>
      <c r="K52">
        <v>41743</v>
      </c>
      <c r="L52" t="s">
        <v>560</v>
      </c>
      <c r="M52">
        <v>46</v>
      </c>
      <c r="N52" t="s">
        <v>726</v>
      </c>
      <c r="O52" t="s">
        <v>559</v>
      </c>
      <c r="P52" t="s">
        <v>584</v>
      </c>
      <c r="Q52" t="s">
        <v>727</v>
      </c>
      <c r="R52" t="s">
        <v>728</v>
      </c>
      <c r="S52" s="50">
        <v>24</v>
      </c>
      <c r="T52">
        <v>4610.03</v>
      </c>
      <c r="U52" t="s">
        <v>701</v>
      </c>
      <c r="V52">
        <v>70</v>
      </c>
      <c r="W52">
        <v>0</v>
      </c>
      <c r="X52" t="s">
        <v>559</v>
      </c>
      <c r="Y52" t="s">
        <v>726</v>
      </c>
    </row>
    <row r="53" spans="1:25" x14ac:dyDescent="0.25">
      <c r="A53" t="s">
        <v>132</v>
      </c>
      <c r="B53" s="24" t="s">
        <v>532</v>
      </c>
      <c r="C53" s="24" t="s">
        <v>355</v>
      </c>
      <c r="D53" s="24" t="s">
        <v>356</v>
      </c>
      <c r="E53" s="24" t="s">
        <v>182</v>
      </c>
      <c r="F53" s="24" t="s">
        <v>438</v>
      </c>
      <c r="G53" s="24" t="s">
        <v>408</v>
      </c>
      <c r="H53">
        <v>6</v>
      </c>
      <c r="I53" t="s">
        <v>359</v>
      </c>
      <c r="J53" s="50">
        <v>4638.1400000000003</v>
      </c>
      <c r="K53">
        <v>27829</v>
      </c>
      <c r="L53" t="s">
        <v>560</v>
      </c>
      <c r="M53">
        <v>47</v>
      </c>
      <c r="N53" t="s">
        <v>729</v>
      </c>
      <c r="O53" t="s">
        <v>559</v>
      </c>
      <c r="P53" t="s">
        <v>584</v>
      </c>
      <c r="Q53" t="s">
        <v>730</v>
      </c>
      <c r="R53" t="s">
        <v>731</v>
      </c>
      <c r="S53" s="50">
        <v>30</v>
      </c>
      <c r="T53">
        <v>4610.03</v>
      </c>
      <c r="U53" t="s">
        <v>701</v>
      </c>
      <c r="V53">
        <v>70</v>
      </c>
      <c r="W53">
        <v>0</v>
      </c>
      <c r="X53" t="s">
        <v>559</v>
      </c>
      <c r="Y53" t="s">
        <v>729</v>
      </c>
    </row>
    <row r="54" spans="1:25" x14ac:dyDescent="0.25">
      <c r="A54" t="s">
        <v>132</v>
      </c>
      <c r="B54" s="24" t="s">
        <v>532</v>
      </c>
      <c r="C54" s="24" t="s">
        <v>355</v>
      </c>
      <c r="D54" s="24" t="s">
        <v>356</v>
      </c>
      <c r="E54" s="24" t="s">
        <v>183</v>
      </c>
      <c r="F54" s="24" t="s">
        <v>439</v>
      </c>
      <c r="G54" s="24" t="s">
        <v>419</v>
      </c>
      <c r="H54">
        <v>18</v>
      </c>
      <c r="I54" t="s">
        <v>359</v>
      </c>
      <c r="J54" s="50">
        <v>4638.1400000000003</v>
      </c>
      <c r="K54">
        <v>83487</v>
      </c>
      <c r="L54" t="s">
        <v>560</v>
      </c>
      <c r="M54">
        <v>48</v>
      </c>
      <c r="N54" t="s">
        <v>732</v>
      </c>
      <c r="O54" t="s">
        <v>559</v>
      </c>
      <c r="P54" t="s">
        <v>584</v>
      </c>
      <c r="Q54" t="s">
        <v>733</v>
      </c>
      <c r="R54" t="s">
        <v>734</v>
      </c>
      <c r="S54" s="50">
        <v>72</v>
      </c>
      <c r="T54">
        <v>4610.03</v>
      </c>
      <c r="U54" t="s">
        <v>701</v>
      </c>
      <c r="V54">
        <v>70</v>
      </c>
      <c r="W54">
        <v>0</v>
      </c>
      <c r="X54" t="s">
        <v>559</v>
      </c>
      <c r="Y54" t="s">
        <v>732</v>
      </c>
    </row>
    <row r="55" spans="1:25" x14ac:dyDescent="0.25">
      <c r="A55" t="s">
        <v>132</v>
      </c>
      <c r="B55" s="24" t="s">
        <v>532</v>
      </c>
      <c r="C55" s="24" t="s">
        <v>355</v>
      </c>
      <c r="D55" s="24" t="s">
        <v>356</v>
      </c>
      <c r="E55" s="24" t="s">
        <v>184</v>
      </c>
      <c r="F55" s="24" t="s">
        <v>440</v>
      </c>
      <c r="G55" s="24" t="s">
        <v>422</v>
      </c>
      <c r="H55">
        <v>9</v>
      </c>
      <c r="I55" t="s">
        <v>359</v>
      </c>
      <c r="J55" s="50">
        <v>4638.1400000000003</v>
      </c>
      <c r="K55">
        <v>41743</v>
      </c>
      <c r="L55" t="s">
        <v>560</v>
      </c>
      <c r="M55">
        <v>49</v>
      </c>
      <c r="N55" t="s">
        <v>735</v>
      </c>
      <c r="O55" t="s">
        <v>560</v>
      </c>
      <c r="P55" t="s">
        <v>584</v>
      </c>
      <c r="Q55" t="s">
        <v>736</v>
      </c>
      <c r="R55" t="s">
        <v>737</v>
      </c>
      <c r="S55" s="50">
        <v>9</v>
      </c>
      <c r="T55">
        <v>4638.1400000000003</v>
      </c>
      <c r="U55" t="s">
        <v>738</v>
      </c>
      <c r="V55">
        <v>51</v>
      </c>
      <c r="W55">
        <v>0</v>
      </c>
      <c r="X55" t="s">
        <v>560</v>
      </c>
      <c r="Y55" t="s">
        <v>735</v>
      </c>
    </row>
    <row r="56" spans="1:25" x14ac:dyDescent="0.25">
      <c r="A56">
        <v>6</v>
      </c>
      <c r="B56" s="24" t="s">
        <v>533</v>
      </c>
      <c r="C56" s="24" t="s">
        <v>355</v>
      </c>
      <c r="D56" s="24" t="s">
        <v>356</v>
      </c>
      <c r="E56" s="24" t="s">
        <v>185</v>
      </c>
      <c r="F56" s="24" t="s">
        <v>441</v>
      </c>
      <c r="G56" s="24" t="s">
        <v>402</v>
      </c>
      <c r="H56">
        <v>30</v>
      </c>
      <c r="I56" t="s">
        <v>359</v>
      </c>
      <c r="J56" s="50">
        <v>5121.1400000000003</v>
      </c>
      <c r="K56">
        <v>153634</v>
      </c>
      <c r="L56" t="s">
        <v>561</v>
      </c>
      <c r="M56">
        <v>50</v>
      </c>
      <c r="N56" t="s">
        <v>739</v>
      </c>
      <c r="O56" t="s">
        <v>560</v>
      </c>
      <c r="P56" t="s">
        <v>584</v>
      </c>
      <c r="Q56" t="s">
        <v>740</v>
      </c>
      <c r="R56" t="s">
        <v>741</v>
      </c>
      <c r="S56" s="50">
        <v>6</v>
      </c>
      <c r="T56">
        <v>4638.1400000000003</v>
      </c>
      <c r="U56" t="s">
        <v>738</v>
      </c>
      <c r="V56">
        <v>51</v>
      </c>
      <c r="W56">
        <v>0</v>
      </c>
      <c r="X56" t="s">
        <v>560</v>
      </c>
      <c r="Y56" t="s">
        <v>739</v>
      </c>
    </row>
    <row r="57" spans="1:25" x14ac:dyDescent="0.25">
      <c r="A57" t="s">
        <v>132</v>
      </c>
      <c r="B57" s="24" t="s">
        <v>533</v>
      </c>
      <c r="C57" s="24" t="s">
        <v>355</v>
      </c>
      <c r="D57" s="24" t="s">
        <v>356</v>
      </c>
      <c r="E57" s="24" t="s">
        <v>186</v>
      </c>
      <c r="F57" s="24" t="s">
        <v>442</v>
      </c>
      <c r="G57" s="24" t="s">
        <v>406</v>
      </c>
      <c r="H57">
        <v>12</v>
      </c>
      <c r="I57" t="s">
        <v>359</v>
      </c>
      <c r="J57" s="50">
        <v>5121.1400000000003</v>
      </c>
      <c r="K57">
        <v>61454</v>
      </c>
      <c r="L57" t="s">
        <v>561</v>
      </c>
      <c r="M57">
        <v>51</v>
      </c>
      <c r="N57" t="s">
        <v>742</v>
      </c>
      <c r="O57" t="s">
        <v>560</v>
      </c>
      <c r="P57" t="s">
        <v>584</v>
      </c>
      <c r="Q57" t="s">
        <v>743</v>
      </c>
      <c r="R57" t="s">
        <v>744</v>
      </c>
      <c r="S57" s="50">
        <v>18</v>
      </c>
      <c r="T57">
        <v>4638.1400000000003</v>
      </c>
      <c r="U57" t="s">
        <v>738</v>
      </c>
      <c r="V57">
        <v>70</v>
      </c>
      <c r="W57">
        <v>0</v>
      </c>
      <c r="X57" t="s">
        <v>560</v>
      </c>
      <c r="Y57" t="s">
        <v>742</v>
      </c>
    </row>
    <row r="58" spans="1:25" x14ac:dyDescent="0.25">
      <c r="A58" t="s">
        <v>132</v>
      </c>
      <c r="B58" s="24" t="s">
        <v>533</v>
      </c>
      <c r="C58" s="24" t="s">
        <v>355</v>
      </c>
      <c r="D58" s="24" t="s">
        <v>356</v>
      </c>
      <c r="E58" s="24" t="s">
        <v>187</v>
      </c>
      <c r="F58" s="24" t="s">
        <v>443</v>
      </c>
      <c r="G58" s="24" t="s">
        <v>408</v>
      </c>
      <c r="H58">
        <v>21</v>
      </c>
      <c r="I58" t="s">
        <v>359</v>
      </c>
      <c r="J58" s="50">
        <v>5121.1400000000003</v>
      </c>
      <c r="K58">
        <v>107544</v>
      </c>
      <c r="L58" t="s">
        <v>561</v>
      </c>
      <c r="M58">
        <v>52</v>
      </c>
      <c r="N58" t="s">
        <v>745</v>
      </c>
      <c r="O58" t="s">
        <v>560</v>
      </c>
      <c r="P58" t="s">
        <v>584</v>
      </c>
      <c r="Q58" t="s">
        <v>746</v>
      </c>
      <c r="R58" t="s">
        <v>747</v>
      </c>
      <c r="S58" s="50">
        <v>9</v>
      </c>
      <c r="T58">
        <v>4638.1400000000003</v>
      </c>
      <c r="U58" t="s">
        <v>738</v>
      </c>
      <c r="V58">
        <v>70</v>
      </c>
      <c r="W58">
        <v>0</v>
      </c>
      <c r="X58" t="s">
        <v>560</v>
      </c>
      <c r="Y58" t="s">
        <v>745</v>
      </c>
    </row>
    <row r="59" spans="1:25" x14ac:dyDescent="0.25">
      <c r="A59" t="s">
        <v>132</v>
      </c>
      <c r="B59" s="24" t="s">
        <v>533</v>
      </c>
      <c r="C59" s="24" t="s">
        <v>355</v>
      </c>
      <c r="D59" s="24" t="s">
        <v>356</v>
      </c>
      <c r="E59" s="24" t="s">
        <v>188</v>
      </c>
      <c r="F59" s="24" t="s">
        <v>444</v>
      </c>
      <c r="G59" s="24" t="s">
        <v>384</v>
      </c>
      <c r="H59">
        <v>14</v>
      </c>
      <c r="I59" t="s">
        <v>359</v>
      </c>
      <c r="J59" s="50">
        <v>5121.1400000000003</v>
      </c>
      <c r="K59">
        <v>71696</v>
      </c>
      <c r="L59" t="s">
        <v>561</v>
      </c>
      <c r="M59">
        <v>53</v>
      </c>
      <c r="N59" t="s">
        <v>748</v>
      </c>
      <c r="O59" t="s">
        <v>561</v>
      </c>
      <c r="P59" t="s">
        <v>584</v>
      </c>
      <c r="Q59" t="s">
        <v>749</v>
      </c>
      <c r="R59" t="s">
        <v>750</v>
      </c>
      <c r="S59" s="50">
        <v>30</v>
      </c>
      <c r="T59">
        <v>5121.1400000000003</v>
      </c>
      <c r="U59" t="s">
        <v>751</v>
      </c>
      <c r="V59">
        <v>61</v>
      </c>
      <c r="W59">
        <v>0</v>
      </c>
      <c r="X59" t="s">
        <v>561</v>
      </c>
      <c r="Y59" t="s">
        <v>748</v>
      </c>
    </row>
    <row r="60" spans="1:25" x14ac:dyDescent="0.25">
      <c r="A60" t="s">
        <v>132</v>
      </c>
      <c r="B60" s="24" t="s">
        <v>533</v>
      </c>
      <c r="C60" s="24" t="s">
        <v>355</v>
      </c>
      <c r="D60" s="24" t="s">
        <v>356</v>
      </c>
      <c r="E60" s="24" t="s">
        <v>189</v>
      </c>
      <c r="F60" s="24" t="s">
        <v>445</v>
      </c>
      <c r="G60" s="24" t="s">
        <v>386</v>
      </c>
      <c r="H60">
        <v>21</v>
      </c>
      <c r="I60" t="s">
        <v>359</v>
      </c>
      <c r="J60" s="50">
        <v>5121.1400000000003</v>
      </c>
      <c r="K60">
        <v>107544</v>
      </c>
      <c r="L60" t="s">
        <v>561</v>
      </c>
      <c r="M60">
        <v>54</v>
      </c>
      <c r="N60" t="s">
        <v>752</v>
      </c>
      <c r="O60" t="s">
        <v>561</v>
      </c>
      <c r="P60" t="s">
        <v>584</v>
      </c>
      <c r="Q60" t="s">
        <v>753</v>
      </c>
      <c r="R60" t="s">
        <v>754</v>
      </c>
      <c r="S60" s="50">
        <v>12</v>
      </c>
      <c r="T60">
        <v>5121.1400000000003</v>
      </c>
      <c r="U60" t="s">
        <v>751</v>
      </c>
      <c r="V60">
        <v>61</v>
      </c>
      <c r="W60">
        <v>0</v>
      </c>
      <c r="X60" t="s">
        <v>561</v>
      </c>
      <c r="Y60" t="s">
        <v>752</v>
      </c>
    </row>
    <row r="61" spans="1:25" x14ac:dyDescent="0.25">
      <c r="A61" t="s">
        <v>132</v>
      </c>
      <c r="B61" s="24" t="s">
        <v>533</v>
      </c>
      <c r="C61" s="24" t="s">
        <v>355</v>
      </c>
      <c r="D61" s="24" t="s">
        <v>356</v>
      </c>
      <c r="E61" s="24" t="s">
        <v>190</v>
      </c>
      <c r="F61" s="24" t="s">
        <v>446</v>
      </c>
      <c r="G61" s="24" t="s">
        <v>447</v>
      </c>
      <c r="H61">
        <v>18</v>
      </c>
      <c r="I61" t="s">
        <v>359</v>
      </c>
      <c r="J61" s="50">
        <v>5121.1400000000003</v>
      </c>
      <c r="K61">
        <v>92181</v>
      </c>
      <c r="L61" t="s">
        <v>561</v>
      </c>
      <c r="M61">
        <v>55</v>
      </c>
      <c r="N61" t="s">
        <v>755</v>
      </c>
      <c r="O61" t="s">
        <v>561</v>
      </c>
      <c r="P61" t="s">
        <v>584</v>
      </c>
      <c r="Q61" t="s">
        <v>756</v>
      </c>
      <c r="R61" t="s">
        <v>757</v>
      </c>
      <c r="S61" s="50">
        <v>21</v>
      </c>
      <c r="T61">
        <v>5121.1400000000003</v>
      </c>
      <c r="U61" t="s">
        <v>751</v>
      </c>
      <c r="V61">
        <v>61</v>
      </c>
      <c r="W61">
        <v>0</v>
      </c>
      <c r="X61" t="s">
        <v>561</v>
      </c>
      <c r="Y61" t="s">
        <v>755</v>
      </c>
    </row>
    <row r="62" spans="1:25" x14ac:dyDescent="0.25">
      <c r="A62">
        <v>7</v>
      </c>
      <c r="B62" s="24" t="s">
        <v>534</v>
      </c>
      <c r="C62" s="24" t="s">
        <v>355</v>
      </c>
      <c r="D62" s="24" t="s">
        <v>356</v>
      </c>
      <c r="E62" s="24" t="s">
        <v>191</v>
      </c>
      <c r="F62" s="24" t="s">
        <v>448</v>
      </c>
      <c r="G62" s="24" t="s">
        <v>419</v>
      </c>
      <c r="H62">
        <v>9</v>
      </c>
      <c r="I62" t="s">
        <v>359</v>
      </c>
      <c r="J62" s="50">
        <v>5280.15</v>
      </c>
      <c r="K62">
        <v>47521</v>
      </c>
      <c r="L62" t="s">
        <v>562</v>
      </c>
      <c r="M62">
        <v>56</v>
      </c>
      <c r="N62" t="s">
        <v>758</v>
      </c>
      <c r="O62" t="s">
        <v>561</v>
      </c>
      <c r="P62" t="s">
        <v>584</v>
      </c>
      <c r="Q62" t="s">
        <v>759</v>
      </c>
      <c r="R62" t="s">
        <v>760</v>
      </c>
      <c r="S62" s="50">
        <v>14</v>
      </c>
      <c r="T62">
        <v>5121.1400000000003</v>
      </c>
      <c r="U62" t="s">
        <v>751</v>
      </c>
      <c r="V62">
        <v>61</v>
      </c>
      <c r="W62">
        <v>0</v>
      </c>
      <c r="X62" t="s">
        <v>561</v>
      </c>
      <c r="Y62" t="s">
        <v>758</v>
      </c>
    </row>
    <row r="63" spans="1:25" x14ac:dyDescent="0.25">
      <c r="A63">
        <v>8</v>
      </c>
      <c r="B63" s="24" t="s">
        <v>535</v>
      </c>
      <c r="C63" s="24" t="s">
        <v>355</v>
      </c>
      <c r="D63" s="24" t="s">
        <v>356</v>
      </c>
      <c r="E63" s="24" t="s">
        <v>192</v>
      </c>
      <c r="F63" s="24" t="s">
        <v>449</v>
      </c>
      <c r="G63" s="24" t="s">
        <v>419</v>
      </c>
      <c r="H63">
        <v>9</v>
      </c>
      <c r="I63" t="s">
        <v>359</v>
      </c>
      <c r="J63" s="50">
        <v>6165.23</v>
      </c>
      <c r="K63">
        <v>55487</v>
      </c>
      <c r="L63" t="s">
        <v>563</v>
      </c>
      <c r="M63">
        <v>57</v>
      </c>
      <c r="N63" t="s">
        <v>761</v>
      </c>
      <c r="O63" t="s">
        <v>561</v>
      </c>
      <c r="P63" t="s">
        <v>584</v>
      </c>
      <c r="Q63" t="s">
        <v>762</v>
      </c>
      <c r="R63" t="s">
        <v>763</v>
      </c>
      <c r="S63" s="50">
        <v>21</v>
      </c>
      <c r="T63">
        <v>5121.1400000000003</v>
      </c>
      <c r="U63" t="s">
        <v>751</v>
      </c>
      <c r="V63">
        <v>61</v>
      </c>
      <c r="W63">
        <v>0</v>
      </c>
      <c r="X63" t="s">
        <v>561</v>
      </c>
      <c r="Y63" t="s">
        <v>761</v>
      </c>
    </row>
    <row r="64" spans="1:25" x14ac:dyDescent="0.25">
      <c r="A64">
        <v>9</v>
      </c>
      <c r="B64" s="24" t="s">
        <v>536</v>
      </c>
      <c r="C64" s="24" t="s">
        <v>355</v>
      </c>
      <c r="D64" s="24" t="s">
        <v>356</v>
      </c>
      <c r="E64" s="24" t="s">
        <v>193</v>
      </c>
      <c r="F64" s="24" t="s">
        <v>450</v>
      </c>
      <c r="G64" s="24" t="s">
        <v>402</v>
      </c>
      <c r="H64">
        <v>48</v>
      </c>
      <c r="I64" t="s">
        <v>359</v>
      </c>
      <c r="J64" s="50">
        <v>707.75</v>
      </c>
      <c r="K64">
        <v>33972</v>
      </c>
      <c r="L64" t="s">
        <v>564</v>
      </c>
      <c r="M64">
        <v>58</v>
      </c>
      <c r="N64" t="s">
        <v>764</v>
      </c>
      <c r="O64" t="s">
        <v>561</v>
      </c>
      <c r="P64" t="s">
        <v>584</v>
      </c>
      <c r="Q64" t="s">
        <v>765</v>
      </c>
      <c r="R64" t="s">
        <v>766</v>
      </c>
      <c r="S64" s="50">
        <v>18</v>
      </c>
      <c r="T64">
        <v>5121.1400000000003</v>
      </c>
      <c r="U64" t="s">
        <v>751</v>
      </c>
      <c r="V64">
        <v>61</v>
      </c>
      <c r="W64">
        <v>0</v>
      </c>
      <c r="X64" t="s">
        <v>561</v>
      </c>
      <c r="Y64" t="s">
        <v>764</v>
      </c>
    </row>
    <row r="65" spans="1:25" x14ac:dyDescent="0.25">
      <c r="A65" t="s">
        <v>132</v>
      </c>
      <c r="B65" s="24" t="s">
        <v>536</v>
      </c>
      <c r="C65" s="24" t="s">
        <v>355</v>
      </c>
      <c r="D65" s="24" t="s">
        <v>356</v>
      </c>
      <c r="E65" s="24" t="s">
        <v>194</v>
      </c>
      <c r="F65" s="24" t="s">
        <v>451</v>
      </c>
      <c r="G65" s="24" t="s">
        <v>402</v>
      </c>
      <c r="H65">
        <v>48</v>
      </c>
      <c r="I65" t="s">
        <v>359</v>
      </c>
      <c r="J65" s="50">
        <v>707.75</v>
      </c>
      <c r="K65">
        <v>33972</v>
      </c>
      <c r="L65" t="s">
        <v>564</v>
      </c>
      <c r="M65">
        <v>59</v>
      </c>
      <c r="N65" t="s">
        <v>767</v>
      </c>
      <c r="O65" t="s">
        <v>562</v>
      </c>
      <c r="P65" t="s">
        <v>589</v>
      </c>
      <c r="Q65" t="s">
        <v>589</v>
      </c>
      <c r="R65" t="s">
        <v>589</v>
      </c>
      <c r="S65" s="50" t="s">
        <v>589</v>
      </c>
      <c r="T65" t="s">
        <v>589</v>
      </c>
      <c r="U65" t="s">
        <v>589</v>
      </c>
      <c r="V65" t="s">
        <v>589</v>
      </c>
      <c r="W65" t="s">
        <v>589</v>
      </c>
      <c r="X65" t="s">
        <v>589</v>
      </c>
      <c r="Y65" t="s">
        <v>589</v>
      </c>
    </row>
    <row r="66" spans="1:25" x14ac:dyDescent="0.25">
      <c r="A66" t="s">
        <v>132</v>
      </c>
      <c r="B66" s="24" t="s">
        <v>536</v>
      </c>
      <c r="C66" s="24" t="s">
        <v>355</v>
      </c>
      <c r="D66" s="24" t="s">
        <v>356</v>
      </c>
      <c r="E66" s="24" t="s">
        <v>195</v>
      </c>
      <c r="F66" s="24" t="s">
        <v>452</v>
      </c>
      <c r="G66" s="24" t="s">
        <v>381</v>
      </c>
      <c r="H66">
        <v>48</v>
      </c>
      <c r="I66" t="s">
        <v>359</v>
      </c>
      <c r="J66" s="50">
        <v>707.75</v>
      </c>
      <c r="K66">
        <v>33972</v>
      </c>
      <c r="L66" t="s">
        <v>564</v>
      </c>
      <c r="M66">
        <v>61</v>
      </c>
      <c r="N66" t="s">
        <v>768</v>
      </c>
      <c r="O66" t="s">
        <v>563</v>
      </c>
      <c r="P66" t="s">
        <v>589</v>
      </c>
      <c r="Q66" t="s">
        <v>589</v>
      </c>
      <c r="R66" t="s">
        <v>589</v>
      </c>
      <c r="S66" s="50" t="s">
        <v>589</v>
      </c>
      <c r="T66" t="s">
        <v>589</v>
      </c>
      <c r="U66" t="s">
        <v>589</v>
      </c>
      <c r="V66" t="s">
        <v>589</v>
      </c>
      <c r="W66" t="s">
        <v>589</v>
      </c>
      <c r="X66" t="s">
        <v>589</v>
      </c>
      <c r="Y66" t="s">
        <v>589</v>
      </c>
    </row>
    <row r="67" spans="1:25" x14ac:dyDescent="0.25">
      <c r="A67" t="s">
        <v>132</v>
      </c>
      <c r="B67" s="24" t="s">
        <v>536</v>
      </c>
      <c r="C67" s="24" t="s">
        <v>355</v>
      </c>
      <c r="D67" s="24" t="s">
        <v>356</v>
      </c>
      <c r="E67" s="24" t="s">
        <v>196</v>
      </c>
      <c r="F67" s="24" t="s">
        <v>453</v>
      </c>
      <c r="G67" s="24" t="s">
        <v>408</v>
      </c>
      <c r="H67">
        <v>48</v>
      </c>
      <c r="I67" t="s">
        <v>359</v>
      </c>
      <c r="J67" s="50">
        <v>707.75</v>
      </c>
      <c r="K67">
        <v>33972</v>
      </c>
      <c r="L67" t="s">
        <v>564</v>
      </c>
      <c r="M67">
        <v>63</v>
      </c>
      <c r="N67" t="s">
        <v>769</v>
      </c>
      <c r="O67" t="s">
        <v>564</v>
      </c>
      <c r="P67" t="s">
        <v>770</v>
      </c>
      <c r="Q67" t="s">
        <v>771</v>
      </c>
      <c r="R67" t="s">
        <v>772</v>
      </c>
      <c r="S67" s="50">
        <v>48</v>
      </c>
      <c r="T67">
        <v>707.75</v>
      </c>
      <c r="U67" t="s">
        <v>773</v>
      </c>
      <c r="V67" t="s">
        <v>774</v>
      </c>
      <c r="W67">
        <v>0</v>
      </c>
      <c r="X67" t="s">
        <v>564</v>
      </c>
      <c r="Y67" t="s">
        <v>769</v>
      </c>
    </row>
    <row r="68" spans="1:25" x14ac:dyDescent="0.25">
      <c r="A68" t="s">
        <v>132</v>
      </c>
      <c r="B68" s="24" t="s">
        <v>536</v>
      </c>
      <c r="C68" s="24" t="s">
        <v>355</v>
      </c>
      <c r="D68" s="24" t="s">
        <v>356</v>
      </c>
      <c r="E68" s="24" t="s">
        <v>197</v>
      </c>
      <c r="F68" s="24" t="s">
        <v>454</v>
      </c>
      <c r="G68" s="24" t="s">
        <v>384</v>
      </c>
      <c r="H68">
        <v>48</v>
      </c>
      <c r="I68" t="s">
        <v>359</v>
      </c>
      <c r="J68" s="50">
        <v>707.75</v>
      </c>
      <c r="K68">
        <v>33972</v>
      </c>
      <c r="L68" t="s">
        <v>564</v>
      </c>
      <c r="M68">
        <v>64</v>
      </c>
      <c r="N68" t="s">
        <v>775</v>
      </c>
      <c r="O68" t="s">
        <v>564</v>
      </c>
      <c r="P68" t="s">
        <v>770</v>
      </c>
      <c r="Q68" t="s">
        <v>776</v>
      </c>
      <c r="R68" t="s">
        <v>777</v>
      </c>
      <c r="S68" s="50">
        <v>48</v>
      </c>
      <c r="T68">
        <v>707.75</v>
      </c>
      <c r="U68" t="s">
        <v>773</v>
      </c>
      <c r="V68" t="s">
        <v>774</v>
      </c>
      <c r="W68">
        <v>0</v>
      </c>
      <c r="X68" t="s">
        <v>564</v>
      </c>
      <c r="Y68" t="s">
        <v>775</v>
      </c>
    </row>
    <row r="69" spans="1:25" x14ac:dyDescent="0.25">
      <c r="A69" t="s">
        <v>132</v>
      </c>
      <c r="B69" s="24" t="s">
        <v>536</v>
      </c>
      <c r="C69" s="24" t="s">
        <v>355</v>
      </c>
      <c r="D69" s="24" t="s">
        <v>356</v>
      </c>
      <c r="E69" s="24" t="s">
        <v>198</v>
      </c>
      <c r="F69" s="24" t="s">
        <v>455</v>
      </c>
      <c r="G69" s="24" t="s">
        <v>384</v>
      </c>
      <c r="H69">
        <v>48</v>
      </c>
      <c r="I69" t="s">
        <v>359</v>
      </c>
      <c r="J69" s="50">
        <v>707.75</v>
      </c>
      <c r="K69">
        <v>33972</v>
      </c>
      <c r="L69" t="s">
        <v>564</v>
      </c>
      <c r="M69">
        <v>65</v>
      </c>
      <c r="N69" t="s">
        <v>778</v>
      </c>
      <c r="O69" t="s">
        <v>564</v>
      </c>
      <c r="P69" t="s">
        <v>770</v>
      </c>
      <c r="Q69" t="s">
        <v>779</v>
      </c>
      <c r="R69" t="s">
        <v>780</v>
      </c>
      <c r="S69" s="50">
        <v>48</v>
      </c>
      <c r="T69">
        <v>707.75</v>
      </c>
      <c r="U69" t="s">
        <v>773</v>
      </c>
      <c r="V69" t="s">
        <v>774</v>
      </c>
      <c r="W69">
        <v>0</v>
      </c>
      <c r="X69" t="s">
        <v>564</v>
      </c>
      <c r="Y69" t="s">
        <v>778</v>
      </c>
    </row>
    <row r="70" spans="1:25" x14ac:dyDescent="0.25">
      <c r="A70" t="s">
        <v>132</v>
      </c>
      <c r="B70" s="24" t="s">
        <v>536</v>
      </c>
      <c r="C70" s="24" t="s">
        <v>355</v>
      </c>
      <c r="D70" s="24" t="s">
        <v>356</v>
      </c>
      <c r="E70" s="24" t="s">
        <v>199</v>
      </c>
      <c r="F70" s="24" t="s">
        <v>456</v>
      </c>
      <c r="G70" s="24" t="s">
        <v>447</v>
      </c>
      <c r="H70">
        <v>48</v>
      </c>
      <c r="I70" t="s">
        <v>359</v>
      </c>
      <c r="J70" s="50">
        <v>707.75</v>
      </c>
      <c r="K70">
        <v>33972</v>
      </c>
      <c r="L70" t="s">
        <v>564</v>
      </c>
      <c r="M70">
        <v>66</v>
      </c>
      <c r="N70" t="s">
        <v>781</v>
      </c>
      <c r="O70" t="s">
        <v>564</v>
      </c>
      <c r="P70" t="s">
        <v>770</v>
      </c>
      <c r="Q70" t="s">
        <v>782</v>
      </c>
      <c r="R70" t="s">
        <v>783</v>
      </c>
      <c r="S70" s="50">
        <v>48</v>
      </c>
      <c r="T70">
        <v>707.75</v>
      </c>
      <c r="U70" t="s">
        <v>773</v>
      </c>
      <c r="V70" t="s">
        <v>774</v>
      </c>
      <c r="W70">
        <v>0</v>
      </c>
      <c r="X70" t="s">
        <v>564</v>
      </c>
      <c r="Y70" t="s">
        <v>781</v>
      </c>
    </row>
    <row r="71" spans="1:25" x14ac:dyDescent="0.25">
      <c r="A71" t="s">
        <v>132</v>
      </c>
      <c r="B71" s="24" t="s">
        <v>536</v>
      </c>
      <c r="C71" s="24" t="s">
        <v>355</v>
      </c>
      <c r="D71" s="24" t="s">
        <v>356</v>
      </c>
      <c r="E71" s="24" t="s">
        <v>200</v>
      </c>
      <c r="F71" s="24" t="s">
        <v>457</v>
      </c>
      <c r="G71" s="24" t="s">
        <v>415</v>
      </c>
      <c r="H71">
        <v>48</v>
      </c>
      <c r="I71" t="s">
        <v>359</v>
      </c>
      <c r="J71" s="50">
        <v>707.75</v>
      </c>
      <c r="K71">
        <v>33972</v>
      </c>
      <c r="L71" t="s">
        <v>564</v>
      </c>
      <c r="M71">
        <v>67</v>
      </c>
      <c r="N71" t="s">
        <v>784</v>
      </c>
      <c r="O71" t="s">
        <v>564</v>
      </c>
      <c r="P71" t="s">
        <v>770</v>
      </c>
      <c r="Q71" t="s">
        <v>785</v>
      </c>
      <c r="R71" t="s">
        <v>786</v>
      </c>
      <c r="S71" s="50">
        <v>48</v>
      </c>
      <c r="T71">
        <v>707.75</v>
      </c>
      <c r="U71" t="s">
        <v>773</v>
      </c>
      <c r="V71" t="s">
        <v>774</v>
      </c>
      <c r="W71">
        <v>0</v>
      </c>
      <c r="X71" t="s">
        <v>564</v>
      </c>
      <c r="Y71" t="s">
        <v>784</v>
      </c>
    </row>
    <row r="72" spans="1:25" x14ac:dyDescent="0.25">
      <c r="A72" t="s">
        <v>132</v>
      </c>
      <c r="B72" s="24" t="s">
        <v>536</v>
      </c>
      <c r="C72" s="24" t="s">
        <v>355</v>
      </c>
      <c r="D72" s="24" t="s">
        <v>356</v>
      </c>
      <c r="E72" s="24" t="s">
        <v>201</v>
      </c>
      <c r="F72" s="24" t="s">
        <v>458</v>
      </c>
      <c r="G72" s="24" t="s">
        <v>419</v>
      </c>
      <c r="H72">
        <v>48</v>
      </c>
      <c r="I72" t="s">
        <v>359</v>
      </c>
      <c r="J72" s="50">
        <v>707.75</v>
      </c>
      <c r="K72">
        <v>33972</v>
      </c>
      <c r="L72" t="s">
        <v>564</v>
      </c>
      <c r="M72">
        <v>68</v>
      </c>
      <c r="N72" t="s">
        <v>787</v>
      </c>
      <c r="O72" t="s">
        <v>564</v>
      </c>
      <c r="P72" t="s">
        <v>770</v>
      </c>
      <c r="Q72" t="s">
        <v>788</v>
      </c>
      <c r="R72" t="s">
        <v>789</v>
      </c>
      <c r="S72" s="50">
        <v>48</v>
      </c>
      <c r="T72">
        <v>707.75</v>
      </c>
      <c r="U72" t="s">
        <v>773</v>
      </c>
      <c r="V72" t="s">
        <v>774</v>
      </c>
      <c r="W72">
        <v>0</v>
      </c>
      <c r="X72" t="s">
        <v>564</v>
      </c>
      <c r="Y72" t="s">
        <v>787</v>
      </c>
    </row>
    <row r="73" spans="1:25" x14ac:dyDescent="0.25">
      <c r="A73">
        <v>10</v>
      </c>
      <c r="B73" s="24" t="s">
        <v>537</v>
      </c>
      <c r="C73" s="24" t="s">
        <v>355</v>
      </c>
      <c r="D73" s="24" t="s">
        <v>356</v>
      </c>
      <c r="E73" s="24" t="s">
        <v>202</v>
      </c>
      <c r="F73" s="24" t="s">
        <v>459</v>
      </c>
      <c r="G73" s="24" t="s">
        <v>404</v>
      </c>
      <c r="H73">
        <v>48</v>
      </c>
      <c r="I73" t="s">
        <v>359</v>
      </c>
      <c r="J73" s="50">
        <v>707.75</v>
      </c>
      <c r="K73">
        <v>33972</v>
      </c>
      <c r="L73" t="s">
        <v>565</v>
      </c>
      <c r="M73">
        <v>69</v>
      </c>
      <c r="N73" t="s">
        <v>790</v>
      </c>
      <c r="O73" t="s">
        <v>564</v>
      </c>
      <c r="P73" t="s">
        <v>770</v>
      </c>
      <c r="Q73" t="s">
        <v>791</v>
      </c>
      <c r="R73" t="s">
        <v>792</v>
      </c>
      <c r="S73" s="50">
        <v>48</v>
      </c>
      <c r="T73">
        <v>707.75</v>
      </c>
      <c r="U73" t="s">
        <v>773</v>
      </c>
      <c r="V73" t="s">
        <v>774</v>
      </c>
      <c r="W73">
        <v>0</v>
      </c>
      <c r="X73" t="s">
        <v>564</v>
      </c>
      <c r="Y73" t="s">
        <v>790</v>
      </c>
    </row>
    <row r="74" spans="1:25" x14ac:dyDescent="0.25">
      <c r="A74" t="s">
        <v>132</v>
      </c>
      <c r="B74" s="24" t="s">
        <v>537</v>
      </c>
      <c r="C74" s="24" t="s">
        <v>355</v>
      </c>
      <c r="D74" s="24" t="s">
        <v>356</v>
      </c>
      <c r="E74" s="24" t="s">
        <v>203</v>
      </c>
      <c r="F74" s="24" t="s">
        <v>460</v>
      </c>
      <c r="G74" s="24" t="s">
        <v>358</v>
      </c>
      <c r="H74">
        <v>48</v>
      </c>
      <c r="I74" t="s">
        <v>359</v>
      </c>
      <c r="J74" s="50">
        <v>707.75</v>
      </c>
      <c r="K74">
        <v>33972</v>
      </c>
      <c r="L74" t="s">
        <v>565</v>
      </c>
      <c r="M74">
        <v>70</v>
      </c>
      <c r="N74" t="s">
        <v>793</v>
      </c>
      <c r="O74" t="s">
        <v>564</v>
      </c>
      <c r="P74" t="s">
        <v>589</v>
      </c>
      <c r="Q74" t="s">
        <v>589</v>
      </c>
      <c r="R74" t="s">
        <v>589</v>
      </c>
      <c r="S74" s="50" t="s">
        <v>589</v>
      </c>
      <c r="T74" t="s">
        <v>589</v>
      </c>
      <c r="U74" t="s">
        <v>589</v>
      </c>
      <c r="V74" t="s">
        <v>589</v>
      </c>
      <c r="W74" t="s">
        <v>589</v>
      </c>
      <c r="X74" t="s">
        <v>589</v>
      </c>
      <c r="Y74" t="s">
        <v>589</v>
      </c>
    </row>
    <row r="75" spans="1:25" x14ac:dyDescent="0.25">
      <c r="A75" t="s">
        <v>132</v>
      </c>
      <c r="B75" s="24" t="s">
        <v>537</v>
      </c>
      <c r="C75" s="24" t="s">
        <v>355</v>
      </c>
      <c r="D75" s="24" t="s">
        <v>356</v>
      </c>
      <c r="E75" s="24" t="s">
        <v>204</v>
      </c>
      <c r="F75" s="24" t="s">
        <v>461</v>
      </c>
      <c r="G75" s="24" t="s">
        <v>386</v>
      </c>
      <c r="H75">
        <v>48</v>
      </c>
      <c r="I75" t="s">
        <v>359</v>
      </c>
      <c r="J75" s="50">
        <v>707.75</v>
      </c>
      <c r="K75">
        <v>33972</v>
      </c>
      <c r="L75" t="s">
        <v>565</v>
      </c>
      <c r="M75">
        <v>71</v>
      </c>
      <c r="N75" t="s">
        <v>794</v>
      </c>
      <c r="O75" t="s">
        <v>564</v>
      </c>
      <c r="P75" t="s">
        <v>589</v>
      </c>
      <c r="Q75" t="s">
        <v>589</v>
      </c>
      <c r="R75" t="s">
        <v>589</v>
      </c>
      <c r="S75" s="50" t="s">
        <v>589</v>
      </c>
      <c r="T75" t="s">
        <v>589</v>
      </c>
      <c r="U75" t="s">
        <v>589</v>
      </c>
      <c r="V75" t="s">
        <v>589</v>
      </c>
      <c r="W75" t="s">
        <v>589</v>
      </c>
      <c r="X75" t="s">
        <v>589</v>
      </c>
      <c r="Y75" t="s">
        <v>589</v>
      </c>
    </row>
    <row r="76" spans="1:25" x14ac:dyDescent="0.25">
      <c r="A76" t="s">
        <v>132</v>
      </c>
      <c r="B76" s="24" t="s">
        <v>537</v>
      </c>
      <c r="C76" s="24" t="s">
        <v>355</v>
      </c>
      <c r="D76" s="24" t="s">
        <v>356</v>
      </c>
      <c r="E76" s="24" t="s">
        <v>205</v>
      </c>
      <c r="F76" s="24" t="s">
        <v>462</v>
      </c>
      <c r="G76" s="24" t="s">
        <v>415</v>
      </c>
      <c r="H76">
        <v>48</v>
      </c>
      <c r="I76" t="s">
        <v>359</v>
      </c>
      <c r="J76" s="50">
        <v>707.75</v>
      </c>
      <c r="K76">
        <v>33972</v>
      </c>
      <c r="L76" t="s">
        <v>565</v>
      </c>
      <c r="M76">
        <v>72</v>
      </c>
      <c r="N76" t="s">
        <v>795</v>
      </c>
      <c r="O76" t="s">
        <v>565</v>
      </c>
      <c r="P76" t="s">
        <v>770</v>
      </c>
      <c r="Q76" t="s">
        <v>796</v>
      </c>
      <c r="R76" t="s">
        <v>797</v>
      </c>
      <c r="S76" s="50">
        <v>48</v>
      </c>
      <c r="T76">
        <v>707.75</v>
      </c>
      <c r="U76" t="s">
        <v>798</v>
      </c>
      <c r="V76" t="s">
        <v>774</v>
      </c>
      <c r="W76">
        <v>0</v>
      </c>
      <c r="X76" t="s">
        <v>565</v>
      </c>
      <c r="Y76" t="s">
        <v>795</v>
      </c>
    </row>
    <row r="77" spans="1:25" x14ac:dyDescent="0.25">
      <c r="A77" t="s">
        <v>132</v>
      </c>
      <c r="B77" s="24" t="s">
        <v>537</v>
      </c>
      <c r="C77" s="24" t="s">
        <v>355</v>
      </c>
      <c r="D77" s="24" t="s">
        <v>356</v>
      </c>
      <c r="E77" s="24" t="s">
        <v>206</v>
      </c>
      <c r="F77" s="24" t="s">
        <v>463</v>
      </c>
      <c r="G77" s="24" t="s">
        <v>417</v>
      </c>
      <c r="H77">
        <v>48</v>
      </c>
      <c r="I77" t="s">
        <v>359</v>
      </c>
      <c r="J77" s="50">
        <v>707.75</v>
      </c>
      <c r="K77">
        <v>33972</v>
      </c>
      <c r="L77" t="s">
        <v>565</v>
      </c>
      <c r="M77">
        <v>73</v>
      </c>
      <c r="N77" t="s">
        <v>799</v>
      </c>
      <c r="O77" t="s">
        <v>565</v>
      </c>
      <c r="P77" t="s">
        <v>770</v>
      </c>
      <c r="Q77" t="s">
        <v>800</v>
      </c>
      <c r="R77" t="s">
        <v>801</v>
      </c>
      <c r="S77" s="50">
        <v>48</v>
      </c>
      <c r="T77">
        <v>707.75</v>
      </c>
      <c r="U77" t="s">
        <v>798</v>
      </c>
      <c r="V77" t="s">
        <v>774</v>
      </c>
      <c r="W77">
        <v>0</v>
      </c>
      <c r="X77" t="s">
        <v>565</v>
      </c>
      <c r="Y77" t="s">
        <v>799</v>
      </c>
    </row>
    <row r="78" spans="1:25" x14ac:dyDescent="0.25">
      <c r="A78" t="s">
        <v>132</v>
      </c>
      <c r="B78" s="24" t="s">
        <v>537</v>
      </c>
      <c r="C78" s="24" t="s">
        <v>355</v>
      </c>
      <c r="D78" s="24" t="s">
        <v>356</v>
      </c>
      <c r="E78" s="24" t="s">
        <v>207</v>
      </c>
      <c r="F78" s="24" t="s">
        <v>464</v>
      </c>
      <c r="G78" s="24" t="s">
        <v>422</v>
      </c>
      <c r="H78">
        <v>48</v>
      </c>
      <c r="I78" t="s">
        <v>359</v>
      </c>
      <c r="J78" s="50">
        <v>707.75</v>
      </c>
      <c r="K78">
        <v>33972</v>
      </c>
      <c r="L78" t="s">
        <v>565</v>
      </c>
      <c r="M78">
        <v>74</v>
      </c>
      <c r="N78" t="s">
        <v>802</v>
      </c>
      <c r="O78" t="s">
        <v>565</v>
      </c>
      <c r="P78" t="s">
        <v>770</v>
      </c>
      <c r="Q78" t="s">
        <v>803</v>
      </c>
      <c r="R78" t="s">
        <v>804</v>
      </c>
      <c r="S78" s="50">
        <v>48</v>
      </c>
      <c r="T78">
        <v>707.75</v>
      </c>
      <c r="U78" t="s">
        <v>798</v>
      </c>
      <c r="V78" t="s">
        <v>774</v>
      </c>
      <c r="W78">
        <v>0</v>
      </c>
      <c r="X78" t="s">
        <v>565</v>
      </c>
      <c r="Y78" t="s">
        <v>802</v>
      </c>
    </row>
    <row r="79" spans="1:25" x14ac:dyDescent="0.25">
      <c r="A79" t="s">
        <v>132</v>
      </c>
      <c r="B79" s="24" t="s">
        <v>537</v>
      </c>
      <c r="C79" s="24" t="s">
        <v>355</v>
      </c>
      <c r="D79" s="24" t="s">
        <v>356</v>
      </c>
      <c r="E79" s="24" t="s">
        <v>208</v>
      </c>
      <c r="F79" s="24" t="s">
        <v>465</v>
      </c>
      <c r="G79" s="24" t="s">
        <v>422</v>
      </c>
      <c r="H79">
        <v>48</v>
      </c>
      <c r="I79" t="s">
        <v>359</v>
      </c>
      <c r="J79" s="50">
        <v>707.75</v>
      </c>
      <c r="K79">
        <v>33972</v>
      </c>
      <c r="L79" t="s">
        <v>565</v>
      </c>
      <c r="M79">
        <v>75</v>
      </c>
      <c r="N79" t="s">
        <v>805</v>
      </c>
      <c r="O79" t="s">
        <v>565</v>
      </c>
      <c r="P79" t="s">
        <v>589</v>
      </c>
      <c r="Q79" t="s">
        <v>589</v>
      </c>
      <c r="R79" t="s">
        <v>589</v>
      </c>
      <c r="S79" s="50" t="s">
        <v>589</v>
      </c>
      <c r="T79" t="s">
        <v>589</v>
      </c>
      <c r="U79" t="s">
        <v>589</v>
      </c>
      <c r="V79" t="s">
        <v>589</v>
      </c>
      <c r="W79" t="s">
        <v>589</v>
      </c>
      <c r="X79" t="s">
        <v>589</v>
      </c>
      <c r="Y79" t="s">
        <v>589</v>
      </c>
    </row>
    <row r="80" spans="1:25" x14ac:dyDescent="0.25">
      <c r="A80" t="s">
        <v>132</v>
      </c>
      <c r="B80" s="24" t="s">
        <v>537</v>
      </c>
      <c r="C80" s="24" t="s">
        <v>355</v>
      </c>
      <c r="D80" s="24" t="s">
        <v>356</v>
      </c>
      <c r="E80" s="24" t="s">
        <v>209</v>
      </c>
      <c r="F80" s="24" t="s">
        <v>466</v>
      </c>
      <c r="G80" s="24" t="s">
        <v>422</v>
      </c>
      <c r="H80">
        <v>48</v>
      </c>
      <c r="I80" t="s">
        <v>359</v>
      </c>
      <c r="J80" s="50">
        <v>707.75</v>
      </c>
      <c r="K80">
        <v>33972</v>
      </c>
      <c r="L80" t="s">
        <v>565</v>
      </c>
      <c r="M80">
        <v>76</v>
      </c>
      <c r="N80" t="s">
        <v>806</v>
      </c>
      <c r="O80" t="s">
        <v>565</v>
      </c>
      <c r="P80" t="s">
        <v>589</v>
      </c>
      <c r="Q80" t="s">
        <v>589</v>
      </c>
      <c r="R80" t="s">
        <v>589</v>
      </c>
      <c r="S80" s="50" t="s">
        <v>589</v>
      </c>
      <c r="T80" t="s">
        <v>589</v>
      </c>
      <c r="U80" t="s">
        <v>589</v>
      </c>
      <c r="V80" t="s">
        <v>589</v>
      </c>
      <c r="W80" t="s">
        <v>589</v>
      </c>
      <c r="X80" t="s">
        <v>589</v>
      </c>
      <c r="Y80" t="s">
        <v>589</v>
      </c>
    </row>
    <row r="81" spans="1:25" x14ac:dyDescent="0.25">
      <c r="A81">
        <v>11</v>
      </c>
      <c r="B81" s="24" t="s">
        <v>538</v>
      </c>
      <c r="C81" s="24" t="s">
        <v>355</v>
      </c>
      <c r="D81" s="24" t="s">
        <v>356</v>
      </c>
      <c r="E81" s="24" t="s">
        <v>210</v>
      </c>
      <c r="F81" s="24" t="s">
        <v>467</v>
      </c>
      <c r="G81" s="24" t="s">
        <v>404</v>
      </c>
      <c r="H81">
        <v>40</v>
      </c>
      <c r="I81" t="s">
        <v>359</v>
      </c>
      <c r="J81" s="50">
        <v>138.04</v>
      </c>
      <c r="K81">
        <v>5522</v>
      </c>
      <c r="L81" t="s">
        <v>566</v>
      </c>
      <c r="M81">
        <v>77</v>
      </c>
      <c r="N81" t="s">
        <v>807</v>
      </c>
      <c r="O81" t="s">
        <v>565</v>
      </c>
      <c r="P81" t="s">
        <v>589</v>
      </c>
      <c r="Q81" t="s">
        <v>589</v>
      </c>
      <c r="R81" t="s">
        <v>589</v>
      </c>
      <c r="S81" s="50" t="s">
        <v>589</v>
      </c>
      <c r="T81" t="s">
        <v>589</v>
      </c>
      <c r="U81" t="s">
        <v>589</v>
      </c>
      <c r="V81" t="s">
        <v>589</v>
      </c>
      <c r="W81" t="s">
        <v>589</v>
      </c>
      <c r="X81" t="s">
        <v>589</v>
      </c>
      <c r="Y81" t="s">
        <v>589</v>
      </c>
    </row>
    <row r="82" spans="1:25" x14ac:dyDescent="0.25">
      <c r="A82" t="s">
        <v>132</v>
      </c>
      <c r="B82" s="24" t="s">
        <v>538</v>
      </c>
      <c r="C82" s="24" t="s">
        <v>355</v>
      </c>
      <c r="D82" s="24" t="s">
        <v>356</v>
      </c>
      <c r="E82" s="24" t="s">
        <v>211</v>
      </c>
      <c r="F82" s="24" t="s">
        <v>468</v>
      </c>
      <c r="G82" s="24" t="s">
        <v>358</v>
      </c>
      <c r="H82">
        <v>40</v>
      </c>
      <c r="I82" t="s">
        <v>359</v>
      </c>
      <c r="J82" s="50">
        <v>138.04</v>
      </c>
      <c r="K82">
        <v>5522</v>
      </c>
      <c r="L82" t="s">
        <v>566</v>
      </c>
      <c r="M82">
        <v>78</v>
      </c>
      <c r="N82" t="s">
        <v>808</v>
      </c>
      <c r="O82" t="s">
        <v>565</v>
      </c>
      <c r="P82" t="s">
        <v>589</v>
      </c>
      <c r="Q82" t="s">
        <v>589</v>
      </c>
      <c r="R82" t="s">
        <v>589</v>
      </c>
      <c r="S82" s="50" t="s">
        <v>589</v>
      </c>
      <c r="T82" t="s">
        <v>589</v>
      </c>
      <c r="U82" t="s">
        <v>589</v>
      </c>
      <c r="V82" t="s">
        <v>589</v>
      </c>
      <c r="W82" t="s">
        <v>589</v>
      </c>
      <c r="X82" t="s">
        <v>589</v>
      </c>
      <c r="Y82" t="s">
        <v>589</v>
      </c>
    </row>
    <row r="83" spans="1:25" x14ac:dyDescent="0.25">
      <c r="A83" t="s">
        <v>132</v>
      </c>
      <c r="B83" s="24" t="s">
        <v>538</v>
      </c>
      <c r="C83" s="24" t="s">
        <v>355</v>
      </c>
      <c r="D83" s="24" t="s">
        <v>356</v>
      </c>
      <c r="E83" s="24" t="s">
        <v>212</v>
      </c>
      <c r="F83" s="24" t="s">
        <v>469</v>
      </c>
      <c r="G83" s="24" t="s">
        <v>386</v>
      </c>
      <c r="H83">
        <v>40</v>
      </c>
      <c r="I83" t="s">
        <v>359</v>
      </c>
      <c r="J83" s="50">
        <v>138.04</v>
      </c>
      <c r="K83">
        <v>5522</v>
      </c>
      <c r="L83" t="s">
        <v>566</v>
      </c>
      <c r="M83">
        <v>79</v>
      </c>
      <c r="N83" t="s">
        <v>809</v>
      </c>
      <c r="O83" t="s">
        <v>565</v>
      </c>
      <c r="P83" t="s">
        <v>589</v>
      </c>
      <c r="Q83" t="s">
        <v>589</v>
      </c>
      <c r="R83" t="s">
        <v>589</v>
      </c>
      <c r="S83" s="50" t="s">
        <v>589</v>
      </c>
      <c r="T83" t="s">
        <v>589</v>
      </c>
      <c r="U83" t="s">
        <v>589</v>
      </c>
      <c r="V83" t="s">
        <v>589</v>
      </c>
      <c r="W83" t="s">
        <v>589</v>
      </c>
      <c r="X83" t="s">
        <v>589</v>
      </c>
      <c r="Y83" t="s">
        <v>589</v>
      </c>
    </row>
    <row r="84" spans="1:25" x14ac:dyDescent="0.25">
      <c r="A84" t="s">
        <v>132</v>
      </c>
      <c r="B84" s="24" t="s">
        <v>538</v>
      </c>
      <c r="C84" s="24" t="s">
        <v>355</v>
      </c>
      <c r="D84" s="24" t="s">
        <v>356</v>
      </c>
      <c r="E84" s="24" t="s">
        <v>213</v>
      </c>
      <c r="F84" s="24" t="s">
        <v>470</v>
      </c>
      <c r="G84" s="24" t="s">
        <v>471</v>
      </c>
      <c r="H84">
        <v>40</v>
      </c>
      <c r="I84" t="s">
        <v>359</v>
      </c>
      <c r="J84" s="50">
        <v>138.04</v>
      </c>
      <c r="K84">
        <v>5522</v>
      </c>
      <c r="L84" t="s">
        <v>566</v>
      </c>
      <c r="M84">
        <v>80</v>
      </c>
      <c r="N84" t="s">
        <v>810</v>
      </c>
      <c r="O84" t="s">
        <v>566</v>
      </c>
      <c r="P84" t="s">
        <v>770</v>
      </c>
      <c r="Q84" t="s">
        <v>811</v>
      </c>
      <c r="R84" t="s">
        <v>812</v>
      </c>
      <c r="S84" s="50">
        <v>40</v>
      </c>
      <c r="T84">
        <v>138.04</v>
      </c>
      <c r="U84" t="s">
        <v>813</v>
      </c>
      <c r="V84">
        <v>8</v>
      </c>
      <c r="W84">
        <v>0</v>
      </c>
      <c r="X84" t="s">
        <v>566</v>
      </c>
      <c r="Y84" t="s">
        <v>810</v>
      </c>
    </row>
    <row r="85" spans="1:25" x14ac:dyDescent="0.25">
      <c r="A85" t="s">
        <v>132</v>
      </c>
      <c r="B85" s="24" t="s">
        <v>538</v>
      </c>
      <c r="C85" s="24" t="s">
        <v>355</v>
      </c>
      <c r="D85" s="24" t="s">
        <v>356</v>
      </c>
      <c r="E85" s="24" t="s">
        <v>214</v>
      </c>
      <c r="F85" s="24" t="s">
        <v>472</v>
      </c>
      <c r="G85" s="24" t="s">
        <v>415</v>
      </c>
      <c r="H85">
        <v>40</v>
      </c>
      <c r="I85" t="s">
        <v>359</v>
      </c>
      <c r="J85" s="50">
        <v>138.04</v>
      </c>
      <c r="K85">
        <v>5522</v>
      </c>
      <c r="L85" t="s">
        <v>566</v>
      </c>
      <c r="M85">
        <v>81</v>
      </c>
      <c r="N85" t="s">
        <v>814</v>
      </c>
      <c r="O85" t="s">
        <v>566</v>
      </c>
      <c r="P85" t="s">
        <v>770</v>
      </c>
      <c r="Q85" t="s">
        <v>815</v>
      </c>
      <c r="R85" t="s">
        <v>816</v>
      </c>
      <c r="S85" s="50">
        <v>40</v>
      </c>
      <c r="T85">
        <v>138.04</v>
      </c>
      <c r="U85" t="s">
        <v>813</v>
      </c>
      <c r="V85">
        <v>8</v>
      </c>
      <c r="W85">
        <v>0</v>
      </c>
      <c r="X85" t="s">
        <v>566</v>
      </c>
      <c r="Y85" t="s">
        <v>814</v>
      </c>
    </row>
    <row r="86" spans="1:25" x14ac:dyDescent="0.25">
      <c r="A86" t="s">
        <v>132</v>
      </c>
      <c r="B86" s="24" t="s">
        <v>538</v>
      </c>
      <c r="C86" s="24" t="s">
        <v>355</v>
      </c>
      <c r="D86" s="24" t="s">
        <v>356</v>
      </c>
      <c r="E86" s="24" t="s">
        <v>215</v>
      </c>
      <c r="F86" s="24" t="s">
        <v>473</v>
      </c>
      <c r="G86" s="24" t="s">
        <v>419</v>
      </c>
      <c r="H86">
        <v>40</v>
      </c>
      <c r="I86" t="s">
        <v>359</v>
      </c>
      <c r="J86" s="50">
        <v>138.04</v>
      </c>
      <c r="K86">
        <v>5522</v>
      </c>
      <c r="L86" t="s">
        <v>566</v>
      </c>
      <c r="M86">
        <v>82</v>
      </c>
      <c r="N86" t="s">
        <v>817</v>
      </c>
      <c r="O86" t="s">
        <v>566</v>
      </c>
      <c r="P86" t="s">
        <v>770</v>
      </c>
      <c r="Q86" t="s">
        <v>818</v>
      </c>
      <c r="R86" t="s">
        <v>819</v>
      </c>
      <c r="S86" s="50">
        <v>40</v>
      </c>
      <c r="T86">
        <v>138.04</v>
      </c>
      <c r="U86" t="s">
        <v>813</v>
      </c>
      <c r="V86">
        <v>8</v>
      </c>
      <c r="W86">
        <v>0</v>
      </c>
      <c r="X86" t="s">
        <v>566</v>
      </c>
      <c r="Y86" t="s">
        <v>817</v>
      </c>
    </row>
    <row r="87" spans="1:25" x14ac:dyDescent="0.25">
      <c r="A87" t="s">
        <v>132</v>
      </c>
      <c r="B87" s="24" t="s">
        <v>538</v>
      </c>
      <c r="C87" s="24" t="s">
        <v>355</v>
      </c>
      <c r="D87" s="24" t="s">
        <v>356</v>
      </c>
      <c r="E87" s="24" t="s">
        <v>216</v>
      </c>
      <c r="F87" s="24" t="s">
        <v>474</v>
      </c>
      <c r="G87" s="24" t="s">
        <v>419</v>
      </c>
      <c r="H87">
        <v>40</v>
      </c>
      <c r="I87" t="s">
        <v>359</v>
      </c>
      <c r="J87" s="50">
        <v>138.04</v>
      </c>
      <c r="K87">
        <v>5522</v>
      </c>
      <c r="L87" t="s">
        <v>566</v>
      </c>
      <c r="M87">
        <v>83</v>
      </c>
      <c r="N87" t="s">
        <v>820</v>
      </c>
      <c r="O87" t="s">
        <v>566</v>
      </c>
      <c r="P87" t="s">
        <v>589</v>
      </c>
      <c r="Q87" t="s">
        <v>589</v>
      </c>
      <c r="R87" t="s">
        <v>589</v>
      </c>
      <c r="S87" s="50" t="s">
        <v>589</v>
      </c>
      <c r="T87" t="s">
        <v>589</v>
      </c>
      <c r="U87" t="s">
        <v>589</v>
      </c>
      <c r="V87" t="s">
        <v>589</v>
      </c>
      <c r="W87" t="s">
        <v>589</v>
      </c>
      <c r="X87" t="s">
        <v>589</v>
      </c>
      <c r="Y87" t="s">
        <v>589</v>
      </c>
    </row>
    <row r="88" spans="1:25" x14ac:dyDescent="0.25">
      <c r="A88" t="s">
        <v>132</v>
      </c>
      <c r="B88" s="24" t="s">
        <v>538</v>
      </c>
      <c r="C88" s="24" t="s">
        <v>355</v>
      </c>
      <c r="D88" s="24" t="s">
        <v>356</v>
      </c>
      <c r="E88" s="24" t="s">
        <v>217</v>
      </c>
      <c r="F88" s="24" t="s">
        <v>475</v>
      </c>
      <c r="G88" s="24" t="s">
        <v>422</v>
      </c>
      <c r="H88">
        <v>40</v>
      </c>
      <c r="I88" t="s">
        <v>359</v>
      </c>
      <c r="J88" s="50">
        <v>138.04</v>
      </c>
      <c r="K88">
        <v>5522</v>
      </c>
      <c r="L88" t="s">
        <v>566</v>
      </c>
      <c r="M88">
        <v>84</v>
      </c>
      <c r="N88" t="s">
        <v>821</v>
      </c>
      <c r="O88" t="s">
        <v>566</v>
      </c>
      <c r="P88" t="s">
        <v>589</v>
      </c>
      <c r="Q88" t="s">
        <v>589</v>
      </c>
      <c r="R88" t="s">
        <v>589</v>
      </c>
      <c r="S88" s="50" t="s">
        <v>589</v>
      </c>
      <c r="T88" t="s">
        <v>589</v>
      </c>
      <c r="U88" t="s">
        <v>589</v>
      </c>
      <c r="V88" t="s">
        <v>589</v>
      </c>
      <c r="W88" t="s">
        <v>589</v>
      </c>
      <c r="X88" t="s">
        <v>589</v>
      </c>
      <c r="Y88" t="s">
        <v>589</v>
      </c>
    </row>
    <row r="89" spans="1:25" x14ac:dyDescent="0.25">
      <c r="A89" t="s">
        <v>132</v>
      </c>
      <c r="B89" s="24" t="s">
        <v>538</v>
      </c>
      <c r="C89" s="24" t="s">
        <v>355</v>
      </c>
      <c r="D89" s="24" t="s">
        <v>356</v>
      </c>
      <c r="E89" s="24" t="s">
        <v>218</v>
      </c>
      <c r="F89" s="24" t="s">
        <v>476</v>
      </c>
      <c r="G89" s="24" t="s">
        <v>422</v>
      </c>
      <c r="H89">
        <v>40</v>
      </c>
      <c r="I89" t="s">
        <v>359</v>
      </c>
      <c r="J89" s="50">
        <v>138.04</v>
      </c>
      <c r="K89">
        <v>5522</v>
      </c>
      <c r="L89" t="s">
        <v>566</v>
      </c>
      <c r="M89">
        <v>85</v>
      </c>
      <c r="N89" t="s">
        <v>822</v>
      </c>
      <c r="O89" t="s">
        <v>566</v>
      </c>
      <c r="P89" t="s">
        <v>589</v>
      </c>
      <c r="Q89" t="s">
        <v>589</v>
      </c>
      <c r="R89" t="s">
        <v>589</v>
      </c>
      <c r="S89" s="50" t="s">
        <v>589</v>
      </c>
      <c r="T89" t="s">
        <v>589</v>
      </c>
      <c r="U89" t="s">
        <v>589</v>
      </c>
      <c r="V89" t="s">
        <v>589</v>
      </c>
      <c r="W89" t="s">
        <v>589</v>
      </c>
      <c r="X89" t="s">
        <v>589</v>
      </c>
      <c r="Y89" t="s">
        <v>589</v>
      </c>
    </row>
    <row r="90" spans="1:25" x14ac:dyDescent="0.25">
      <c r="A90">
        <v>12</v>
      </c>
      <c r="B90" s="24" t="s">
        <v>539</v>
      </c>
      <c r="C90" s="24" t="s">
        <v>355</v>
      </c>
      <c r="D90" s="24" t="s">
        <v>356</v>
      </c>
      <c r="E90" s="24" t="s">
        <v>219</v>
      </c>
      <c r="F90" s="24" t="s">
        <v>477</v>
      </c>
      <c r="G90" s="24" t="s">
        <v>402</v>
      </c>
      <c r="H90">
        <v>40</v>
      </c>
      <c r="I90" t="s">
        <v>359</v>
      </c>
      <c r="J90" s="50">
        <v>114</v>
      </c>
      <c r="K90">
        <v>4560</v>
      </c>
      <c r="L90" t="s">
        <v>567</v>
      </c>
      <c r="M90">
        <v>86</v>
      </c>
      <c r="N90" t="s">
        <v>823</v>
      </c>
      <c r="O90" t="s">
        <v>566</v>
      </c>
      <c r="P90" t="s">
        <v>589</v>
      </c>
      <c r="Q90" t="s">
        <v>589</v>
      </c>
      <c r="R90" t="s">
        <v>589</v>
      </c>
      <c r="S90" s="50" t="s">
        <v>589</v>
      </c>
      <c r="T90" t="s">
        <v>589</v>
      </c>
      <c r="U90" t="s">
        <v>589</v>
      </c>
      <c r="V90" t="s">
        <v>589</v>
      </c>
      <c r="W90" t="s">
        <v>589</v>
      </c>
      <c r="X90" t="s">
        <v>589</v>
      </c>
      <c r="Y90" t="s">
        <v>589</v>
      </c>
    </row>
    <row r="91" spans="1:25" x14ac:dyDescent="0.25">
      <c r="A91" t="s">
        <v>132</v>
      </c>
      <c r="B91" s="24" t="s">
        <v>539</v>
      </c>
      <c r="C91" s="24" t="s">
        <v>355</v>
      </c>
      <c r="D91" s="24" t="s">
        <v>356</v>
      </c>
      <c r="E91" s="24" t="s">
        <v>220</v>
      </c>
      <c r="F91" s="24" t="s">
        <v>478</v>
      </c>
      <c r="G91" s="24" t="s">
        <v>404</v>
      </c>
      <c r="H91">
        <v>40</v>
      </c>
      <c r="I91" t="s">
        <v>359</v>
      </c>
      <c r="J91" s="50">
        <v>114</v>
      </c>
      <c r="K91">
        <v>4560</v>
      </c>
      <c r="L91" t="s">
        <v>567</v>
      </c>
      <c r="M91">
        <v>87</v>
      </c>
      <c r="N91" t="s">
        <v>824</v>
      </c>
      <c r="O91" t="s">
        <v>566</v>
      </c>
      <c r="P91" t="s">
        <v>589</v>
      </c>
      <c r="Q91" t="s">
        <v>589</v>
      </c>
      <c r="R91" t="s">
        <v>589</v>
      </c>
      <c r="S91" s="50" t="s">
        <v>589</v>
      </c>
      <c r="T91" t="s">
        <v>589</v>
      </c>
      <c r="U91" t="s">
        <v>589</v>
      </c>
      <c r="V91" t="s">
        <v>589</v>
      </c>
      <c r="W91" t="s">
        <v>589</v>
      </c>
      <c r="X91" t="s">
        <v>589</v>
      </c>
      <c r="Y91" t="s">
        <v>589</v>
      </c>
    </row>
    <row r="92" spans="1:25" x14ac:dyDescent="0.25">
      <c r="A92" t="s">
        <v>132</v>
      </c>
      <c r="B92" s="24" t="s">
        <v>539</v>
      </c>
      <c r="C92" s="24" t="s">
        <v>355</v>
      </c>
      <c r="D92" s="24" t="s">
        <v>356</v>
      </c>
      <c r="E92" s="24" t="s">
        <v>221</v>
      </c>
      <c r="F92" s="24" t="s">
        <v>479</v>
      </c>
      <c r="G92" s="24" t="s">
        <v>381</v>
      </c>
      <c r="H92">
        <v>40</v>
      </c>
      <c r="I92" t="s">
        <v>359</v>
      </c>
      <c r="J92" s="50">
        <v>114</v>
      </c>
      <c r="K92">
        <v>4560</v>
      </c>
      <c r="L92" t="s">
        <v>567</v>
      </c>
      <c r="M92">
        <v>88</v>
      </c>
      <c r="N92" t="s">
        <v>825</v>
      </c>
      <c r="O92" t="s">
        <v>566</v>
      </c>
      <c r="P92" t="s">
        <v>589</v>
      </c>
      <c r="Q92" t="s">
        <v>589</v>
      </c>
      <c r="R92" t="s">
        <v>589</v>
      </c>
      <c r="S92" s="50" t="s">
        <v>589</v>
      </c>
      <c r="T92" t="s">
        <v>589</v>
      </c>
      <c r="U92" t="s">
        <v>589</v>
      </c>
      <c r="V92" t="s">
        <v>589</v>
      </c>
      <c r="W92" t="s">
        <v>589</v>
      </c>
      <c r="X92" t="s">
        <v>589</v>
      </c>
      <c r="Y92" t="s">
        <v>589</v>
      </c>
    </row>
    <row r="93" spans="1:25" x14ac:dyDescent="0.25">
      <c r="A93" t="s">
        <v>132</v>
      </c>
      <c r="B93" s="24" t="s">
        <v>539</v>
      </c>
      <c r="C93" s="24" t="s">
        <v>355</v>
      </c>
      <c r="D93" s="24" t="s">
        <v>356</v>
      </c>
      <c r="E93" s="24" t="s">
        <v>222</v>
      </c>
      <c r="F93" s="24" t="s">
        <v>480</v>
      </c>
      <c r="G93" s="24" t="s">
        <v>408</v>
      </c>
      <c r="H93">
        <v>40</v>
      </c>
      <c r="I93" t="s">
        <v>359</v>
      </c>
      <c r="J93" s="50">
        <v>114</v>
      </c>
      <c r="K93">
        <v>4560</v>
      </c>
      <c r="L93" t="s">
        <v>567</v>
      </c>
      <c r="M93">
        <v>89</v>
      </c>
      <c r="N93" t="s">
        <v>826</v>
      </c>
      <c r="O93" t="s">
        <v>567</v>
      </c>
      <c r="P93" t="s">
        <v>770</v>
      </c>
      <c r="Q93" t="s">
        <v>827</v>
      </c>
      <c r="R93" t="s">
        <v>828</v>
      </c>
      <c r="S93" s="50">
        <v>40</v>
      </c>
      <c r="T93">
        <v>114</v>
      </c>
      <c r="U93" t="s">
        <v>829</v>
      </c>
      <c r="V93">
        <v>8</v>
      </c>
      <c r="W93">
        <v>0</v>
      </c>
      <c r="X93" t="s">
        <v>567</v>
      </c>
      <c r="Y93" t="s">
        <v>826</v>
      </c>
    </row>
    <row r="94" spans="1:25" x14ac:dyDescent="0.25">
      <c r="A94" t="s">
        <v>132</v>
      </c>
      <c r="B94" s="24" t="s">
        <v>539</v>
      </c>
      <c r="C94" s="24" t="s">
        <v>355</v>
      </c>
      <c r="D94" s="24" t="s">
        <v>356</v>
      </c>
      <c r="E94" s="24" t="s">
        <v>223</v>
      </c>
      <c r="F94" s="24" t="s">
        <v>481</v>
      </c>
      <c r="G94" s="24" t="s">
        <v>384</v>
      </c>
      <c r="H94">
        <v>40</v>
      </c>
      <c r="I94" t="s">
        <v>359</v>
      </c>
      <c r="J94" s="50">
        <v>114</v>
      </c>
      <c r="K94">
        <v>4560</v>
      </c>
      <c r="L94" t="s">
        <v>567</v>
      </c>
      <c r="M94">
        <v>90</v>
      </c>
      <c r="N94" t="s">
        <v>830</v>
      </c>
      <c r="O94" t="s">
        <v>567</v>
      </c>
      <c r="P94" t="s">
        <v>770</v>
      </c>
      <c r="Q94" t="s">
        <v>831</v>
      </c>
      <c r="R94" t="s">
        <v>832</v>
      </c>
      <c r="S94" s="50">
        <v>40</v>
      </c>
      <c r="T94">
        <v>114</v>
      </c>
      <c r="U94" t="s">
        <v>829</v>
      </c>
      <c r="V94">
        <v>8</v>
      </c>
      <c r="W94">
        <v>0</v>
      </c>
      <c r="X94" t="s">
        <v>567</v>
      </c>
      <c r="Y94" t="s">
        <v>830</v>
      </c>
    </row>
    <row r="95" spans="1:25" x14ac:dyDescent="0.25">
      <c r="A95" t="s">
        <v>132</v>
      </c>
      <c r="B95" s="24" t="s">
        <v>539</v>
      </c>
      <c r="C95" s="24" t="s">
        <v>355</v>
      </c>
      <c r="D95" s="24" t="s">
        <v>356</v>
      </c>
      <c r="E95" s="24" t="s">
        <v>224</v>
      </c>
      <c r="F95" s="24" t="s">
        <v>482</v>
      </c>
      <c r="G95" s="24" t="s">
        <v>411</v>
      </c>
      <c r="H95">
        <v>40</v>
      </c>
      <c r="I95" t="s">
        <v>359</v>
      </c>
      <c r="J95" s="50">
        <v>114</v>
      </c>
      <c r="K95">
        <v>4560</v>
      </c>
      <c r="L95" t="s">
        <v>567</v>
      </c>
      <c r="M95">
        <v>91</v>
      </c>
      <c r="N95" t="s">
        <v>833</v>
      </c>
      <c r="O95" t="s">
        <v>567</v>
      </c>
      <c r="P95" t="s">
        <v>770</v>
      </c>
      <c r="Q95" t="s">
        <v>834</v>
      </c>
      <c r="R95" t="s">
        <v>835</v>
      </c>
      <c r="S95" s="50">
        <v>40</v>
      </c>
      <c r="T95">
        <v>114</v>
      </c>
      <c r="U95" t="s">
        <v>829</v>
      </c>
      <c r="V95">
        <v>8</v>
      </c>
      <c r="W95">
        <v>0</v>
      </c>
      <c r="X95" t="s">
        <v>567</v>
      </c>
      <c r="Y95" t="s">
        <v>833</v>
      </c>
    </row>
    <row r="96" spans="1:25" x14ac:dyDescent="0.25">
      <c r="A96" t="s">
        <v>132</v>
      </c>
      <c r="B96" s="24" t="s">
        <v>539</v>
      </c>
      <c r="C96" s="24" t="s">
        <v>355</v>
      </c>
      <c r="D96" s="24" t="s">
        <v>356</v>
      </c>
      <c r="E96" s="24" t="s">
        <v>225</v>
      </c>
      <c r="F96" s="24" t="s">
        <v>483</v>
      </c>
      <c r="G96" s="24" t="s">
        <v>386</v>
      </c>
      <c r="H96">
        <v>40</v>
      </c>
      <c r="I96" t="s">
        <v>359</v>
      </c>
      <c r="J96" s="50">
        <v>114</v>
      </c>
      <c r="K96">
        <v>4560</v>
      </c>
      <c r="L96" t="s">
        <v>567</v>
      </c>
      <c r="M96">
        <v>92</v>
      </c>
      <c r="N96" t="s">
        <v>836</v>
      </c>
      <c r="O96" t="s">
        <v>567</v>
      </c>
      <c r="P96" t="s">
        <v>770</v>
      </c>
      <c r="Q96" t="s">
        <v>837</v>
      </c>
      <c r="R96" t="s">
        <v>838</v>
      </c>
      <c r="S96" s="50">
        <v>40</v>
      </c>
      <c r="T96">
        <v>114</v>
      </c>
      <c r="U96" t="s">
        <v>829</v>
      </c>
      <c r="V96">
        <v>8</v>
      </c>
      <c r="W96">
        <v>0</v>
      </c>
      <c r="X96" t="s">
        <v>567</v>
      </c>
      <c r="Y96" t="s">
        <v>836</v>
      </c>
    </row>
    <row r="97" spans="1:25" x14ac:dyDescent="0.25">
      <c r="A97" t="s">
        <v>132</v>
      </c>
      <c r="B97" s="24" t="s">
        <v>539</v>
      </c>
      <c r="C97" s="24" t="s">
        <v>355</v>
      </c>
      <c r="D97" s="24" t="s">
        <v>356</v>
      </c>
      <c r="E97" s="24" t="s">
        <v>226</v>
      </c>
      <c r="F97" s="24" t="s">
        <v>484</v>
      </c>
      <c r="G97" s="24" t="s">
        <v>432</v>
      </c>
      <c r="H97">
        <v>40</v>
      </c>
      <c r="I97" t="s">
        <v>359</v>
      </c>
      <c r="J97" s="50">
        <v>114</v>
      </c>
      <c r="K97">
        <v>4560</v>
      </c>
      <c r="L97" t="s">
        <v>567</v>
      </c>
      <c r="M97">
        <v>93</v>
      </c>
      <c r="N97" t="s">
        <v>839</v>
      </c>
      <c r="O97" t="s">
        <v>567</v>
      </c>
      <c r="P97" t="s">
        <v>770</v>
      </c>
      <c r="Q97" t="s">
        <v>840</v>
      </c>
      <c r="R97" t="s">
        <v>841</v>
      </c>
      <c r="S97" s="50">
        <v>40</v>
      </c>
      <c r="T97">
        <v>114</v>
      </c>
      <c r="U97" t="s">
        <v>829</v>
      </c>
      <c r="V97">
        <v>8</v>
      </c>
      <c r="W97">
        <v>0</v>
      </c>
      <c r="X97" t="s">
        <v>567</v>
      </c>
      <c r="Y97" t="s">
        <v>839</v>
      </c>
    </row>
    <row r="98" spans="1:25" x14ac:dyDescent="0.25">
      <c r="A98" t="s">
        <v>132</v>
      </c>
      <c r="B98" s="24" t="s">
        <v>539</v>
      </c>
      <c r="C98" s="24" t="s">
        <v>355</v>
      </c>
      <c r="D98" s="24" t="s">
        <v>356</v>
      </c>
      <c r="E98" s="24" t="s">
        <v>227</v>
      </c>
      <c r="F98" s="24" t="s">
        <v>485</v>
      </c>
      <c r="G98" s="24" t="s">
        <v>415</v>
      </c>
      <c r="H98">
        <v>40</v>
      </c>
      <c r="I98" t="s">
        <v>359</v>
      </c>
      <c r="J98" s="50">
        <v>114</v>
      </c>
      <c r="K98">
        <v>4560</v>
      </c>
      <c r="L98" t="s">
        <v>567</v>
      </c>
      <c r="M98">
        <v>94</v>
      </c>
      <c r="N98" t="s">
        <v>842</v>
      </c>
      <c r="O98" t="s">
        <v>567</v>
      </c>
      <c r="P98" t="s">
        <v>770</v>
      </c>
      <c r="Q98" t="s">
        <v>843</v>
      </c>
      <c r="R98" t="s">
        <v>844</v>
      </c>
      <c r="S98" s="50">
        <v>40</v>
      </c>
      <c r="T98">
        <v>114</v>
      </c>
      <c r="U98" t="s">
        <v>829</v>
      </c>
      <c r="V98">
        <v>8</v>
      </c>
      <c r="W98">
        <v>0</v>
      </c>
      <c r="X98" t="s">
        <v>567</v>
      </c>
      <c r="Y98" t="s">
        <v>842</v>
      </c>
    </row>
    <row r="99" spans="1:25" x14ac:dyDescent="0.25">
      <c r="A99" t="s">
        <v>132</v>
      </c>
      <c r="B99" s="24" t="s">
        <v>539</v>
      </c>
      <c r="C99" s="24" t="s">
        <v>355</v>
      </c>
      <c r="D99" s="24" t="s">
        <v>356</v>
      </c>
      <c r="E99" s="24" t="s">
        <v>228</v>
      </c>
      <c r="F99" s="24" t="s">
        <v>486</v>
      </c>
      <c r="G99" s="24" t="s">
        <v>419</v>
      </c>
      <c r="H99">
        <v>40</v>
      </c>
      <c r="I99" t="s">
        <v>359</v>
      </c>
      <c r="J99" s="50">
        <v>114</v>
      </c>
      <c r="K99">
        <v>4560</v>
      </c>
      <c r="L99" t="s">
        <v>567</v>
      </c>
      <c r="M99">
        <v>95</v>
      </c>
      <c r="N99" t="s">
        <v>845</v>
      </c>
      <c r="O99" t="s">
        <v>567</v>
      </c>
      <c r="P99" t="s">
        <v>770</v>
      </c>
      <c r="Q99" t="s">
        <v>846</v>
      </c>
      <c r="R99" t="s">
        <v>847</v>
      </c>
      <c r="S99" s="50">
        <v>40</v>
      </c>
      <c r="T99">
        <v>114</v>
      </c>
      <c r="U99" t="s">
        <v>829</v>
      </c>
      <c r="V99">
        <v>8</v>
      </c>
      <c r="W99">
        <v>0</v>
      </c>
      <c r="X99" t="s">
        <v>567</v>
      </c>
      <c r="Y99" t="s">
        <v>845</v>
      </c>
    </row>
    <row r="100" spans="1:25" x14ac:dyDescent="0.25">
      <c r="A100">
        <v>13</v>
      </c>
      <c r="B100" s="24" t="s">
        <v>540</v>
      </c>
      <c r="C100" s="24" t="s">
        <v>355</v>
      </c>
      <c r="D100" s="24" t="s">
        <v>356</v>
      </c>
      <c r="E100" s="24" t="s">
        <v>229</v>
      </c>
      <c r="F100" s="24" t="s">
        <v>487</v>
      </c>
      <c r="G100" s="24" t="s">
        <v>402</v>
      </c>
      <c r="H100">
        <v>40</v>
      </c>
      <c r="I100" t="s">
        <v>359</v>
      </c>
      <c r="J100" s="50">
        <v>237.5</v>
      </c>
      <c r="K100">
        <v>9500</v>
      </c>
      <c r="L100" t="s">
        <v>568</v>
      </c>
      <c r="M100">
        <v>96</v>
      </c>
      <c r="N100" t="s">
        <v>848</v>
      </c>
      <c r="O100" t="s">
        <v>567</v>
      </c>
      <c r="P100" t="s">
        <v>589</v>
      </c>
      <c r="Q100" t="s">
        <v>589</v>
      </c>
      <c r="R100" t="s">
        <v>589</v>
      </c>
      <c r="S100" s="50" t="s">
        <v>589</v>
      </c>
      <c r="T100" t="s">
        <v>589</v>
      </c>
      <c r="U100" t="s">
        <v>589</v>
      </c>
      <c r="V100" t="s">
        <v>589</v>
      </c>
      <c r="W100" t="s">
        <v>589</v>
      </c>
      <c r="X100" t="s">
        <v>589</v>
      </c>
      <c r="Y100" t="s">
        <v>589</v>
      </c>
    </row>
    <row r="101" spans="1:25" x14ac:dyDescent="0.25">
      <c r="A101" t="s">
        <v>132</v>
      </c>
      <c r="B101" s="24" t="s">
        <v>540</v>
      </c>
      <c r="C101" s="24" t="s">
        <v>355</v>
      </c>
      <c r="D101" s="24" t="s">
        <v>356</v>
      </c>
      <c r="E101" s="24" t="s">
        <v>230</v>
      </c>
      <c r="F101" s="24" t="s">
        <v>488</v>
      </c>
      <c r="G101" s="24" t="s">
        <v>402</v>
      </c>
      <c r="H101">
        <v>40</v>
      </c>
      <c r="I101" t="s">
        <v>359</v>
      </c>
      <c r="J101" s="50">
        <v>237.5</v>
      </c>
      <c r="K101">
        <v>9500</v>
      </c>
      <c r="L101" t="s">
        <v>568</v>
      </c>
      <c r="M101">
        <v>97</v>
      </c>
      <c r="N101" t="s">
        <v>849</v>
      </c>
      <c r="O101" t="s">
        <v>567</v>
      </c>
      <c r="P101" t="s">
        <v>589</v>
      </c>
      <c r="Q101" t="s">
        <v>589</v>
      </c>
      <c r="R101" t="s">
        <v>589</v>
      </c>
      <c r="S101" s="50" t="s">
        <v>589</v>
      </c>
      <c r="T101" t="s">
        <v>589</v>
      </c>
      <c r="U101" t="s">
        <v>589</v>
      </c>
      <c r="V101" t="s">
        <v>589</v>
      </c>
      <c r="W101" t="s">
        <v>589</v>
      </c>
      <c r="X101" t="s">
        <v>589</v>
      </c>
      <c r="Y101" t="s">
        <v>589</v>
      </c>
    </row>
    <row r="102" spans="1:25" x14ac:dyDescent="0.25">
      <c r="A102" t="s">
        <v>132</v>
      </c>
      <c r="B102" s="24" t="s">
        <v>540</v>
      </c>
      <c r="C102" s="24" t="s">
        <v>355</v>
      </c>
      <c r="D102" s="24" t="s">
        <v>356</v>
      </c>
      <c r="E102" s="24" t="s">
        <v>231</v>
      </c>
      <c r="F102" s="24" t="s">
        <v>489</v>
      </c>
      <c r="G102" s="24" t="s">
        <v>408</v>
      </c>
      <c r="H102">
        <v>40</v>
      </c>
      <c r="I102" t="s">
        <v>359</v>
      </c>
      <c r="J102" s="50">
        <v>237.5</v>
      </c>
      <c r="K102">
        <v>9500</v>
      </c>
      <c r="L102" t="s">
        <v>568</v>
      </c>
      <c r="M102">
        <v>98</v>
      </c>
      <c r="N102" t="s">
        <v>850</v>
      </c>
      <c r="O102" t="s">
        <v>567</v>
      </c>
      <c r="P102" t="s">
        <v>589</v>
      </c>
      <c r="Q102" t="s">
        <v>589</v>
      </c>
      <c r="R102" t="s">
        <v>589</v>
      </c>
      <c r="S102" s="50" t="s">
        <v>589</v>
      </c>
      <c r="T102" t="s">
        <v>589</v>
      </c>
      <c r="U102" t="s">
        <v>589</v>
      </c>
      <c r="V102" t="s">
        <v>589</v>
      </c>
      <c r="W102" t="s">
        <v>589</v>
      </c>
      <c r="X102" t="s">
        <v>589</v>
      </c>
      <c r="Y102" t="s">
        <v>589</v>
      </c>
    </row>
    <row r="103" spans="1:25" x14ac:dyDescent="0.25">
      <c r="A103" t="s">
        <v>132</v>
      </c>
      <c r="B103" s="24" t="s">
        <v>540</v>
      </c>
      <c r="C103" s="24" t="s">
        <v>355</v>
      </c>
      <c r="D103" s="24" t="s">
        <v>356</v>
      </c>
      <c r="E103" s="24" t="s">
        <v>232</v>
      </c>
      <c r="F103" s="24" t="s">
        <v>490</v>
      </c>
      <c r="G103" s="24" t="s">
        <v>408</v>
      </c>
      <c r="H103">
        <v>80</v>
      </c>
      <c r="I103" t="s">
        <v>359</v>
      </c>
      <c r="J103" s="50">
        <v>237.5</v>
      </c>
      <c r="K103">
        <v>19000</v>
      </c>
      <c r="L103" t="s">
        <v>568</v>
      </c>
      <c r="M103">
        <v>99</v>
      </c>
      <c r="N103" t="s">
        <v>851</v>
      </c>
      <c r="O103" t="s">
        <v>568</v>
      </c>
      <c r="P103" t="s">
        <v>770</v>
      </c>
      <c r="Q103" t="s">
        <v>852</v>
      </c>
      <c r="R103" t="s">
        <v>853</v>
      </c>
      <c r="S103" s="50">
        <v>40</v>
      </c>
      <c r="T103">
        <v>237.5</v>
      </c>
      <c r="U103" t="s">
        <v>854</v>
      </c>
      <c r="V103">
        <v>18</v>
      </c>
      <c r="W103">
        <v>0</v>
      </c>
      <c r="X103" t="s">
        <v>568</v>
      </c>
      <c r="Y103" t="s">
        <v>851</v>
      </c>
    </row>
    <row r="104" spans="1:25" x14ac:dyDescent="0.25">
      <c r="A104" t="s">
        <v>132</v>
      </c>
      <c r="B104" s="24" t="s">
        <v>540</v>
      </c>
      <c r="C104" s="24" t="s">
        <v>355</v>
      </c>
      <c r="D104" s="24" t="s">
        <v>356</v>
      </c>
      <c r="E104" s="24" t="s">
        <v>233</v>
      </c>
      <c r="F104" s="24" t="s">
        <v>491</v>
      </c>
      <c r="G104" s="24" t="s">
        <v>413</v>
      </c>
      <c r="H104">
        <v>40</v>
      </c>
      <c r="I104" t="s">
        <v>359</v>
      </c>
      <c r="J104" s="50">
        <v>237.5</v>
      </c>
      <c r="K104">
        <v>9500</v>
      </c>
      <c r="L104" t="s">
        <v>568</v>
      </c>
      <c r="M104">
        <v>100</v>
      </c>
      <c r="N104" t="s">
        <v>855</v>
      </c>
      <c r="O104" t="s">
        <v>568</v>
      </c>
      <c r="P104" t="s">
        <v>770</v>
      </c>
      <c r="Q104" t="s">
        <v>856</v>
      </c>
      <c r="R104" t="s">
        <v>857</v>
      </c>
      <c r="S104" s="50">
        <v>40</v>
      </c>
      <c r="T104">
        <v>237.5</v>
      </c>
      <c r="U104" t="s">
        <v>854</v>
      </c>
      <c r="V104">
        <v>18</v>
      </c>
      <c r="W104">
        <v>0</v>
      </c>
      <c r="X104" t="s">
        <v>568</v>
      </c>
      <c r="Y104" t="s">
        <v>855</v>
      </c>
    </row>
    <row r="105" spans="1:25" x14ac:dyDescent="0.25">
      <c r="A105" t="s">
        <v>132</v>
      </c>
      <c r="B105" s="24" t="s">
        <v>540</v>
      </c>
      <c r="C105" s="24" t="s">
        <v>355</v>
      </c>
      <c r="D105" s="24" t="s">
        <v>356</v>
      </c>
      <c r="E105" s="24" t="s">
        <v>234</v>
      </c>
      <c r="F105" s="24" t="s">
        <v>492</v>
      </c>
      <c r="G105" s="24" t="s">
        <v>447</v>
      </c>
      <c r="H105">
        <v>40</v>
      </c>
      <c r="I105" t="s">
        <v>359</v>
      </c>
      <c r="J105" s="50">
        <v>237.5</v>
      </c>
      <c r="K105">
        <v>9500</v>
      </c>
      <c r="L105" t="s">
        <v>568</v>
      </c>
      <c r="M105">
        <v>101</v>
      </c>
      <c r="N105" t="s">
        <v>858</v>
      </c>
      <c r="O105" t="s">
        <v>568</v>
      </c>
      <c r="P105" t="s">
        <v>770</v>
      </c>
      <c r="Q105" t="s">
        <v>859</v>
      </c>
      <c r="R105" t="s">
        <v>860</v>
      </c>
      <c r="S105" s="50">
        <v>40</v>
      </c>
      <c r="T105">
        <v>237.5</v>
      </c>
      <c r="U105" t="s">
        <v>854</v>
      </c>
      <c r="V105">
        <v>19</v>
      </c>
      <c r="W105">
        <v>0</v>
      </c>
      <c r="X105" t="s">
        <v>568</v>
      </c>
      <c r="Y105" t="s">
        <v>858</v>
      </c>
    </row>
    <row r="106" spans="1:25" x14ac:dyDescent="0.25">
      <c r="A106" t="s">
        <v>132</v>
      </c>
      <c r="B106" s="24" t="s">
        <v>540</v>
      </c>
      <c r="C106" s="24" t="s">
        <v>355</v>
      </c>
      <c r="D106" s="24" t="s">
        <v>356</v>
      </c>
      <c r="E106" s="24" t="s">
        <v>235</v>
      </c>
      <c r="F106" s="24" t="s">
        <v>493</v>
      </c>
      <c r="G106" s="24" t="s">
        <v>415</v>
      </c>
      <c r="H106">
        <v>40</v>
      </c>
      <c r="I106" t="s">
        <v>359</v>
      </c>
      <c r="J106" s="50">
        <v>237.5</v>
      </c>
      <c r="K106">
        <v>9500</v>
      </c>
      <c r="L106" t="s">
        <v>568</v>
      </c>
      <c r="M106">
        <v>102</v>
      </c>
      <c r="N106" t="s">
        <v>861</v>
      </c>
      <c r="O106" t="s">
        <v>568</v>
      </c>
      <c r="P106" t="s">
        <v>770</v>
      </c>
      <c r="Q106" t="s">
        <v>862</v>
      </c>
      <c r="R106" t="s">
        <v>863</v>
      </c>
      <c r="S106" s="50">
        <v>80</v>
      </c>
      <c r="T106">
        <v>237.5</v>
      </c>
      <c r="U106" t="s">
        <v>854</v>
      </c>
      <c r="V106">
        <v>19</v>
      </c>
      <c r="W106">
        <v>0</v>
      </c>
      <c r="X106" t="s">
        <v>568</v>
      </c>
      <c r="Y106" t="s">
        <v>861</v>
      </c>
    </row>
    <row r="107" spans="1:25" x14ac:dyDescent="0.25">
      <c r="A107" t="s">
        <v>132</v>
      </c>
      <c r="B107" s="24" t="s">
        <v>540</v>
      </c>
      <c r="C107" s="24" t="s">
        <v>355</v>
      </c>
      <c r="D107" s="24" t="s">
        <v>356</v>
      </c>
      <c r="E107" s="24" t="s">
        <v>236</v>
      </c>
      <c r="F107" s="24" t="s">
        <v>494</v>
      </c>
      <c r="G107" s="24" t="s">
        <v>417</v>
      </c>
      <c r="H107">
        <v>40</v>
      </c>
      <c r="I107" t="s">
        <v>359</v>
      </c>
      <c r="J107" s="50">
        <v>237.5</v>
      </c>
      <c r="K107">
        <v>9500</v>
      </c>
      <c r="L107" t="s">
        <v>568</v>
      </c>
      <c r="M107">
        <v>103</v>
      </c>
      <c r="N107" t="s">
        <v>864</v>
      </c>
      <c r="O107" t="s">
        <v>568</v>
      </c>
      <c r="P107" t="s">
        <v>770</v>
      </c>
      <c r="Q107" t="s">
        <v>865</v>
      </c>
      <c r="R107" t="s">
        <v>866</v>
      </c>
      <c r="S107" s="50">
        <v>40</v>
      </c>
      <c r="T107">
        <v>237.5</v>
      </c>
      <c r="U107" t="s">
        <v>854</v>
      </c>
      <c r="V107">
        <v>19</v>
      </c>
      <c r="W107">
        <v>0</v>
      </c>
      <c r="X107" t="s">
        <v>568</v>
      </c>
      <c r="Y107" t="s">
        <v>864</v>
      </c>
    </row>
    <row r="108" spans="1:25" x14ac:dyDescent="0.25">
      <c r="A108" t="s">
        <v>132</v>
      </c>
      <c r="B108" s="24" t="s">
        <v>540</v>
      </c>
      <c r="C108" s="24" t="s">
        <v>355</v>
      </c>
      <c r="D108" s="24" t="s">
        <v>356</v>
      </c>
      <c r="E108" s="24" t="s">
        <v>237</v>
      </c>
      <c r="F108" s="24" t="s">
        <v>495</v>
      </c>
      <c r="G108" s="24" t="s">
        <v>422</v>
      </c>
      <c r="H108">
        <v>40</v>
      </c>
      <c r="I108" t="s">
        <v>359</v>
      </c>
      <c r="J108" s="50">
        <v>237.5</v>
      </c>
      <c r="K108">
        <v>9500</v>
      </c>
      <c r="L108" t="s">
        <v>568</v>
      </c>
      <c r="M108">
        <v>104</v>
      </c>
      <c r="N108" t="s">
        <v>867</v>
      </c>
      <c r="O108" t="s">
        <v>568</v>
      </c>
      <c r="P108" t="s">
        <v>770</v>
      </c>
      <c r="Q108" t="s">
        <v>868</v>
      </c>
      <c r="R108" t="s">
        <v>869</v>
      </c>
      <c r="S108" s="50">
        <v>40</v>
      </c>
      <c r="T108">
        <v>237.5</v>
      </c>
      <c r="U108" t="s">
        <v>854</v>
      </c>
      <c r="V108">
        <v>19</v>
      </c>
      <c r="W108">
        <v>0</v>
      </c>
      <c r="X108" t="s">
        <v>568</v>
      </c>
      <c r="Y108" t="s">
        <v>867</v>
      </c>
    </row>
    <row r="109" spans="1:25" x14ac:dyDescent="0.25">
      <c r="A109">
        <v>14</v>
      </c>
      <c r="B109" s="24" t="s">
        <v>541</v>
      </c>
      <c r="C109" s="24" t="s">
        <v>355</v>
      </c>
      <c r="D109" s="24" t="s">
        <v>356</v>
      </c>
      <c r="E109" s="24" t="s">
        <v>238</v>
      </c>
      <c r="F109" s="24" t="s">
        <v>496</v>
      </c>
      <c r="G109" s="24" t="s">
        <v>402</v>
      </c>
      <c r="H109">
        <v>40</v>
      </c>
      <c r="I109" t="s">
        <v>359</v>
      </c>
      <c r="J109" s="50">
        <v>177.94</v>
      </c>
      <c r="K109">
        <v>7118</v>
      </c>
      <c r="L109" t="s">
        <v>569</v>
      </c>
      <c r="M109">
        <v>105</v>
      </c>
      <c r="N109" t="s">
        <v>870</v>
      </c>
      <c r="O109" t="s">
        <v>568</v>
      </c>
      <c r="P109" t="s">
        <v>589</v>
      </c>
      <c r="Q109" t="s">
        <v>589</v>
      </c>
      <c r="R109" t="s">
        <v>589</v>
      </c>
      <c r="S109" s="50" t="s">
        <v>589</v>
      </c>
      <c r="T109" t="s">
        <v>589</v>
      </c>
      <c r="U109" t="s">
        <v>589</v>
      </c>
      <c r="V109" t="s">
        <v>589</v>
      </c>
      <c r="W109" t="s">
        <v>589</v>
      </c>
      <c r="X109" t="s">
        <v>589</v>
      </c>
      <c r="Y109" t="s">
        <v>589</v>
      </c>
    </row>
    <row r="110" spans="1:25" x14ac:dyDescent="0.25">
      <c r="A110">
        <v>17</v>
      </c>
      <c r="B110" s="24" t="s">
        <v>542</v>
      </c>
      <c r="C110" s="24" t="s">
        <v>355</v>
      </c>
      <c r="D110" s="24" t="s">
        <v>356</v>
      </c>
      <c r="E110" s="24" t="s">
        <v>239</v>
      </c>
      <c r="F110" s="24" t="s">
        <v>497</v>
      </c>
      <c r="G110" s="24" t="s">
        <v>379</v>
      </c>
      <c r="H110">
        <v>3</v>
      </c>
      <c r="I110" t="s">
        <v>359</v>
      </c>
      <c r="J110" s="50">
        <v>3867.35</v>
      </c>
      <c r="K110">
        <v>11602</v>
      </c>
      <c r="L110" t="s">
        <v>570</v>
      </c>
      <c r="M110">
        <v>106</v>
      </c>
      <c r="N110" t="s">
        <v>871</v>
      </c>
      <c r="O110" t="s">
        <v>568</v>
      </c>
      <c r="P110" t="s">
        <v>589</v>
      </c>
      <c r="Q110" t="s">
        <v>589</v>
      </c>
      <c r="R110" t="s">
        <v>589</v>
      </c>
      <c r="S110" s="50" t="s">
        <v>589</v>
      </c>
      <c r="T110" t="s">
        <v>589</v>
      </c>
      <c r="U110" t="s">
        <v>589</v>
      </c>
      <c r="V110" t="s">
        <v>589</v>
      </c>
      <c r="W110" t="s">
        <v>589</v>
      </c>
      <c r="X110" t="s">
        <v>589</v>
      </c>
      <c r="Y110" t="s">
        <v>589</v>
      </c>
    </row>
    <row r="111" spans="1:25" x14ac:dyDescent="0.25">
      <c r="A111" t="s">
        <v>132</v>
      </c>
      <c r="B111" s="24" t="s">
        <v>542</v>
      </c>
      <c r="C111" s="24" t="s">
        <v>355</v>
      </c>
      <c r="D111" s="24" t="s">
        <v>356</v>
      </c>
      <c r="E111" s="24" t="s">
        <v>240</v>
      </c>
      <c r="F111" s="24" t="s">
        <v>498</v>
      </c>
      <c r="G111" s="24" t="s">
        <v>384</v>
      </c>
      <c r="H111">
        <v>6</v>
      </c>
      <c r="I111" t="s">
        <v>359</v>
      </c>
      <c r="J111" s="50">
        <v>3867.35</v>
      </c>
      <c r="K111">
        <v>23204</v>
      </c>
      <c r="L111" t="s">
        <v>570</v>
      </c>
      <c r="M111">
        <v>107</v>
      </c>
      <c r="N111" t="s">
        <v>872</v>
      </c>
      <c r="O111" t="s">
        <v>568</v>
      </c>
      <c r="P111" t="s">
        <v>589</v>
      </c>
      <c r="Q111" t="s">
        <v>589</v>
      </c>
      <c r="R111" t="s">
        <v>589</v>
      </c>
      <c r="S111" s="50" t="s">
        <v>589</v>
      </c>
      <c r="T111" t="s">
        <v>589</v>
      </c>
      <c r="U111" t="s">
        <v>589</v>
      </c>
      <c r="V111" t="s">
        <v>589</v>
      </c>
      <c r="W111" t="s">
        <v>589</v>
      </c>
      <c r="X111" t="s">
        <v>589</v>
      </c>
      <c r="Y111" t="s">
        <v>589</v>
      </c>
    </row>
    <row r="112" spans="1:25" x14ac:dyDescent="0.25">
      <c r="A112">
        <v>18</v>
      </c>
      <c r="B112" s="24" t="s">
        <v>543</v>
      </c>
      <c r="C112" s="24" t="s">
        <v>355</v>
      </c>
      <c r="D112" s="24" t="s">
        <v>356</v>
      </c>
      <c r="E112" s="24" t="s">
        <v>241</v>
      </c>
      <c r="F112" s="24" t="s">
        <v>499</v>
      </c>
      <c r="G112" s="24" t="s">
        <v>402</v>
      </c>
      <c r="H112">
        <v>12</v>
      </c>
      <c r="I112" t="s">
        <v>359</v>
      </c>
      <c r="J112" s="50">
        <v>4066.96</v>
      </c>
      <c r="K112">
        <v>48804</v>
      </c>
      <c r="L112" t="s">
        <v>571</v>
      </c>
      <c r="M112">
        <v>108</v>
      </c>
      <c r="N112" t="s">
        <v>873</v>
      </c>
      <c r="O112" t="s">
        <v>569</v>
      </c>
      <c r="P112" t="s">
        <v>874</v>
      </c>
      <c r="Q112" t="s">
        <v>875</v>
      </c>
      <c r="R112" t="s">
        <v>876</v>
      </c>
      <c r="S112" s="50">
        <v>40</v>
      </c>
      <c r="T112">
        <v>177.94</v>
      </c>
      <c r="U112" t="s">
        <v>877</v>
      </c>
      <c r="V112">
        <v>4</v>
      </c>
      <c r="W112">
        <v>1</v>
      </c>
      <c r="X112" t="s">
        <v>569</v>
      </c>
      <c r="Y112" t="s">
        <v>873</v>
      </c>
    </row>
    <row r="113" spans="1:25" x14ac:dyDescent="0.25">
      <c r="A113" t="s">
        <v>132</v>
      </c>
      <c r="B113" s="24" t="s">
        <v>543</v>
      </c>
      <c r="C113" s="24" t="s">
        <v>355</v>
      </c>
      <c r="D113" s="24" t="s">
        <v>356</v>
      </c>
      <c r="E113" s="24" t="s">
        <v>242</v>
      </c>
      <c r="F113" s="24" t="s">
        <v>500</v>
      </c>
      <c r="G113" s="24" t="s">
        <v>402</v>
      </c>
      <c r="H113">
        <v>15</v>
      </c>
      <c r="I113" t="s">
        <v>359</v>
      </c>
      <c r="J113" s="50">
        <v>4066.96</v>
      </c>
      <c r="K113">
        <v>61004</v>
      </c>
      <c r="L113" t="s">
        <v>571</v>
      </c>
      <c r="M113">
        <v>110</v>
      </c>
      <c r="N113" t="s">
        <v>878</v>
      </c>
      <c r="O113" t="s">
        <v>570</v>
      </c>
      <c r="P113" t="s">
        <v>584</v>
      </c>
      <c r="Q113" t="s">
        <v>879</v>
      </c>
      <c r="R113" t="s">
        <v>880</v>
      </c>
      <c r="S113" s="50">
        <v>3</v>
      </c>
      <c r="T113">
        <v>3867.35</v>
      </c>
      <c r="U113" t="s">
        <v>881</v>
      </c>
      <c r="V113">
        <v>22</v>
      </c>
      <c r="W113">
        <v>0</v>
      </c>
      <c r="X113" t="s">
        <v>570</v>
      </c>
      <c r="Y113" t="s">
        <v>878</v>
      </c>
    </row>
    <row r="114" spans="1:25" x14ac:dyDescent="0.25">
      <c r="A114" t="s">
        <v>132</v>
      </c>
      <c r="B114" s="24" t="s">
        <v>543</v>
      </c>
      <c r="C114" s="24" t="s">
        <v>355</v>
      </c>
      <c r="D114" s="24" t="s">
        <v>356</v>
      </c>
      <c r="E114" s="24" t="s">
        <v>243</v>
      </c>
      <c r="F114" s="24" t="s">
        <v>501</v>
      </c>
      <c r="G114" s="24" t="s">
        <v>404</v>
      </c>
      <c r="H114">
        <v>6</v>
      </c>
      <c r="I114" t="s">
        <v>359</v>
      </c>
      <c r="J114" s="50">
        <v>4066.96</v>
      </c>
      <c r="K114">
        <v>24402</v>
      </c>
      <c r="L114" t="s">
        <v>571</v>
      </c>
      <c r="M114">
        <v>111</v>
      </c>
      <c r="N114" t="s">
        <v>882</v>
      </c>
      <c r="O114" t="s">
        <v>570</v>
      </c>
      <c r="P114" t="s">
        <v>584</v>
      </c>
      <c r="Q114" t="s">
        <v>883</v>
      </c>
      <c r="R114" t="s">
        <v>884</v>
      </c>
      <c r="S114" s="50">
        <v>6</v>
      </c>
      <c r="T114">
        <v>3867.35</v>
      </c>
      <c r="U114" t="s">
        <v>881</v>
      </c>
      <c r="V114">
        <v>22</v>
      </c>
      <c r="W114">
        <v>0</v>
      </c>
      <c r="X114" t="s">
        <v>570</v>
      </c>
      <c r="Y114" t="s">
        <v>882</v>
      </c>
    </row>
    <row r="115" spans="1:25" x14ac:dyDescent="0.25">
      <c r="A115" t="s">
        <v>132</v>
      </c>
      <c r="B115" s="24" t="s">
        <v>543</v>
      </c>
      <c r="C115" s="24" t="s">
        <v>355</v>
      </c>
      <c r="D115" s="24" t="s">
        <v>356</v>
      </c>
      <c r="E115" s="24" t="s">
        <v>244</v>
      </c>
      <c r="F115" s="24" t="s">
        <v>502</v>
      </c>
      <c r="G115" s="24" t="s">
        <v>358</v>
      </c>
      <c r="H115">
        <v>3</v>
      </c>
      <c r="I115" t="s">
        <v>359</v>
      </c>
      <c r="J115" s="50">
        <v>4066.96</v>
      </c>
      <c r="K115">
        <v>12201</v>
      </c>
      <c r="L115" t="s">
        <v>571</v>
      </c>
      <c r="M115">
        <v>112</v>
      </c>
      <c r="N115" t="s">
        <v>885</v>
      </c>
      <c r="O115" t="s">
        <v>571</v>
      </c>
      <c r="P115" t="s">
        <v>584</v>
      </c>
      <c r="Q115" t="s">
        <v>886</v>
      </c>
      <c r="R115" t="s">
        <v>887</v>
      </c>
      <c r="S115" s="50">
        <v>12</v>
      </c>
      <c r="T115">
        <v>4066.96</v>
      </c>
      <c r="U115" t="s">
        <v>888</v>
      </c>
      <c r="V115">
        <v>22</v>
      </c>
      <c r="W115">
        <v>0</v>
      </c>
      <c r="X115" t="s">
        <v>571</v>
      </c>
      <c r="Y115" t="s">
        <v>885</v>
      </c>
    </row>
    <row r="116" spans="1:25" x14ac:dyDescent="0.25">
      <c r="A116" t="s">
        <v>132</v>
      </c>
      <c r="B116" s="24" t="s">
        <v>543</v>
      </c>
      <c r="C116" s="24" t="s">
        <v>355</v>
      </c>
      <c r="D116" s="24" t="s">
        <v>356</v>
      </c>
      <c r="E116" s="24" t="s">
        <v>245</v>
      </c>
      <c r="F116" s="24" t="s">
        <v>503</v>
      </c>
      <c r="G116" s="24" t="s">
        <v>408</v>
      </c>
      <c r="H116">
        <v>15</v>
      </c>
      <c r="I116" t="s">
        <v>359</v>
      </c>
      <c r="J116" s="50">
        <v>4066.96</v>
      </c>
      <c r="K116">
        <v>61004</v>
      </c>
      <c r="L116" t="s">
        <v>571</v>
      </c>
      <c r="M116">
        <v>113</v>
      </c>
      <c r="N116" t="s">
        <v>889</v>
      </c>
      <c r="O116" t="s">
        <v>571</v>
      </c>
      <c r="P116" t="s">
        <v>584</v>
      </c>
      <c r="Q116" t="s">
        <v>890</v>
      </c>
      <c r="R116" t="s">
        <v>891</v>
      </c>
      <c r="S116" s="50">
        <v>15</v>
      </c>
      <c r="T116">
        <v>4066.96</v>
      </c>
      <c r="U116" t="s">
        <v>888</v>
      </c>
      <c r="V116">
        <v>22</v>
      </c>
      <c r="W116">
        <v>0</v>
      </c>
      <c r="X116" t="s">
        <v>571</v>
      </c>
      <c r="Y116" t="s">
        <v>889</v>
      </c>
    </row>
    <row r="117" spans="1:25" x14ac:dyDescent="0.25">
      <c r="A117" t="s">
        <v>132</v>
      </c>
      <c r="B117" s="24" t="s">
        <v>543</v>
      </c>
      <c r="C117" s="24" t="s">
        <v>355</v>
      </c>
      <c r="D117" s="24" t="s">
        <v>356</v>
      </c>
      <c r="E117" s="24" t="s">
        <v>246</v>
      </c>
      <c r="F117" s="24" t="s">
        <v>504</v>
      </c>
      <c r="G117" s="24" t="s">
        <v>384</v>
      </c>
      <c r="H117">
        <v>3</v>
      </c>
      <c r="I117" t="s">
        <v>359</v>
      </c>
      <c r="J117" s="50">
        <v>4066.96</v>
      </c>
      <c r="K117">
        <v>12201</v>
      </c>
      <c r="L117" t="s">
        <v>571</v>
      </c>
      <c r="M117">
        <v>114</v>
      </c>
      <c r="N117" t="s">
        <v>892</v>
      </c>
      <c r="O117" t="s">
        <v>571</v>
      </c>
      <c r="P117" t="s">
        <v>584</v>
      </c>
      <c r="Q117" t="s">
        <v>893</v>
      </c>
      <c r="R117" t="s">
        <v>894</v>
      </c>
      <c r="S117" s="50">
        <v>6</v>
      </c>
      <c r="T117">
        <v>4066.96</v>
      </c>
      <c r="U117" t="s">
        <v>888</v>
      </c>
      <c r="V117">
        <v>22</v>
      </c>
      <c r="W117">
        <v>0</v>
      </c>
      <c r="X117" t="s">
        <v>571</v>
      </c>
      <c r="Y117" t="s">
        <v>892</v>
      </c>
    </row>
    <row r="118" spans="1:25" x14ac:dyDescent="0.25">
      <c r="A118">
        <v>19</v>
      </c>
      <c r="B118" s="24" t="s">
        <v>544</v>
      </c>
      <c r="C118" s="24" t="s">
        <v>355</v>
      </c>
      <c r="D118" s="24" t="s">
        <v>356</v>
      </c>
      <c r="E118" s="24" t="s">
        <v>247</v>
      </c>
      <c r="F118" s="24" t="s">
        <v>505</v>
      </c>
      <c r="G118" s="24" t="s">
        <v>404</v>
      </c>
      <c r="H118">
        <v>9</v>
      </c>
      <c r="I118" t="s">
        <v>359</v>
      </c>
      <c r="J118" s="50">
        <v>4238.24</v>
      </c>
      <c r="K118">
        <v>38144</v>
      </c>
      <c r="L118" t="s">
        <v>572</v>
      </c>
      <c r="M118">
        <v>115</v>
      </c>
      <c r="N118" t="s">
        <v>895</v>
      </c>
      <c r="O118" t="s">
        <v>571</v>
      </c>
      <c r="P118" t="s">
        <v>584</v>
      </c>
      <c r="Q118" t="s">
        <v>896</v>
      </c>
      <c r="R118" t="s">
        <v>897</v>
      </c>
      <c r="S118" s="50">
        <v>3</v>
      </c>
      <c r="T118">
        <v>4066.96</v>
      </c>
      <c r="U118" t="s">
        <v>888</v>
      </c>
      <c r="V118">
        <v>22</v>
      </c>
      <c r="W118">
        <v>0</v>
      </c>
      <c r="X118" t="s">
        <v>571</v>
      </c>
      <c r="Y118" t="s">
        <v>895</v>
      </c>
    </row>
    <row r="119" spans="1:25" x14ac:dyDescent="0.25">
      <c r="A119" t="s">
        <v>132</v>
      </c>
      <c r="B119" s="24" t="s">
        <v>544</v>
      </c>
      <c r="C119" s="24" t="s">
        <v>355</v>
      </c>
      <c r="D119" s="24" t="s">
        <v>356</v>
      </c>
      <c r="E119" s="24" t="s">
        <v>248</v>
      </c>
      <c r="F119" s="24" t="s">
        <v>506</v>
      </c>
      <c r="G119" s="24" t="s">
        <v>381</v>
      </c>
      <c r="H119">
        <v>3</v>
      </c>
      <c r="I119" t="s">
        <v>359</v>
      </c>
      <c r="J119" s="50">
        <v>4238.24</v>
      </c>
      <c r="K119">
        <v>12715</v>
      </c>
      <c r="L119" t="s">
        <v>572</v>
      </c>
      <c r="M119">
        <v>116</v>
      </c>
      <c r="N119" t="s">
        <v>898</v>
      </c>
      <c r="O119" t="s">
        <v>571</v>
      </c>
      <c r="P119" t="s">
        <v>584</v>
      </c>
      <c r="Q119" t="s">
        <v>899</v>
      </c>
      <c r="R119" t="s">
        <v>900</v>
      </c>
      <c r="S119" s="50">
        <v>15</v>
      </c>
      <c r="T119">
        <v>4066.96</v>
      </c>
      <c r="U119" t="s">
        <v>888</v>
      </c>
      <c r="V119">
        <v>22</v>
      </c>
      <c r="W119">
        <v>0</v>
      </c>
      <c r="X119" t="s">
        <v>571</v>
      </c>
      <c r="Y119" t="s">
        <v>898</v>
      </c>
    </row>
    <row r="120" spans="1:25" x14ac:dyDescent="0.25">
      <c r="A120" t="s">
        <v>132</v>
      </c>
      <c r="B120" s="24" t="s">
        <v>544</v>
      </c>
      <c r="C120" s="24" t="s">
        <v>355</v>
      </c>
      <c r="D120" s="24" t="s">
        <v>356</v>
      </c>
      <c r="E120" s="24" t="s">
        <v>249</v>
      </c>
      <c r="F120" s="24" t="s">
        <v>507</v>
      </c>
      <c r="G120" s="24" t="s">
        <v>406</v>
      </c>
      <c r="H120">
        <v>12</v>
      </c>
      <c r="I120" t="s">
        <v>359</v>
      </c>
      <c r="J120" s="50">
        <v>4238.24</v>
      </c>
      <c r="K120">
        <v>50859</v>
      </c>
      <c r="L120" t="s">
        <v>572</v>
      </c>
      <c r="M120">
        <v>117</v>
      </c>
      <c r="N120" t="s">
        <v>901</v>
      </c>
      <c r="O120" t="s">
        <v>571</v>
      </c>
      <c r="P120" t="s">
        <v>584</v>
      </c>
      <c r="Q120" t="s">
        <v>902</v>
      </c>
      <c r="R120" t="s">
        <v>903</v>
      </c>
      <c r="S120" s="50">
        <v>3</v>
      </c>
      <c r="T120">
        <v>4066.96</v>
      </c>
      <c r="U120" t="s">
        <v>888</v>
      </c>
      <c r="V120">
        <v>22</v>
      </c>
      <c r="W120">
        <v>0</v>
      </c>
      <c r="X120" t="s">
        <v>571</v>
      </c>
      <c r="Y120" t="s">
        <v>901</v>
      </c>
    </row>
    <row r="121" spans="1:25" x14ac:dyDescent="0.25">
      <c r="A121" t="s">
        <v>132</v>
      </c>
      <c r="B121" s="24" t="s">
        <v>544</v>
      </c>
      <c r="C121" s="24" t="s">
        <v>355</v>
      </c>
      <c r="D121" s="24" t="s">
        <v>356</v>
      </c>
      <c r="E121" s="24" t="s">
        <v>250</v>
      </c>
      <c r="F121" s="24" t="s">
        <v>508</v>
      </c>
      <c r="G121" s="24" t="s">
        <v>358</v>
      </c>
      <c r="H121">
        <v>9</v>
      </c>
      <c r="I121" t="s">
        <v>359</v>
      </c>
      <c r="J121" s="50">
        <v>4238.24</v>
      </c>
      <c r="K121">
        <v>38144</v>
      </c>
      <c r="L121" t="s">
        <v>572</v>
      </c>
      <c r="M121">
        <v>118</v>
      </c>
      <c r="N121" t="s">
        <v>904</v>
      </c>
      <c r="O121" t="s">
        <v>572</v>
      </c>
      <c r="P121" t="s">
        <v>584</v>
      </c>
      <c r="Q121" t="s">
        <v>905</v>
      </c>
      <c r="R121" t="s">
        <v>906</v>
      </c>
      <c r="S121" s="50">
        <v>9</v>
      </c>
      <c r="T121">
        <v>4238.24</v>
      </c>
      <c r="U121" t="s">
        <v>907</v>
      </c>
      <c r="V121">
        <v>22</v>
      </c>
      <c r="W121">
        <v>0</v>
      </c>
      <c r="X121" t="s">
        <v>572</v>
      </c>
      <c r="Y121" t="s">
        <v>904</v>
      </c>
    </row>
    <row r="122" spans="1:25" x14ac:dyDescent="0.25">
      <c r="A122" t="s">
        <v>132</v>
      </c>
      <c r="B122" s="24" t="s">
        <v>544</v>
      </c>
      <c r="C122" s="24" t="s">
        <v>355</v>
      </c>
      <c r="D122" s="24" t="s">
        <v>356</v>
      </c>
      <c r="E122" s="24" t="s">
        <v>251</v>
      </c>
      <c r="F122" s="24" t="s">
        <v>509</v>
      </c>
      <c r="G122" s="24" t="s">
        <v>408</v>
      </c>
      <c r="H122">
        <v>3</v>
      </c>
      <c r="I122" t="s">
        <v>359</v>
      </c>
      <c r="J122" s="50">
        <v>4238.24</v>
      </c>
      <c r="K122">
        <v>12715</v>
      </c>
      <c r="L122" t="s">
        <v>572</v>
      </c>
      <c r="M122">
        <v>119</v>
      </c>
      <c r="N122" t="s">
        <v>908</v>
      </c>
      <c r="O122" t="s">
        <v>572</v>
      </c>
      <c r="P122" t="s">
        <v>584</v>
      </c>
      <c r="Q122" t="s">
        <v>909</v>
      </c>
      <c r="R122" t="s">
        <v>910</v>
      </c>
      <c r="S122" s="50">
        <v>3</v>
      </c>
      <c r="T122">
        <v>4238.24</v>
      </c>
      <c r="U122" t="s">
        <v>907</v>
      </c>
      <c r="V122">
        <v>22</v>
      </c>
      <c r="W122">
        <v>0</v>
      </c>
      <c r="X122" t="s">
        <v>572</v>
      </c>
      <c r="Y122" t="s">
        <v>908</v>
      </c>
    </row>
    <row r="123" spans="1:25" x14ac:dyDescent="0.25">
      <c r="A123" t="s">
        <v>132</v>
      </c>
      <c r="B123" s="24" t="s">
        <v>544</v>
      </c>
      <c r="C123" s="24" t="s">
        <v>355</v>
      </c>
      <c r="D123" s="24" t="s">
        <v>356</v>
      </c>
      <c r="E123" s="24" t="s">
        <v>252</v>
      </c>
      <c r="F123" s="24" t="s">
        <v>510</v>
      </c>
      <c r="G123" s="24" t="s">
        <v>384</v>
      </c>
      <c r="H123">
        <v>3</v>
      </c>
      <c r="I123" t="s">
        <v>359</v>
      </c>
      <c r="J123" s="50">
        <v>4238.24</v>
      </c>
      <c r="K123">
        <v>12715</v>
      </c>
      <c r="L123" t="s">
        <v>572</v>
      </c>
      <c r="M123">
        <v>120</v>
      </c>
      <c r="N123" t="s">
        <v>911</v>
      </c>
      <c r="O123" t="s">
        <v>572</v>
      </c>
      <c r="P123" t="s">
        <v>584</v>
      </c>
      <c r="Q123" t="s">
        <v>912</v>
      </c>
      <c r="R123" t="s">
        <v>913</v>
      </c>
      <c r="S123" s="50">
        <v>12</v>
      </c>
      <c r="T123">
        <v>4238.24</v>
      </c>
      <c r="U123" t="s">
        <v>907</v>
      </c>
      <c r="V123">
        <v>22</v>
      </c>
      <c r="W123">
        <v>0</v>
      </c>
      <c r="X123" t="s">
        <v>572</v>
      </c>
      <c r="Y123" t="s">
        <v>911</v>
      </c>
    </row>
    <row r="124" spans="1:25" x14ac:dyDescent="0.25">
      <c r="A124">
        <v>20</v>
      </c>
      <c r="B124" s="24" t="s">
        <v>545</v>
      </c>
      <c r="C124" s="24" t="s">
        <v>355</v>
      </c>
      <c r="D124" s="24" t="s">
        <v>356</v>
      </c>
      <c r="E124" s="24" t="s">
        <v>253</v>
      </c>
      <c r="F124" s="24" t="s">
        <v>511</v>
      </c>
      <c r="G124" s="24" t="s">
        <v>358</v>
      </c>
      <c r="H124">
        <v>6</v>
      </c>
      <c r="I124" t="s">
        <v>359</v>
      </c>
      <c r="J124" s="50">
        <v>4642.28</v>
      </c>
      <c r="K124">
        <v>27854</v>
      </c>
      <c r="L124" t="s">
        <v>573</v>
      </c>
      <c r="M124">
        <v>121</v>
      </c>
      <c r="N124" t="s">
        <v>914</v>
      </c>
      <c r="O124" t="s">
        <v>572</v>
      </c>
      <c r="P124" t="s">
        <v>584</v>
      </c>
      <c r="Q124" t="s">
        <v>915</v>
      </c>
      <c r="R124" t="s">
        <v>916</v>
      </c>
      <c r="S124" s="50">
        <v>9</v>
      </c>
      <c r="T124">
        <v>4238.24</v>
      </c>
      <c r="U124" t="s">
        <v>907</v>
      </c>
      <c r="V124">
        <v>22</v>
      </c>
      <c r="W124">
        <v>0</v>
      </c>
      <c r="X124" t="s">
        <v>572</v>
      </c>
      <c r="Y124" t="s">
        <v>914</v>
      </c>
    </row>
    <row r="125" spans="1:25" x14ac:dyDescent="0.25">
      <c r="A125" t="s">
        <v>132</v>
      </c>
      <c r="B125" s="24" t="s">
        <v>545</v>
      </c>
      <c r="C125" s="24" t="s">
        <v>355</v>
      </c>
      <c r="D125" s="24" t="s">
        <v>356</v>
      </c>
      <c r="E125" s="24" t="s">
        <v>254</v>
      </c>
      <c r="F125" s="24" t="s">
        <v>512</v>
      </c>
      <c r="G125" s="24" t="s">
        <v>384</v>
      </c>
      <c r="H125">
        <v>18</v>
      </c>
      <c r="I125" t="s">
        <v>359</v>
      </c>
      <c r="J125" s="50">
        <v>4642.28</v>
      </c>
      <c r="K125">
        <v>83561</v>
      </c>
      <c r="L125" t="s">
        <v>573</v>
      </c>
      <c r="M125">
        <v>122</v>
      </c>
      <c r="N125" t="s">
        <v>917</v>
      </c>
      <c r="O125" t="s">
        <v>572</v>
      </c>
      <c r="P125" t="s">
        <v>584</v>
      </c>
      <c r="Q125" t="s">
        <v>918</v>
      </c>
      <c r="R125" t="s">
        <v>919</v>
      </c>
      <c r="S125" s="50">
        <v>3</v>
      </c>
      <c r="T125">
        <v>4238.24</v>
      </c>
      <c r="U125" t="s">
        <v>907</v>
      </c>
      <c r="V125">
        <v>22</v>
      </c>
      <c r="W125">
        <v>0</v>
      </c>
      <c r="X125" t="s">
        <v>572</v>
      </c>
      <c r="Y125" t="s">
        <v>917</v>
      </c>
    </row>
    <row r="126" spans="1:25" x14ac:dyDescent="0.25">
      <c r="A126">
        <v>21</v>
      </c>
      <c r="B126" s="24" t="s">
        <v>546</v>
      </c>
      <c r="C126" s="24" t="s">
        <v>355</v>
      </c>
      <c r="D126" s="24" t="s">
        <v>356</v>
      </c>
      <c r="E126" s="24" t="s">
        <v>255</v>
      </c>
      <c r="F126" s="24" t="s">
        <v>513</v>
      </c>
      <c r="G126" s="24" t="s">
        <v>402</v>
      </c>
      <c r="H126">
        <v>6</v>
      </c>
      <c r="I126" t="s">
        <v>359</v>
      </c>
      <c r="J126" s="50">
        <v>4916.7</v>
      </c>
      <c r="K126">
        <v>29500</v>
      </c>
      <c r="L126" t="s">
        <v>574</v>
      </c>
      <c r="M126">
        <v>123</v>
      </c>
      <c r="N126" t="s">
        <v>920</v>
      </c>
      <c r="O126" t="s">
        <v>572</v>
      </c>
      <c r="P126" t="s">
        <v>584</v>
      </c>
      <c r="Q126" t="s">
        <v>921</v>
      </c>
      <c r="R126" t="s">
        <v>922</v>
      </c>
      <c r="S126" s="50">
        <v>3</v>
      </c>
      <c r="T126">
        <v>4238.24</v>
      </c>
      <c r="U126" t="s">
        <v>907</v>
      </c>
      <c r="V126">
        <v>22</v>
      </c>
      <c r="W126">
        <v>0</v>
      </c>
      <c r="X126" t="s">
        <v>572</v>
      </c>
      <c r="Y126" t="s">
        <v>920</v>
      </c>
    </row>
    <row r="127" spans="1:25" x14ac:dyDescent="0.25">
      <c r="A127">
        <v>22</v>
      </c>
      <c r="B127" s="24" t="s">
        <v>547</v>
      </c>
      <c r="C127" s="24" t="s">
        <v>355</v>
      </c>
      <c r="D127" s="24" t="s">
        <v>356</v>
      </c>
      <c r="E127" s="24" t="s">
        <v>256</v>
      </c>
      <c r="F127" s="24" t="s">
        <v>514</v>
      </c>
      <c r="G127" s="24" t="s">
        <v>515</v>
      </c>
      <c r="H127">
        <v>5</v>
      </c>
      <c r="I127" t="s">
        <v>359</v>
      </c>
      <c r="J127" s="50">
        <v>4961.91</v>
      </c>
      <c r="K127">
        <v>24810</v>
      </c>
      <c r="L127" t="s">
        <v>575</v>
      </c>
      <c r="M127">
        <v>124</v>
      </c>
      <c r="N127" t="s">
        <v>923</v>
      </c>
      <c r="O127" t="s">
        <v>573</v>
      </c>
      <c r="P127" t="s">
        <v>584</v>
      </c>
      <c r="Q127" t="s">
        <v>924</v>
      </c>
      <c r="R127" t="s">
        <v>925</v>
      </c>
      <c r="S127" s="50">
        <v>6</v>
      </c>
      <c r="T127">
        <v>4642.28</v>
      </c>
      <c r="U127" t="s">
        <v>926</v>
      </c>
      <c r="V127">
        <v>13</v>
      </c>
      <c r="W127">
        <v>0</v>
      </c>
      <c r="X127" t="s">
        <v>573</v>
      </c>
      <c r="Y127" t="s">
        <v>923</v>
      </c>
    </row>
    <row r="128" spans="1:25" x14ac:dyDescent="0.25">
      <c r="A128">
        <v>23</v>
      </c>
      <c r="B128" s="24" t="s">
        <v>548</v>
      </c>
      <c r="C128" s="24" t="s">
        <v>355</v>
      </c>
      <c r="D128" s="24" t="s">
        <v>356</v>
      </c>
      <c r="E128" s="24" t="s">
        <v>257</v>
      </c>
      <c r="F128" s="24" t="s">
        <v>516</v>
      </c>
      <c r="G128" s="24" t="s">
        <v>402</v>
      </c>
      <c r="H128">
        <v>48</v>
      </c>
      <c r="I128" t="s">
        <v>359</v>
      </c>
      <c r="J128" s="50">
        <v>639.77</v>
      </c>
      <c r="K128">
        <v>30709</v>
      </c>
      <c r="L128" s="24" t="s">
        <v>576</v>
      </c>
      <c r="M128">
        <v>125</v>
      </c>
      <c r="N128" t="s">
        <v>927</v>
      </c>
      <c r="O128" t="s">
        <v>573</v>
      </c>
      <c r="P128" t="s">
        <v>584</v>
      </c>
      <c r="Q128" t="s">
        <v>928</v>
      </c>
      <c r="R128" t="s">
        <v>929</v>
      </c>
      <c r="S128" s="50">
        <v>18</v>
      </c>
      <c r="T128">
        <v>4642.28</v>
      </c>
      <c r="U128" t="s">
        <v>926</v>
      </c>
      <c r="V128">
        <v>13</v>
      </c>
      <c r="W128">
        <v>0</v>
      </c>
      <c r="X128" t="s">
        <v>573</v>
      </c>
      <c r="Y128" t="s">
        <v>927</v>
      </c>
    </row>
    <row r="129" spans="1:25" x14ac:dyDescent="0.25">
      <c r="A129" t="s">
        <v>132</v>
      </c>
      <c r="B129" s="24" t="s">
        <v>548</v>
      </c>
      <c r="C129" s="24" t="s">
        <v>355</v>
      </c>
      <c r="D129" s="24" t="s">
        <v>356</v>
      </c>
      <c r="E129" s="24" t="s">
        <v>258</v>
      </c>
      <c r="F129" s="24" t="s">
        <v>517</v>
      </c>
      <c r="G129" s="24" t="s">
        <v>384</v>
      </c>
      <c r="H129">
        <v>48</v>
      </c>
      <c r="I129" t="s">
        <v>359</v>
      </c>
      <c r="J129" s="50">
        <v>639.77</v>
      </c>
      <c r="K129">
        <v>30709</v>
      </c>
      <c r="L129" t="s">
        <v>576</v>
      </c>
      <c r="M129">
        <v>126</v>
      </c>
      <c r="N129" t="s">
        <v>930</v>
      </c>
      <c r="O129" t="s">
        <v>574</v>
      </c>
      <c r="P129" t="s">
        <v>584</v>
      </c>
      <c r="Q129" t="s">
        <v>931</v>
      </c>
      <c r="R129" t="s">
        <v>932</v>
      </c>
      <c r="S129" s="50">
        <v>6</v>
      </c>
      <c r="T129">
        <v>4916.7</v>
      </c>
      <c r="U129" t="s">
        <v>933</v>
      </c>
      <c r="V129">
        <v>22</v>
      </c>
      <c r="W129">
        <v>0</v>
      </c>
      <c r="X129" t="s">
        <v>574</v>
      </c>
      <c r="Y129" t="s">
        <v>930</v>
      </c>
    </row>
    <row r="130" spans="1:25" x14ac:dyDescent="0.25">
      <c r="A130">
        <v>24</v>
      </c>
      <c r="B130" s="24" t="s">
        <v>549</v>
      </c>
      <c r="C130" s="24" t="s">
        <v>355</v>
      </c>
      <c r="D130" s="24" t="s">
        <v>356</v>
      </c>
      <c r="E130" s="24" t="s">
        <v>259</v>
      </c>
      <c r="F130" s="24" t="s">
        <v>518</v>
      </c>
      <c r="G130" s="24" t="s">
        <v>404</v>
      </c>
      <c r="H130">
        <v>48</v>
      </c>
      <c r="I130" t="s">
        <v>359</v>
      </c>
      <c r="J130" s="50">
        <v>639.77</v>
      </c>
      <c r="K130">
        <v>30709</v>
      </c>
      <c r="L130" t="s">
        <v>577</v>
      </c>
      <c r="M130">
        <v>128</v>
      </c>
      <c r="N130" t="s">
        <v>934</v>
      </c>
      <c r="O130" t="s">
        <v>575</v>
      </c>
      <c r="P130" t="s">
        <v>589</v>
      </c>
      <c r="Q130" t="s">
        <v>589</v>
      </c>
      <c r="R130" t="s">
        <v>589</v>
      </c>
      <c r="S130" s="50" t="s">
        <v>589</v>
      </c>
      <c r="T130" t="s">
        <v>589</v>
      </c>
      <c r="U130" t="s">
        <v>589</v>
      </c>
      <c r="V130" t="s">
        <v>589</v>
      </c>
      <c r="W130" t="s">
        <v>589</v>
      </c>
      <c r="X130" t="s">
        <v>589</v>
      </c>
      <c r="Y130" t="s">
        <v>589</v>
      </c>
    </row>
    <row r="131" spans="1:25" x14ac:dyDescent="0.25">
      <c r="A131">
        <v>25</v>
      </c>
      <c r="B131" s="24" t="s">
        <v>550</v>
      </c>
      <c r="C131" s="24" t="s">
        <v>355</v>
      </c>
      <c r="D131" s="24" t="s">
        <v>356</v>
      </c>
      <c r="E131" s="24" t="s">
        <v>260</v>
      </c>
      <c r="F131" s="24" t="s">
        <v>519</v>
      </c>
      <c r="G131" s="24" t="s">
        <v>520</v>
      </c>
      <c r="H131">
        <v>4</v>
      </c>
      <c r="I131" t="s">
        <v>359</v>
      </c>
      <c r="J131" s="50">
        <v>639.77</v>
      </c>
      <c r="K131">
        <v>2559</v>
      </c>
      <c r="L131" t="s">
        <v>578</v>
      </c>
      <c r="M131">
        <v>130</v>
      </c>
      <c r="N131" t="s">
        <v>935</v>
      </c>
      <c r="O131" t="s">
        <v>576</v>
      </c>
      <c r="P131" t="s">
        <v>770</v>
      </c>
      <c r="Q131" t="s">
        <v>936</v>
      </c>
      <c r="R131" t="s">
        <v>937</v>
      </c>
      <c r="S131" s="50">
        <v>48</v>
      </c>
      <c r="T131">
        <v>639.77</v>
      </c>
      <c r="U131" t="s">
        <v>938</v>
      </c>
      <c r="V131" t="s">
        <v>939</v>
      </c>
      <c r="W131">
        <v>0</v>
      </c>
      <c r="X131" t="s">
        <v>576</v>
      </c>
      <c r="Y131" t="s">
        <v>935</v>
      </c>
    </row>
    <row r="132" spans="1:25" x14ac:dyDescent="0.25">
      <c r="A132" t="s">
        <v>132</v>
      </c>
      <c r="B132" s="24" t="s">
        <v>550</v>
      </c>
      <c r="C132" s="24" t="s">
        <v>355</v>
      </c>
      <c r="D132" s="24" t="s">
        <v>356</v>
      </c>
      <c r="E132" s="24" t="s">
        <v>261</v>
      </c>
      <c r="F132" s="24" t="s">
        <v>521</v>
      </c>
      <c r="G132" s="24" t="s">
        <v>522</v>
      </c>
      <c r="H132">
        <v>7</v>
      </c>
      <c r="I132" t="s">
        <v>359</v>
      </c>
      <c r="J132" s="50">
        <v>639.77</v>
      </c>
      <c r="K132">
        <v>4478</v>
      </c>
      <c r="L132" t="s">
        <v>578</v>
      </c>
      <c r="M132">
        <v>131</v>
      </c>
      <c r="N132" t="s">
        <v>940</v>
      </c>
      <c r="O132" t="s">
        <v>576</v>
      </c>
      <c r="P132" t="s">
        <v>770</v>
      </c>
      <c r="Q132" t="s">
        <v>941</v>
      </c>
      <c r="R132" t="s">
        <v>942</v>
      </c>
      <c r="S132" s="50">
        <v>48</v>
      </c>
      <c r="T132">
        <v>639.77</v>
      </c>
      <c r="U132" t="s">
        <v>938</v>
      </c>
      <c r="V132" t="s">
        <v>939</v>
      </c>
      <c r="W132">
        <v>0</v>
      </c>
      <c r="X132" t="s">
        <v>576</v>
      </c>
      <c r="Y132" t="s">
        <v>940</v>
      </c>
    </row>
    <row r="133" spans="1:25" x14ac:dyDescent="0.25">
      <c r="A133" t="s">
        <v>132</v>
      </c>
      <c r="B133" s="24" t="s">
        <v>550</v>
      </c>
      <c r="C133" s="24" t="s">
        <v>355</v>
      </c>
      <c r="D133" s="24" t="s">
        <v>356</v>
      </c>
      <c r="E133" s="24" t="s">
        <v>262</v>
      </c>
      <c r="F133" s="24" t="s">
        <v>523</v>
      </c>
      <c r="G133" s="24" t="s">
        <v>379</v>
      </c>
      <c r="H133">
        <v>3</v>
      </c>
      <c r="I133" t="s">
        <v>359</v>
      </c>
      <c r="J133" s="50">
        <v>639.77</v>
      </c>
      <c r="K133">
        <v>1919</v>
      </c>
      <c r="L133" t="s">
        <v>578</v>
      </c>
      <c r="M133">
        <v>132</v>
      </c>
      <c r="N133" t="s">
        <v>943</v>
      </c>
      <c r="O133" t="s">
        <v>577</v>
      </c>
      <c r="P133" t="s">
        <v>770</v>
      </c>
      <c r="Q133" t="s">
        <v>944</v>
      </c>
      <c r="R133" t="s">
        <v>945</v>
      </c>
      <c r="S133" s="50">
        <v>48</v>
      </c>
      <c r="T133">
        <v>639.77</v>
      </c>
      <c r="U133" t="s">
        <v>946</v>
      </c>
      <c r="V133" t="s">
        <v>939</v>
      </c>
      <c r="W133">
        <v>0</v>
      </c>
      <c r="X133" t="s">
        <v>577</v>
      </c>
      <c r="Y133" t="s">
        <v>943</v>
      </c>
    </row>
    <row r="134" spans="1:25" x14ac:dyDescent="0.25">
      <c r="A134">
        <v>26</v>
      </c>
      <c r="B134" s="24" t="s">
        <v>551</v>
      </c>
      <c r="C134" s="24" t="s">
        <v>355</v>
      </c>
      <c r="D134" s="24" t="s">
        <v>356</v>
      </c>
      <c r="E134" s="24" t="s">
        <v>263</v>
      </c>
      <c r="F134" s="24" t="s">
        <v>524</v>
      </c>
      <c r="G134" s="24" t="s">
        <v>522</v>
      </c>
      <c r="H134">
        <v>1</v>
      </c>
      <c r="I134" t="s">
        <v>359</v>
      </c>
      <c r="J134" s="50">
        <v>639.77</v>
      </c>
      <c r="K134">
        <v>640</v>
      </c>
      <c r="L134" t="s">
        <v>579</v>
      </c>
      <c r="M134">
        <v>134</v>
      </c>
      <c r="N134" t="s">
        <v>947</v>
      </c>
      <c r="O134" t="s">
        <v>578</v>
      </c>
      <c r="P134" t="s">
        <v>589</v>
      </c>
      <c r="Q134" t="s">
        <v>589</v>
      </c>
      <c r="R134" t="s">
        <v>589</v>
      </c>
      <c r="S134" s="50" t="s">
        <v>589</v>
      </c>
      <c r="T134" t="s">
        <v>589</v>
      </c>
      <c r="U134" t="s">
        <v>589</v>
      </c>
      <c r="V134" t="s">
        <v>589</v>
      </c>
      <c r="W134" t="s">
        <v>589</v>
      </c>
      <c r="X134" t="s">
        <v>589</v>
      </c>
      <c r="Y134" t="s">
        <v>589</v>
      </c>
    </row>
    <row r="135" spans="1:25" x14ac:dyDescent="0.25">
      <c r="A135">
        <v>27</v>
      </c>
      <c r="B135" s="24" t="s">
        <v>552</v>
      </c>
      <c r="C135" s="24" t="s">
        <v>355</v>
      </c>
      <c r="D135" s="24" t="s">
        <v>356</v>
      </c>
      <c r="E135" s="24" t="s">
        <v>264</v>
      </c>
      <c r="F135" s="24" t="s">
        <v>525</v>
      </c>
      <c r="G135" s="24" t="s">
        <v>379</v>
      </c>
      <c r="H135">
        <v>40</v>
      </c>
      <c r="I135" t="s">
        <v>359</v>
      </c>
      <c r="J135" s="50">
        <v>223.38</v>
      </c>
      <c r="K135">
        <v>8935</v>
      </c>
      <c r="L135" t="s">
        <v>580</v>
      </c>
      <c r="M135">
        <v>135</v>
      </c>
      <c r="N135" t="s">
        <v>948</v>
      </c>
      <c r="O135" t="s">
        <v>578</v>
      </c>
      <c r="P135" t="s">
        <v>589</v>
      </c>
      <c r="Q135" t="s">
        <v>589</v>
      </c>
      <c r="R135" t="s">
        <v>589</v>
      </c>
      <c r="S135" s="50" t="s">
        <v>589</v>
      </c>
      <c r="T135" t="s">
        <v>589</v>
      </c>
      <c r="U135" t="s">
        <v>589</v>
      </c>
      <c r="V135" t="s">
        <v>589</v>
      </c>
      <c r="W135" t="s">
        <v>589</v>
      </c>
      <c r="X135" t="s">
        <v>589</v>
      </c>
      <c r="Y135" t="s">
        <v>589</v>
      </c>
    </row>
    <row r="136" spans="1:25" x14ac:dyDescent="0.25">
      <c r="A136">
        <v>28</v>
      </c>
      <c r="B136" s="24" t="s">
        <v>553</v>
      </c>
      <c r="C136" s="24" t="s">
        <v>355</v>
      </c>
      <c r="D136" s="24" t="s">
        <v>356</v>
      </c>
      <c r="E136" s="24" t="s">
        <v>265</v>
      </c>
      <c r="F136" s="24" t="s">
        <v>526</v>
      </c>
      <c r="G136" s="24" t="s">
        <v>379</v>
      </c>
      <c r="H136">
        <v>40</v>
      </c>
      <c r="I136" t="s">
        <v>359</v>
      </c>
      <c r="J136" s="50">
        <v>131.13999999999999</v>
      </c>
      <c r="K136">
        <v>5246</v>
      </c>
      <c r="L136" t="s">
        <v>581</v>
      </c>
      <c r="M136">
        <v>136</v>
      </c>
      <c r="N136" t="s">
        <v>949</v>
      </c>
      <c r="O136" t="s">
        <v>578</v>
      </c>
      <c r="P136" t="s">
        <v>589</v>
      </c>
      <c r="Q136" t="s">
        <v>589</v>
      </c>
      <c r="R136" t="s">
        <v>589</v>
      </c>
      <c r="S136" s="50" t="s">
        <v>589</v>
      </c>
      <c r="T136" t="s">
        <v>589</v>
      </c>
      <c r="U136" t="s">
        <v>589</v>
      </c>
      <c r="V136" t="s">
        <v>589</v>
      </c>
      <c r="W136" t="s">
        <v>589</v>
      </c>
      <c r="X136" t="s">
        <v>589</v>
      </c>
      <c r="Y136" t="s">
        <v>589</v>
      </c>
    </row>
    <row r="137" spans="1:25" x14ac:dyDescent="0.25">
      <c r="A137" t="s">
        <v>132</v>
      </c>
      <c r="B137" s="24" t="s">
        <v>553</v>
      </c>
      <c r="C137" s="24" t="s">
        <v>355</v>
      </c>
      <c r="D137" s="24" t="s">
        <v>356</v>
      </c>
      <c r="E137" s="24" t="s">
        <v>266</v>
      </c>
      <c r="F137" s="24" t="s">
        <v>527</v>
      </c>
      <c r="G137" s="24" t="s">
        <v>384</v>
      </c>
      <c r="H137">
        <v>40</v>
      </c>
      <c r="I137" t="s">
        <v>359</v>
      </c>
      <c r="J137" s="50">
        <v>131.13999999999999</v>
      </c>
      <c r="K137">
        <v>5246</v>
      </c>
      <c r="L137" t="s">
        <v>581</v>
      </c>
      <c r="M137">
        <v>137</v>
      </c>
      <c r="N137" t="s">
        <v>950</v>
      </c>
      <c r="O137" t="s">
        <v>579</v>
      </c>
      <c r="P137" t="s">
        <v>589</v>
      </c>
      <c r="Q137" t="s">
        <v>589</v>
      </c>
      <c r="R137" t="s">
        <v>589</v>
      </c>
      <c r="S137" s="50" t="s">
        <v>589</v>
      </c>
      <c r="T137" t="s">
        <v>589</v>
      </c>
      <c r="U137" t="s">
        <v>589</v>
      </c>
      <c r="V137" t="s">
        <v>589</v>
      </c>
      <c r="W137" t="s">
        <v>589</v>
      </c>
      <c r="X137" t="s">
        <v>589</v>
      </c>
      <c r="Y137" t="s">
        <v>589</v>
      </c>
    </row>
    <row r="138" spans="1:25" x14ac:dyDescent="0.25">
      <c r="A138">
        <v>29</v>
      </c>
      <c r="B138" s="24" t="s">
        <v>554</v>
      </c>
      <c r="C138" s="24" t="s">
        <v>355</v>
      </c>
      <c r="D138" s="24" t="s">
        <v>356</v>
      </c>
      <c r="E138" s="24" t="s">
        <v>267</v>
      </c>
      <c r="F138" s="24" t="s">
        <v>528</v>
      </c>
      <c r="G138" s="24" t="s">
        <v>379</v>
      </c>
      <c r="H138">
        <v>3</v>
      </c>
      <c r="I138" t="s">
        <v>359</v>
      </c>
      <c r="J138" s="50">
        <v>695.9</v>
      </c>
      <c r="K138">
        <v>2088</v>
      </c>
      <c r="L138" t="s">
        <v>582</v>
      </c>
      <c r="M138">
        <v>139</v>
      </c>
      <c r="N138" t="s">
        <v>951</v>
      </c>
      <c r="O138" t="s">
        <v>580</v>
      </c>
      <c r="P138" t="s">
        <v>770</v>
      </c>
      <c r="Q138" t="s">
        <v>952</v>
      </c>
      <c r="R138" t="s">
        <v>953</v>
      </c>
      <c r="S138" s="50">
        <v>40</v>
      </c>
      <c r="T138">
        <v>223.38</v>
      </c>
      <c r="U138" t="s">
        <v>954</v>
      </c>
      <c r="V138">
        <v>4</v>
      </c>
      <c r="W138">
        <v>0</v>
      </c>
      <c r="X138" t="s">
        <v>580</v>
      </c>
      <c r="Y138" t="s">
        <v>951</v>
      </c>
    </row>
    <row r="139" spans="1:25" x14ac:dyDescent="0.25">
      <c r="M139">
        <v>141</v>
      </c>
      <c r="N139" t="s">
        <v>955</v>
      </c>
      <c r="O139" t="s">
        <v>581</v>
      </c>
      <c r="P139" t="s">
        <v>770</v>
      </c>
      <c r="Q139" t="s">
        <v>956</v>
      </c>
      <c r="R139" t="s">
        <v>957</v>
      </c>
      <c r="S139" s="50">
        <v>40</v>
      </c>
      <c r="T139">
        <v>138.04</v>
      </c>
      <c r="U139" t="s">
        <v>958</v>
      </c>
      <c r="V139">
        <v>3</v>
      </c>
      <c r="W139">
        <v>0</v>
      </c>
      <c r="X139" t="s">
        <v>581</v>
      </c>
      <c r="Y139" t="s">
        <v>955</v>
      </c>
    </row>
    <row r="140" spans="1:25" x14ac:dyDescent="0.25">
      <c r="M140">
        <v>142</v>
      </c>
      <c r="N140" t="s">
        <v>959</v>
      </c>
      <c r="O140" t="s">
        <v>581</v>
      </c>
      <c r="P140" t="s">
        <v>770</v>
      </c>
      <c r="Q140" t="s">
        <v>960</v>
      </c>
      <c r="R140" t="s">
        <v>961</v>
      </c>
      <c r="S140" s="50">
        <v>40</v>
      </c>
      <c r="T140">
        <v>138.04</v>
      </c>
      <c r="U140" t="s">
        <v>958</v>
      </c>
      <c r="V140">
        <v>3</v>
      </c>
      <c r="W140">
        <v>0</v>
      </c>
      <c r="X140" t="s">
        <v>581</v>
      </c>
      <c r="Y140" t="s">
        <v>959</v>
      </c>
    </row>
    <row r="141" spans="1:25" x14ac:dyDescent="0.25">
      <c r="M141">
        <v>143</v>
      </c>
      <c r="N141" t="s">
        <v>962</v>
      </c>
      <c r="O141" t="s">
        <v>582</v>
      </c>
      <c r="P141" t="s">
        <v>874</v>
      </c>
      <c r="Q141" t="s">
        <v>963</v>
      </c>
      <c r="R141" t="s">
        <v>964</v>
      </c>
      <c r="S141" s="50">
        <v>3</v>
      </c>
      <c r="T141">
        <v>695.9</v>
      </c>
      <c r="U141" t="s">
        <v>965</v>
      </c>
      <c r="V141">
        <v>0</v>
      </c>
      <c r="W141">
        <v>20</v>
      </c>
      <c r="X141" t="s">
        <v>582</v>
      </c>
      <c r="Y141" t="s">
        <v>962</v>
      </c>
    </row>
  </sheetData>
  <mergeCells count="2">
    <mergeCell ref="C1:F1"/>
    <mergeCell ref="J1:L1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讀取對帳單資料_裕器ANSI_Click">
                <anchor moveWithCells="1" sizeWithCells="1">
                  <from>
                    <xdr:col>12</xdr:col>
                    <xdr:colOff>238125</xdr:colOff>
                    <xdr:row>0</xdr:row>
                    <xdr:rowOff>9525</xdr:rowOff>
                  </from>
                  <to>
                    <xdr:col>14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Module1.清除資料_Click">
                <anchor moveWithCells="1" sizeWithCells="1">
                  <from>
                    <xdr:col>14</xdr:col>
                    <xdr:colOff>190500</xdr:colOff>
                    <xdr:row>0</xdr:row>
                    <xdr:rowOff>9525</xdr:rowOff>
                  </from>
                  <to>
                    <xdr:col>15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小計設定_憑單編號">
                <anchor moveWithCells="1" sizeWithCells="1">
                  <from>
                    <xdr:col>16</xdr:col>
                    <xdr:colOff>9525</xdr:colOff>
                    <xdr:row>0</xdr:row>
                    <xdr:rowOff>0</xdr:rowOff>
                  </from>
                  <to>
                    <xdr:col>17</xdr:col>
                    <xdr:colOff>247650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小計移除">
                <anchor moveWithCells="1" sizeWithCells="1">
                  <from>
                    <xdr:col>17</xdr:col>
                    <xdr:colOff>257175</xdr:colOff>
                    <xdr:row>0</xdr:row>
                    <xdr:rowOff>0</xdr:rowOff>
                  </from>
                  <to>
                    <xdr:col>18</xdr:col>
                    <xdr:colOff>285750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8"/>
  </sheetPr>
  <dimension ref="A1:D334"/>
  <sheetViews>
    <sheetView workbookViewId="0">
      <selection activeCell="C3" sqref="C3"/>
    </sheetView>
  </sheetViews>
  <sheetFormatPr defaultRowHeight="16.5" x14ac:dyDescent="0.25"/>
  <cols>
    <col min="1" max="1" width="9" style="12"/>
    <col min="2" max="2" width="13.625" style="24" customWidth="1"/>
    <col min="3" max="3" width="39.5" customWidth="1"/>
    <col min="4" max="4" width="25" customWidth="1"/>
  </cols>
  <sheetData>
    <row r="1" spans="1:4" x14ac:dyDescent="0.25">
      <c r="B1" s="20" t="s">
        <v>110</v>
      </c>
    </row>
    <row r="2" spans="1:4" x14ac:dyDescent="0.25">
      <c r="B2" s="43">
        <v>5</v>
      </c>
    </row>
    <row r="3" spans="1:4" x14ac:dyDescent="0.25">
      <c r="B3" s="24" t="s">
        <v>128</v>
      </c>
      <c r="C3" t="s">
        <v>349</v>
      </c>
      <c r="D3" t="s">
        <v>350</v>
      </c>
    </row>
    <row r="4" spans="1:4" x14ac:dyDescent="0.25">
      <c r="A4" s="12">
        <v>1</v>
      </c>
      <c r="B4" s="24" t="s">
        <v>131</v>
      </c>
      <c r="C4" t="str">
        <f>"select item=" &amp; A4 &amp; ", shipno='" &amp; B4 &amp; "'"</f>
        <v>select item=1, shipno='1RA018500'</v>
      </c>
    </row>
    <row r="5" spans="1:4" x14ac:dyDescent="0.25">
      <c r="A5" s="12">
        <v>3</v>
      </c>
      <c r="B5" s="24" t="s">
        <v>134</v>
      </c>
      <c r="C5" t="str">
        <f t="shared" ref="C5:C59" si="0">"union all  select item=" &amp; A5 &amp; ", shipno='" &amp; B5 &amp; "'"</f>
        <v>union all  select item=3, shipno='1RA120154'</v>
      </c>
    </row>
    <row r="6" spans="1:4" x14ac:dyDescent="0.25">
      <c r="A6" s="12">
        <v>4</v>
      </c>
      <c r="B6" s="24" t="s">
        <v>135</v>
      </c>
      <c r="C6" t="str">
        <f t="shared" si="0"/>
        <v>union all  select item=4, shipno='1RA129841'</v>
      </c>
    </row>
    <row r="7" spans="1:4" x14ac:dyDescent="0.25">
      <c r="A7" s="12">
        <v>5</v>
      </c>
      <c r="B7" s="24" t="s">
        <v>136</v>
      </c>
      <c r="C7" t="str">
        <f t="shared" si="0"/>
        <v>union all  select item=5, shipno='1RA129840'</v>
      </c>
    </row>
    <row r="8" spans="1:4" x14ac:dyDescent="0.25">
      <c r="A8" s="12">
        <v>6</v>
      </c>
      <c r="B8" s="24" t="s">
        <v>137</v>
      </c>
      <c r="C8" t="str">
        <f t="shared" si="0"/>
        <v>union all  select item=6, shipno='1RA128709'</v>
      </c>
    </row>
    <row r="9" spans="1:4" x14ac:dyDescent="0.25">
      <c r="A9" s="12">
        <v>7</v>
      </c>
      <c r="B9" s="24" t="s">
        <v>138</v>
      </c>
      <c r="C9" t="str">
        <f t="shared" si="0"/>
        <v>union all  select item=7, shipno='1RA124413'</v>
      </c>
    </row>
    <row r="10" spans="1:4" x14ac:dyDescent="0.25">
      <c r="A10" s="12">
        <v>8</v>
      </c>
      <c r="B10" s="24" t="s">
        <v>139</v>
      </c>
      <c r="C10" t="str">
        <f t="shared" si="0"/>
        <v>union all  select item=8, shipno='1RA129033'</v>
      </c>
    </row>
    <row r="11" spans="1:4" x14ac:dyDescent="0.25">
      <c r="A11" s="12">
        <v>9</v>
      </c>
      <c r="B11" s="24" t="s">
        <v>140</v>
      </c>
      <c r="C11" t="str">
        <f t="shared" si="0"/>
        <v>union all  select item=9, shipno='1RA125198'</v>
      </c>
    </row>
    <row r="12" spans="1:4" x14ac:dyDescent="0.25">
      <c r="A12" s="12">
        <v>10</v>
      </c>
      <c r="B12" s="24" t="s">
        <v>141</v>
      </c>
      <c r="C12" t="str">
        <f t="shared" si="0"/>
        <v>union all  select item=10, shipno='1RA123782'</v>
      </c>
    </row>
    <row r="13" spans="1:4" x14ac:dyDescent="0.25">
      <c r="A13" s="12">
        <v>11</v>
      </c>
      <c r="B13" s="24" t="s">
        <v>142</v>
      </c>
      <c r="C13" t="str">
        <f t="shared" si="0"/>
        <v>union all  select item=11, shipno='1RA120196'</v>
      </c>
    </row>
    <row r="14" spans="1:4" x14ac:dyDescent="0.25">
      <c r="A14" s="12">
        <v>12</v>
      </c>
      <c r="B14" s="24" t="s">
        <v>143</v>
      </c>
      <c r="C14" t="str">
        <f t="shared" si="0"/>
        <v>union all  select item=12, shipno='1RA129007'</v>
      </c>
    </row>
    <row r="15" spans="1:4" x14ac:dyDescent="0.25">
      <c r="A15" s="12">
        <v>13</v>
      </c>
      <c r="B15" s="24" t="s">
        <v>144</v>
      </c>
      <c r="C15" t="str">
        <f t="shared" si="0"/>
        <v>union all  select item=13, shipno='1RA015171'</v>
      </c>
    </row>
    <row r="16" spans="1:4" x14ac:dyDescent="0.25">
      <c r="A16" s="12">
        <v>14</v>
      </c>
      <c r="B16" s="24" t="s">
        <v>145</v>
      </c>
      <c r="C16" t="str">
        <f t="shared" si="0"/>
        <v>union all  select item=14, shipno='1RA012601'</v>
      </c>
    </row>
    <row r="17" spans="1:3" x14ac:dyDescent="0.25">
      <c r="A17" s="12">
        <v>15</v>
      </c>
      <c r="B17" s="24" t="s">
        <v>146</v>
      </c>
      <c r="C17" t="str">
        <f t="shared" si="0"/>
        <v>union all  select item=15, shipno='1RA018497'</v>
      </c>
    </row>
    <row r="18" spans="1:3" x14ac:dyDescent="0.25">
      <c r="A18" s="12">
        <v>16</v>
      </c>
      <c r="B18" s="24" t="s">
        <v>147</v>
      </c>
      <c r="C18" t="str">
        <f t="shared" si="0"/>
        <v>union all  select item=16, shipno='1RA010416'</v>
      </c>
    </row>
    <row r="19" spans="1:3" x14ac:dyDescent="0.25">
      <c r="A19" s="12">
        <v>17</v>
      </c>
      <c r="B19" s="24" t="s">
        <v>148</v>
      </c>
      <c r="C19" t="str">
        <f t="shared" si="0"/>
        <v>union all  select item=17, shipno='1RA019024'</v>
      </c>
    </row>
    <row r="20" spans="1:3" x14ac:dyDescent="0.25">
      <c r="A20" s="12">
        <v>18</v>
      </c>
      <c r="B20" s="24" t="s">
        <v>149</v>
      </c>
      <c r="C20" t="str">
        <f t="shared" si="0"/>
        <v>union all  select item=18, shipno='1RA121675'</v>
      </c>
    </row>
    <row r="21" spans="1:3" x14ac:dyDescent="0.25">
      <c r="A21" s="12">
        <v>19</v>
      </c>
      <c r="B21" s="24" t="s">
        <v>150</v>
      </c>
      <c r="C21" t="str">
        <f t="shared" si="0"/>
        <v>union all  select item=19, shipno='1RA125799'</v>
      </c>
    </row>
    <row r="22" spans="1:3" x14ac:dyDescent="0.25">
      <c r="A22" s="12">
        <v>20</v>
      </c>
      <c r="B22" s="24" t="s">
        <v>151</v>
      </c>
      <c r="C22" t="str">
        <f t="shared" si="0"/>
        <v>union all  select item=20, shipno='1RA128885'</v>
      </c>
    </row>
    <row r="23" spans="1:3" x14ac:dyDescent="0.25">
      <c r="A23" s="12">
        <v>21</v>
      </c>
      <c r="B23" s="24" t="s">
        <v>152</v>
      </c>
      <c r="C23" t="str">
        <f t="shared" si="0"/>
        <v>union all  select item=21, shipno='1RA122788'</v>
      </c>
    </row>
    <row r="24" spans="1:3" x14ac:dyDescent="0.25">
      <c r="A24" s="12">
        <v>22</v>
      </c>
      <c r="B24" s="24" t="s">
        <v>153</v>
      </c>
      <c r="C24" t="str">
        <f t="shared" si="0"/>
        <v>union all  select item=22, shipno='1RA124626'</v>
      </c>
    </row>
    <row r="25" spans="1:3" x14ac:dyDescent="0.25">
      <c r="A25" s="12">
        <v>23</v>
      </c>
      <c r="B25" s="24" t="s">
        <v>154</v>
      </c>
      <c r="C25" t="str">
        <f t="shared" si="0"/>
        <v>union all  select item=23, shipno='1RA128327'</v>
      </c>
    </row>
    <row r="26" spans="1:3" x14ac:dyDescent="0.25">
      <c r="A26" s="12">
        <v>24</v>
      </c>
      <c r="B26" s="24" t="s">
        <v>155</v>
      </c>
      <c r="C26" t="str">
        <f t="shared" si="0"/>
        <v>union all  select item=24, shipno='1RA123864'</v>
      </c>
    </row>
    <row r="27" spans="1:3" x14ac:dyDescent="0.25">
      <c r="A27" s="12">
        <v>25</v>
      </c>
      <c r="B27" s="24" t="s">
        <v>156</v>
      </c>
      <c r="C27" t="str">
        <f t="shared" si="0"/>
        <v>union all  select item=25, shipno='1RA120184'</v>
      </c>
    </row>
    <row r="28" spans="1:3" x14ac:dyDescent="0.25">
      <c r="A28" s="12">
        <v>26</v>
      </c>
      <c r="B28" s="24" t="s">
        <v>157</v>
      </c>
      <c r="C28" t="str">
        <f t="shared" si="0"/>
        <v>union all  select item=26, shipno='1RA010551'</v>
      </c>
    </row>
    <row r="29" spans="1:3" x14ac:dyDescent="0.25">
      <c r="A29" s="12">
        <v>27</v>
      </c>
      <c r="B29" s="24" t="s">
        <v>158</v>
      </c>
      <c r="C29" t="str">
        <f t="shared" si="0"/>
        <v>union all  select item=27, shipno='1RA018536'</v>
      </c>
    </row>
    <row r="30" spans="1:3" x14ac:dyDescent="0.25">
      <c r="A30" s="12">
        <v>28</v>
      </c>
      <c r="B30" s="24" t="s">
        <v>159</v>
      </c>
      <c r="C30" t="str">
        <f t="shared" si="0"/>
        <v>union all  select item=28, shipno='1RA019204'</v>
      </c>
    </row>
    <row r="31" spans="1:3" x14ac:dyDescent="0.25">
      <c r="A31" s="12">
        <v>29</v>
      </c>
      <c r="B31" s="24" t="s">
        <v>160</v>
      </c>
      <c r="C31" t="str">
        <f t="shared" si="0"/>
        <v>union all  select item=29, shipno='1RA013851'</v>
      </c>
    </row>
    <row r="32" spans="1:3" x14ac:dyDescent="0.25">
      <c r="A32" s="12">
        <v>30</v>
      </c>
      <c r="B32" s="24" t="s">
        <v>161</v>
      </c>
      <c r="C32" t="str">
        <f t="shared" si="0"/>
        <v>union all  select item=30, shipno='1RA014142'</v>
      </c>
    </row>
    <row r="33" spans="1:3" x14ac:dyDescent="0.25">
      <c r="A33" s="12">
        <v>31</v>
      </c>
      <c r="B33" s="24" t="s">
        <v>162</v>
      </c>
      <c r="C33" t="str">
        <f t="shared" si="0"/>
        <v>union all  select item=31, shipno='1RA011013'</v>
      </c>
    </row>
    <row r="34" spans="1:3" x14ac:dyDescent="0.25">
      <c r="A34" s="12">
        <v>32</v>
      </c>
      <c r="B34" s="24" t="s">
        <v>163</v>
      </c>
      <c r="C34" t="str">
        <f t="shared" si="0"/>
        <v>union all  select item=32, shipno='1RA013264'</v>
      </c>
    </row>
    <row r="35" spans="1:3" x14ac:dyDescent="0.25">
      <c r="A35" s="12">
        <v>33</v>
      </c>
      <c r="B35" s="24" t="s">
        <v>164</v>
      </c>
      <c r="C35" t="str">
        <f t="shared" si="0"/>
        <v>union all  select item=33, shipno='1RA010853'</v>
      </c>
    </row>
    <row r="36" spans="1:3" x14ac:dyDescent="0.25">
      <c r="A36" s="12">
        <v>34</v>
      </c>
      <c r="B36" s="24" t="s">
        <v>165</v>
      </c>
      <c r="C36" t="str">
        <f t="shared" si="0"/>
        <v>union all  select item=34, shipno='1RA011813'</v>
      </c>
    </row>
    <row r="37" spans="1:3" x14ac:dyDescent="0.25">
      <c r="A37" s="12">
        <v>35</v>
      </c>
      <c r="B37" s="24" t="s">
        <v>166</v>
      </c>
      <c r="C37" t="str">
        <f t="shared" si="0"/>
        <v>union all  select item=35, shipno='1RA010952'</v>
      </c>
    </row>
    <row r="38" spans="1:3" x14ac:dyDescent="0.25">
      <c r="A38" s="12">
        <v>36</v>
      </c>
      <c r="B38" s="24" t="s">
        <v>167</v>
      </c>
      <c r="C38" t="str">
        <f t="shared" si="0"/>
        <v>union all  select item=36, shipno='1RA010955'</v>
      </c>
    </row>
    <row r="39" spans="1:3" x14ac:dyDescent="0.25">
      <c r="A39" s="12">
        <v>37</v>
      </c>
      <c r="B39" s="24" t="s">
        <v>168</v>
      </c>
      <c r="C39" t="str">
        <f t="shared" si="0"/>
        <v>union all  select item=37, shipno='1RA010727'</v>
      </c>
    </row>
    <row r="40" spans="1:3" x14ac:dyDescent="0.25">
      <c r="A40" s="12">
        <v>38</v>
      </c>
      <c r="B40" s="24" t="s">
        <v>169</v>
      </c>
      <c r="C40" t="str">
        <f t="shared" si="0"/>
        <v>union all  select item=38, shipno='1RA015170'</v>
      </c>
    </row>
    <row r="41" spans="1:3" x14ac:dyDescent="0.25">
      <c r="A41" s="12">
        <v>39</v>
      </c>
      <c r="B41" s="24" t="s">
        <v>170</v>
      </c>
      <c r="C41" t="str">
        <f t="shared" si="0"/>
        <v>union all  select item=39, shipno='1RA019931'</v>
      </c>
    </row>
    <row r="42" spans="1:3" x14ac:dyDescent="0.25">
      <c r="A42" s="12">
        <v>40</v>
      </c>
      <c r="B42" s="24" t="s">
        <v>171</v>
      </c>
      <c r="C42" t="str">
        <f t="shared" si="0"/>
        <v>union all  select item=40, shipno='1RA018542'</v>
      </c>
    </row>
    <row r="43" spans="1:3" x14ac:dyDescent="0.25">
      <c r="A43" s="12">
        <v>41</v>
      </c>
      <c r="B43" s="24" t="s">
        <v>172</v>
      </c>
      <c r="C43" t="str">
        <f t="shared" si="0"/>
        <v>union all  select item=41, shipno='1RA019207'</v>
      </c>
    </row>
    <row r="44" spans="1:3" x14ac:dyDescent="0.25">
      <c r="A44" s="12">
        <v>42</v>
      </c>
      <c r="B44" s="24" t="s">
        <v>173</v>
      </c>
      <c r="C44" t="str">
        <f t="shared" si="0"/>
        <v>union all  select item=42, shipno='1RA018496'</v>
      </c>
    </row>
    <row r="45" spans="1:3" x14ac:dyDescent="0.25">
      <c r="A45" s="12">
        <v>43</v>
      </c>
      <c r="B45" s="24" t="s">
        <v>174</v>
      </c>
      <c r="C45" t="str">
        <f t="shared" si="0"/>
        <v>union all  select item=43, shipno='1RA014152'</v>
      </c>
    </row>
    <row r="46" spans="1:3" x14ac:dyDescent="0.25">
      <c r="A46" s="12">
        <v>44</v>
      </c>
      <c r="B46" s="24" t="s">
        <v>175</v>
      </c>
      <c r="C46" t="str">
        <f t="shared" si="0"/>
        <v>union all  select item=44, shipno='1RA019023'</v>
      </c>
    </row>
    <row r="47" spans="1:3" x14ac:dyDescent="0.25">
      <c r="A47" s="12">
        <v>45</v>
      </c>
      <c r="B47" s="24" t="s">
        <v>176</v>
      </c>
      <c r="C47" t="str">
        <f t="shared" si="0"/>
        <v>union all  select item=45, shipno='1RA017846'</v>
      </c>
    </row>
    <row r="48" spans="1:3" x14ac:dyDescent="0.25">
      <c r="A48" s="12">
        <v>46</v>
      </c>
      <c r="B48" s="24" t="s">
        <v>177</v>
      </c>
      <c r="C48" t="str">
        <f t="shared" si="0"/>
        <v>union all  select item=46, shipno='1RA011650'</v>
      </c>
    </row>
    <row r="49" spans="1:3" x14ac:dyDescent="0.25">
      <c r="A49" s="12">
        <v>47</v>
      </c>
      <c r="B49" s="24" t="s">
        <v>178</v>
      </c>
      <c r="C49" t="str">
        <f t="shared" si="0"/>
        <v>union all  select item=47, shipno='1RA010493'</v>
      </c>
    </row>
    <row r="50" spans="1:3" x14ac:dyDescent="0.25">
      <c r="A50" s="12">
        <v>48</v>
      </c>
      <c r="B50" s="24" t="s">
        <v>179</v>
      </c>
      <c r="C50" t="str">
        <f t="shared" si="0"/>
        <v>union all  select item=48, shipno='1RA010950'</v>
      </c>
    </row>
    <row r="51" spans="1:3" x14ac:dyDescent="0.25">
      <c r="A51" s="12">
        <v>49</v>
      </c>
      <c r="B51" s="24" t="s">
        <v>180</v>
      </c>
      <c r="C51" t="str">
        <f t="shared" si="0"/>
        <v>union all  select item=49, shipno='1RA017767'</v>
      </c>
    </row>
    <row r="52" spans="1:3" x14ac:dyDescent="0.25">
      <c r="A52" s="12">
        <v>50</v>
      </c>
      <c r="B52" s="24" t="s">
        <v>181</v>
      </c>
      <c r="C52" t="str">
        <f t="shared" si="0"/>
        <v>union all  select item=50, shipno='1RA018537'</v>
      </c>
    </row>
    <row r="53" spans="1:3" x14ac:dyDescent="0.25">
      <c r="A53" s="12">
        <v>51</v>
      </c>
      <c r="B53" s="24" t="s">
        <v>182</v>
      </c>
      <c r="C53" t="str">
        <f t="shared" si="0"/>
        <v>union all  select item=51, shipno='1RA013852'</v>
      </c>
    </row>
    <row r="54" spans="1:3" x14ac:dyDescent="0.25">
      <c r="A54" s="12">
        <v>52</v>
      </c>
      <c r="B54" s="24" t="s">
        <v>183</v>
      </c>
      <c r="C54" t="str">
        <f t="shared" si="0"/>
        <v>union all  select item=52, shipno='1RA010956'</v>
      </c>
    </row>
    <row r="55" spans="1:3" x14ac:dyDescent="0.25">
      <c r="A55" s="12">
        <v>53</v>
      </c>
      <c r="B55" s="24" t="s">
        <v>184</v>
      </c>
      <c r="C55" t="str">
        <f t="shared" si="0"/>
        <v>union all  select item=53, shipno='1RA010728'</v>
      </c>
    </row>
    <row r="56" spans="1:3" x14ac:dyDescent="0.25">
      <c r="A56" s="12">
        <v>54</v>
      </c>
      <c r="B56" s="24" t="s">
        <v>185</v>
      </c>
      <c r="C56" t="str">
        <f t="shared" si="0"/>
        <v>union all  select item=54, shipno='1RA010567'</v>
      </c>
    </row>
    <row r="57" spans="1:3" x14ac:dyDescent="0.25">
      <c r="A57" s="12">
        <v>55</v>
      </c>
      <c r="B57" s="24" t="s">
        <v>186</v>
      </c>
      <c r="C57" t="str">
        <f t="shared" si="0"/>
        <v>union all  select item=55, shipno='1RA019208'</v>
      </c>
    </row>
    <row r="58" spans="1:3" x14ac:dyDescent="0.25">
      <c r="A58" s="12">
        <v>56</v>
      </c>
      <c r="B58" s="24" t="s">
        <v>187</v>
      </c>
      <c r="C58" t="str">
        <f t="shared" si="0"/>
        <v>union all  select item=56, shipno='1RA014731'</v>
      </c>
    </row>
    <row r="59" spans="1:3" x14ac:dyDescent="0.25">
      <c r="A59" s="12">
        <v>57</v>
      </c>
      <c r="B59" s="24" t="s">
        <v>188</v>
      </c>
      <c r="C59" t="str">
        <f t="shared" si="0"/>
        <v>union all  select item=57, shipno='1RA010417'</v>
      </c>
    </row>
    <row r="60" spans="1:3" x14ac:dyDescent="0.25">
      <c r="A60" s="12">
        <v>58</v>
      </c>
      <c r="B60" s="24" t="s">
        <v>189</v>
      </c>
      <c r="C60" t="str">
        <f t="shared" ref="C60:C120" si="1">"union all  select item=" &amp; A60 &amp; ", shipno='" &amp; B60 &amp; "'"</f>
        <v>union all  select item=58, shipno='1RA019025'</v>
      </c>
    </row>
    <row r="61" spans="1:3" x14ac:dyDescent="0.25">
      <c r="A61" s="12">
        <v>59</v>
      </c>
      <c r="B61" s="24" t="s">
        <v>190</v>
      </c>
      <c r="C61" t="str">
        <f t="shared" si="1"/>
        <v>union all  select item=59, shipno='1RA015341'</v>
      </c>
    </row>
    <row r="62" spans="1:3" x14ac:dyDescent="0.25">
      <c r="A62" s="12">
        <v>60</v>
      </c>
      <c r="B62" s="24" t="s">
        <v>191</v>
      </c>
      <c r="C62" t="str">
        <f t="shared" si="1"/>
        <v>union all  select item=60, shipno='1RA010688'</v>
      </c>
    </row>
    <row r="63" spans="1:3" x14ac:dyDescent="0.25">
      <c r="A63" s="12">
        <v>62</v>
      </c>
      <c r="B63" s="24" t="s">
        <v>192</v>
      </c>
      <c r="C63" t="str">
        <f t="shared" si="1"/>
        <v>union all  select item=62, shipno='1RA010687'</v>
      </c>
    </row>
    <row r="64" spans="1:3" x14ac:dyDescent="0.25">
      <c r="A64" s="12">
        <v>64</v>
      </c>
      <c r="B64" s="24" t="s">
        <v>193</v>
      </c>
      <c r="C64" t="str">
        <f t="shared" si="1"/>
        <v>union all  select item=64, shipno='1RA010554'</v>
      </c>
    </row>
    <row r="65" spans="1:3" x14ac:dyDescent="0.25">
      <c r="A65" s="12">
        <v>65</v>
      </c>
      <c r="B65" s="24" t="s">
        <v>194</v>
      </c>
      <c r="C65" t="str">
        <f t="shared" si="1"/>
        <v>union all  select item=65, shipno='1RA010568'</v>
      </c>
    </row>
    <row r="66" spans="1:3" x14ac:dyDescent="0.25">
      <c r="A66" s="12">
        <v>66</v>
      </c>
      <c r="B66" s="24" t="s">
        <v>195</v>
      </c>
      <c r="C66" t="str">
        <f t="shared" si="1"/>
        <v>union all  select item=66, shipno='1RA012602'</v>
      </c>
    </row>
    <row r="67" spans="1:3" x14ac:dyDescent="0.25">
      <c r="A67" s="12">
        <v>67</v>
      </c>
      <c r="B67" s="24" t="s">
        <v>196</v>
      </c>
      <c r="C67" t="str">
        <f t="shared" si="1"/>
        <v>union all  select item=67, shipno='1RA014732'</v>
      </c>
    </row>
    <row r="68" spans="1:3" x14ac:dyDescent="0.25">
      <c r="A68" s="12">
        <v>68</v>
      </c>
      <c r="B68" s="24" t="s">
        <v>197</v>
      </c>
      <c r="C68" t="str">
        <f t="shared" si="1"/>
        <v>union all  select item=68, shipno='1RA014143'</v>
      </c>
    </row>
    <row r="69" spans="1:3" x14ac:dyDescent="0.25">
      <c r="A69" s="12">
        <v>69</v>
      </c>
      <c r="B69" s="24" t="s">
        <v>198</v>
      </c>
      <c r="C69" t="str">
        <f t="shared" si="1"/>
        <v>union all  select item=69, shipno='1RA010414'</v>
      </c>
    </row>
    <row r="70" spans="1:3" x14ac:dyDescent="0.25">
      <c r="A70" s="12">
        <v>70</v>
      </c>
      <c r="B70" s="24" t="s">
        <v>199</v>
      </c>
      <c r="C70" t="str">
        <f t="shared" si="1"/>
        <v>union all  select item=70, shipno='1RA015339'</v>
      </c>
    </row>
    <row r="71" spans="1:3" x14ac:dyDescent="0.25">
      <c r="A71" s="12">
        <v>71</v>
      </c>
      <c r="B71" s="24" t="s">
        <v>200</v>
      </c>
      <c r="C71" t="str">
        <f t="shared" si="1"/>
        <v>union all  select item=71, shipno='1RA010856'</v>
      </c>
    </row>
    <row r="72" spans="1:3" x14ac:dyDescent="0.25">
      <c r="A72" s="12">
        <v>72</v>
      </c>
      <c r="B72" s="24" t="s">
        <v>201</v>
      </c>
      <c r="C72" t="str">
        <f t="shared" si="1"/>
        <v>union all  select item=72, shipno='1RA010953'</v>
      </c>
    </row>
    <row r="73" spans="1:3" x14ac:dyDescent="0.25">
      <c r="A73" s="12">
        <v>73</v>
      </c>
      <c r="B73" s="24" t="s">
        <v>202</v>
      </c>
      <c r="C73" t="str">
        <f t="shared" si="1"/>
        <v>union all  select item=73, shipno='1RA018543'</v>
      </c>
    </row>
    <row r="74" spans="1:3" x14ac:dyDescent="0.25">
      <c r="A74" s="12">
        <v>74</v>
      </c>
      <c r="B74" s="24" t="s">
        <v>203</v>
      </c>
      <c r="C74" t="str">
        <f t="shared" si="1"/>
        <v>union all  select item=74, shipno='1RA018498'</v>
      </c>
    </row>
    <row r="75" spans="1:3" x14ac:dyDescent="0.25">
      <c r="A75" s="12">
        <v>75</v>
      </c>
      <c r="B75" s="24" t="s">
        <v>204</v>
      </c>
      <c r="C75" t="str">
        <f t="shared" si="1"/>
        <v>union all  select item=75, shipno='1RA019026'</v>
      </c>
    </row>
    <row r="76" spans="1:3" x14ac:dyDescent="0.25">
      <c r="A76" s="12">
        <v>76</v>
      </c>
      <c r="B76" s="24" t="s">
        <v>205</v>
      </c>
      <c r="C76" t="str">
        <f t="shared" si="1"/>
        <v>union all  select item=76, shipno='1RA011651'</v>
      </c>
    </row>
    <row r="77" spans="1:3" x14ac:dyDescent="0.25">
      <c r="A77" s="12">
        <v>77</v>
      </c>
      <c r="B77" s="24" t="s">
        <v>206</v>
      </c>
      <c r="C77" t="str">
        <f t="shared" si="1"/>
        <v>union all  select item=77, shipno='1RA010494'</v>
      </c>
    </row>
    <row r="78" spans="1:3" x14ac:dyDescent="0.25">
      <c r="A78" s="12">
        <v>78</v>
      </c>
      <c r="B78" s="24" t="s">
        <v>207</v>
      </c>
      <c r="C78" t="str">
        <f t="shared" si="1"/>
        <v>union all  select item=78, shipno='1RA017768'</v>
      </c>
    </row>
    <row r="79" spans="1:3" x14ac:dyDescent="0.25">
      <c r="A79" s="12">
        <v>79</v>
      </c>
      <c r="B79" s="24" t="s">
        <v>208</v>
      </c>
      <c r="C79" t="str">
        <f t="shared" si="1"/>
        <v>union all  select item=79, shipno='1RA010729'</v>
      </c>
    </row>
    <row r="80" spans="1:3" x14ac:dyDescent="0.25">
      <c r="A80" s="12">
        <v>80</v>
      </c>
      <c r="B80" s="24" t="s">
        <v>209</v>
      </c>
      <c r="C80" t="str">
        <f t="shared" si="1"/>
        <v>union all  select item=80, shipno='1RA010735'</v>
      </c>
    </row>
    <row r="81" spans="1:3" x14ac:dyDescent="0.25">
      <c r="A81" s="12">
        <v>81</v>
      </c>
      <c r="B81" s="24" t="s">
        <v>210</v>
      </c>
      <c r="C81" t="str">
        <f t="shared" si="1"/>
        <v>union all  select item=81, shipno='1RA018544'</v>
      </c>
    </row>
    <row r="82" spans="1:3" x14ac:dyDescent="0.25">
      <c r="A82" s="12">
        <v>82</v>
      </c>
      <c r="B82" s="24" t="s">
        <v>211</v>
      </c>
      <c r="C82" t="str">
        <f t="shared" si="1"/>
        <v>union all  select item=82, shipno='1RA018499'</v>
      </c>
    </row>
    <row r="83" spans="1:3" x14ac:dyDescent="0.25">
      <c r="A83" s="12">
        <v>83</v>
      </c>
      <c r="B83" s="24" t="s">
        <v>212</v>
      </c>
      <c r="C83" t="str">
        <f t="shared" si="1"/>
        <v>union all  select item=83, shipno='1RA019027'</v>
      </c>
    </row>
    <row r="84" spans="1:3" x14ac:dyDescent="0.25">
      <c r="A84" s="12">
        <v>84</v>
      </c>
      <c r="B84" s="24" t="s">
        <v>213</v>
      </c>
      <c r="C84" t="str">
        <f t="shared" si="1"/>
        <v>union all  select item=84, shipno='1RA019766'</v>
      </c>
    </row>
    <row r="85" spans="1:3" x14ac:dyDescent="0.25">
      <c r="A85" s="12">
        <v>85</v>
      </c>
      <c r="B85" s="24" t="s">
        <v>214</v>
      </c>
      <c r="C85" t="str">
        <f t="shared" si="1"/>
        <v>union all  select item=85, shipno='1RA011652'</v>
      </c>
    </row>
    <row r="86" spans="1:3" x14ac:dyDescent="0.25">
      <c r="A86" s="12">
        <v>86</v>
      </c>
      <c r="B86" s="24" t="s">
        <v>215</v>
      </c>
      <c r="C86" t="str">
        <f t="shared" si="1"/>
        <v>union all  select item=86, shipno='1RA010951'</v>
      </c>
    </row>
    <row r="87" spans="1:3" x14ac:dyDescent="0.25">
      <c r="A87" s="12">
        <v>87</v>
      </c>
      <c r="B87" s="24" t="s">
        <v>216</v>
      </c>
      <c r="C87" t="str">
        <f t="shared" si="1"/>
        <v>union all  select item=87, shipno='1RA010957'</v>
      </c>
    </row>
    <row r="88" spans="1:3" x14ac:dyDescent="0.25">
      <c r="A88" s="12">
        <v>88</v>
      </c>
      <c r="B88" s="24" t="s">
        <v>217</v>
      </c>
      <c r="C88" t="str">
        <f t="shared" si="1"/>
        <v>union all  select item=88, shipno='1RA017769'</v>
      </c>
    </row>
    <row r="89" spans="1:3" x14ac:dyDescent="0.25">
      <c r="A89" s="12">
        <v>89</v>
      </c>
      <c r="B89" s="24" t="s">
        <v>218</v>
      </c>
      <c r="C89" t="str">
        <f t="shared" si="1"/>
        <v>union all  select item=89, shipno='1RA010736'</v>
      </c>
    </row>
    <row r="90" spans="1:3" x14ac:dyDescent="0.25">
      <c r="A90" s="12">
        <v>90</v>
      </c>
      <c r="B90" s="24" t="s">
        <v>219</v>
      </c>
      <c r="C90" t="str">
        <f t="shared" si="1"/>
        <v>union all  select item=90, shipno='1RA010569'</v>
      </c>
    </row>
    <row r="91" spans="1:3" x14ac:dyDescent="0.25">
      <c r="A91" s="12">
        <v>91</v>
      </c>
      <c r="B91" s="24" t="s">
        <v>220</v>
      </c>
      <c r="C91" t="str">
        <f t="shared" si="1"/>
        <v>union all  select item=91, shipno='1RA018538'</v>
      </c>
    </row>
    <row r="92" spans="1:3" x14ac:dyDescent="0.25">
      <c r="A92" s="12">
        <v>92</v>
      </c>
      <c r="B92" s="24" t="s">
        <v>221</v>
      </c>
      <c r="C92" t="str">
        <f t="shared" si="1"/>
        <v>union all  select item=92, shipno='1RA012603'</v>
      </c>
    </row>
    <row r="93" spans="1:3" x14ac:dyDescent="0.25">
      <c r="A93" s="12">
        <v>93</v>
      </c>
      <c r="B93" s="24" t="s">
        <v>222</v>
      </c>
      <c r="C93" t="str">
        <f t="shared" si="1"/>
        <v>union all  select item=93, shipno='1RA014733'</v>
      </c>
    </row>
    <row r="94" spans="1:3" x14ac:dyDescent="0.25">
      <c r="A94" s="12">
        <v>94</v>
      </c>
      <c r="B94" s="24" t="s">
        <v>223</v>
      </c>
      <c r="C94" t="str">
        <f t="shared" si="1"/>
        <v>union all  select item=94, shipno='1RA010415'</v>
      </c>
    </row>
    <row r="95" spans="1:3" x14ac:dyDescent="0.25">
      <c r="A95" s="12">
        <v>95</v>
      </c>
      <c r="B95" s="24" t="s">
        <v>224</v>
      </c>
      <c r="C95" t="str">
        <f t="shared" si="1"/>
        <v>union all  select item=95, shipno='1RA011014'</v>
      </c>
    </row>
    <row r="96" spans="1:3" x14ac:dyDescent="0.25">
      <c r="A96" s="12">
        <v>96</v>
      </c>
      <c r="B96" s="24" t="s">
        <v>225</v>
      </c>
      <c r="C96" t="str">
        <f t="shared" si="1"/>
        <v>union all  select item=96, shipno='1RA019028'</v>
      </c>
    </row>
    <row r="97" spans="1:3" x14ac:dyDescent="0.25">
      <c r="A97" s="12">
        <v>97</v>
      </c>
      <c r="B97" s="24" t="s">
        <v>226</v>
      </c>
      <c r="C97" t="str">
        <f t="shared" si="1"/>
        <v>union all  select item=97, shipno='1RA017845'</v>
      </c>
    </row>
    <row r="98" spans="1:3" x14ac:dyDescent="0.25">
      <c r="A98" s="12">
        <v>98</v>
      </c>
      <c r="B98" s="24" t="s">
        <v>227</v>
      </c>
      <c r="C98" t="str">
        <f t="shared" si="1"/>
        <v>union all  select item=98, shipno='1RA010854'</v>
      </c>
    </row>
    <row r="99" spans="1:3" x14ac:dyDescent="0.25">
      <c r="A99" s="12">
        <v>99</v>
      </c>
      <c r="B99" s="24" t="s">
        <v>228</v>
      </c>
      <c r="C99" t="str">
        <f t="shared" si="1"/>
        <v>union all  select item=99, shipno='1RA010954'</v>
      </c>
    </row>
    <row r="100" spans="1:3" x14ac:dyDescent="0.25">
      <c r="A100" s="12">
        <v>100</v>
      </c>
      <c r="B100" s="24" t="s">
        <v>229</v>
      </c>
      <c r="C100" t="str">
        <f t="shared" si="1"/>
        <v>union all  select item=100, shipno='1RA010552'</v>
      </c>
    </row>
    <row r="101" spans="1:3" x14ac:dyDescent="0.25">
      <c r="A101" s="12">
        <v>101</v>
      </c>
      <c r="B101" s="24" t="s">
        <v>230</v>
      </c>
      <c r="C101" t="str">
        <f t="shared" si="1"/>
        <v>union all  select item=101, shipno='1RA010570'</v>
      </c>
    </row>
    <row r="102" spans="1:3" x14ac:dyDescent="0.25">
      <c r="A102" s="12">
        <v>102</v>
      </c>
      <c r="B102" s="24" t="s">
        <v>231</v>
      </c>
      <c r="C102" t="str">
        <f t="shared" si="1"/>
        <v>union all  select item=102, shipno='1RA013853'</v>
      </c>
    </row>
    <row r="103" spans="1:3" x14ac:dyDescent="0.25">
      <c r="A103" s="12">
        <v>103</v>
      </c>
      <c r="B103" s="24" t="s">
        <v>232</v>
      </c>
      <c r="C103" t="str">
        <f t="shared" si="1"/>
        <v>union all  select item=103, shipno='1RA014734'</v>
      </c>
    </row>
    <row r="104" spans="1:3" x14ac:dyDescent="0.25">
      <c r="A104" s="12">
        <v>104</v>
      </c>
      <c r="B104" s="24" t="s">
        <v>233</v>
      </c>
      <c r="C104" t="str">
        <f t="shared" si="1"/>
        <v>union all  select item=104, shipno='1RA019733'</v>
      </c>
    </row>
    <row r="105" spans="1:3" x14ac:dyDescent="0.25">
      <c r="A105" s="12">
        <v>105</v>
      </c>
      <c r="B105" s="24" t="s">
        <v>234</v>
      </c>
      <c r="C105" t="str">
        <f t="shared" si="1"/>
        <v>union all  select item=105, shipno='1RA015340'</v>
      </c>
    </row>
    <row r="106" spans="1:3" x14ac:dyDescent="0.25">
      <c r="A106" s="12">
        <v>106</v>
      </c>
      <c r="B106" s="24" t="s">
        <v>235</v>
      </c>
      <c r="C106" t="str">
        <f t="shared" si="1"/>
        <v>union all  select item=106, shipno='1RA010855'</v>
      </c>
    </row>
    <row r="107" spans="1:3" x14ac:dyDescent="0.25">
      <c r="A107" s="12">
        <v>107</v>
      </c>
      <c r="B107" s="24" t="s">
        <v>236</v>
      </c>
      <c r="C107" t="str">
        <f t="shared" si="1"/>
        <v>union all  select item=107, shipno='1RA011814'</v>
      </c>
    </row>
    <row r="108" spans="1:3" x14ac:dyDescent="0.25">
      <c r="A108" s="12">
        <v>108</v>
      </c>
      <c r="B108" s="24" t="s">
        <v>237</v>
      </c>
      <c r="C108" t="str">
        <f t="shared" si="1"/>
        <v>union all  select item=108, shipno='1RA010730'</v>
      </c>
    </row>
    <row r="109" spans="1:3" x14ac:dyDescent="0.25">
      <c r="A109" s="12">
        <v>109</v>
      </c>
      <c r="B109" s="24" t="s">
        <v>238</v>
      </c>
      <c r="C109" t="str">
        <f t="shared" si="1"/>
        <v>union all  select item=109, shipno='1RA010553'</v>
      </c>
    </row>
    <row r="110" spans="1:3" x14ac:dyDescent="0.25">
      <c r="A110" s="12">
        <v>111</v>
      </c>
      <c r="B110" s="24" t="s">
        <v>239</v>
      </c>
      <c r="C110" t="str">
        <f t="shared" si="1"/>
        <v>union all  select item=111, shipno='1RA019172'</v>
      </c>
    </row>
    <row r="111" spans="1:3" x14ac:dyDescent="0.25">
      <c r="A111" s="12">
        <v>112</v>
      </c>
      <c r="B111" s="24" t="s">
        <v>240</v>
      </c>
      <c r="C111" t="str">
        <f t="shared" si="1"/>
        <v>union all  select item=112, shipno='1RA012763'</v>
      </c>
    </row>
    <row r="112" spans="1:3" x14ac:dyDescent="0.25">
      <c r="A112" s="12">
        <v>113</v>
      </c>
      <c r="B112" s="24" t="s">
        <v>241</v>
      </c>
      <c r="C112" t="str">
        <f t="shared" si="1"/>
        <v>union all  select item=113, shipno='1RA010549'</v>
      </c>
    </row>
    <row r="113" spans="1:3" x14ac:dyDescent="0.25">
      <c r="A113" s="12">
        <v>114</v>
      </c>
      <c r="B113" s="24" t="s">
        <v>242</v>
      </c>
      <c r="C113" t="str">
        <f t="shared" si="1"/>
        <v>union all  select item=114, shipno='1RA013896'</v>
      </c>
    </row>
    <row r="114" spans="1:3" x14ac:dyDescent="0.25">
      <c r="A114" s="12">
        <v>115</v>
      </c>
      <c r="B114" s="24" t="s">
        <v>243</v>
      </c>
      <c r="C114" t="str">
        <f t="shared" si="1"/>
        <v>union all  select item=115, shipno='1RA018533'</v>
      </c>
    </row>
    <row r="115" spans="1:3" x14ac:dyDescent="0.25">
      <c r="A115" s="12">
        <v>116</v>
      </c>
      <c r="B115" s="24" t="s">
        <v>244</v>
      </c>
      <c r="C115" t="str">
        <f t="shared" si="1"/>
        <v>union all  select item=116, shipno='1RA018492'</v>
      </c>
    </row>
    <row r="116" spans="1:3" x14ac:dyDescent="0.25">
      <c r="A116" s="12">
        <v>117</v>
      </c>
      <c r="B116" s="24" t="s">
        <v>245</v>
      </c>
      <c r="C116" t="str">
        <f t="shared" si="1"/>
        <v>union all  select item=117, shipno='1RA013849'</v>
      </c>
    </row>
    <row r="117" spans="1:3" x14ac:dyDescent="0.25">
      <c r="A117" s="12">
        <v>118</v>
      </c>
      <c r="B117" s="24" t="s">
        <v>246</v>
      </c>
      <c r="C117" t="str">
        <f t="shared" si="1"/>
        <v>union all  select item=118, shipno='1RA012764'</v>
      </c>
    </row>
    <row r="118" spans="1:3" x14ac:dyDescent="0.25">
      <c r="A118" s="12">
        <v>119</v>
      </c>
      <c r="B118" s="24" t="s">
        <v>247</v>
      </c>
      <c r="C118" t="str">
        <f t="shared" si="1"/>
        <v>union all  select item=119, shipno='1RA018534'</v>
      </c>
    </row>
    <row r="119" spans="1:3" x14ac:dyDescent="0.25">
      <c r="A119" s="12">
        <v>120</v>
      </c>
      <c r="B119" s="24" t="s">
        <v>248</v>
      </c>
      <c r="C119" t="str">
        <f t="shared" si="1"/>
        <v>union all  select item=120, shipno='1RA012598'</v>
      </c>
    </row>
    <row r="120" spans="1:3" x14ac:dyDescent="0.25">
      <c r="A120" s="12">
        <v>121</v>
      </c>
      <c r="B120" s="24" t="s">
        <v>249</v>
      </c>
      <c r="C120" t="str">
        <f t="shared" si="1"/>
        <v>union all  select item=121, shipno='1RA019203'</v>
      </c>
    </row>
    <row r="121" spans="1:3" x14ac:dyDescent="0.25">
      <c r="A121" s="12">
        <v>122</v>
      </c>
      <c r="B121" s="24" t="s">
        <v>250</v>
      </c>
      <c r="C121" t="str">
        <f t="shared" ref="C121:C179" si="2">"union all  select item=" &amp; A121 &amp; ", shipno='" &amp; B121 &amp; "'"</f>
        <v>union all  select item=122, shipno='1RA018493'</v>
      </c>
    </row>
    <row r="122" spans="1:3" x14ac:dyDescent="0.25">
      <c r="A122" s="12">
        <v>123</v>
      </c>
      <c r="B122" s="24" t="s">
        <v>251</v>
      </c>
      <c r="C122" t="str">
        <f t="shared" si="2"/>
        <v>union all  select item=123, shipno='1RA013850'</v>
      </c>
    </row>
    <row r="123" spans="1:3" x14ac:dyDescent="0.25">
      <c r="A123" s="12">
        <v>124</v>
      </c>
      <c r="B123" s="24" t="s">
        <v>252</v>
      </c>
      <c r="C123" t="str">
        <f t="shared" si="2"/>
        <v>union all  select item=124, shipno='1RA012765'</v>
      </c>
    </row>
    <row r="124" spans="1:3" x14ac:dyDescent="0.25">
      <c r="A124" s="12">
        <v>125</v>
      </c>
      <c r="B124" s="24" t="s">
        <v>253</v>
      </c>
      <c r="C124" t="str">
        <f t="shared" si="2"/>
        <v>union all  select item=125, shipno='1RA018494'</v>
      </c>
    </row>
    <row r="125" spans="1:3" x14ac:dyDescent="0.25">
      <c r="A125" s="12">
        <v>126</v>
      </c>
      <c r="B125" s="24" t="s">
        <v>254</v>
      </c>
      <c r="C125" t="str">
        <f t="shared" si="2"/>
        <v>union all  select item=126, shipno='1RA012766'</v>
      </c>
    </row>
    <row r="126" spans="1:3" x14ac:dyDescent="0.25">
      <c r="A126" s="12">
        <v>127</v>
      </c>
      <c r="B126" s="24" t="s">
        <v>255</v>
      </c>
      <c r="C126" t="str">
        <f t="shared" si="2"/>
        <v>union all  select item=127, shipno='1RA013897'</v>
      </c>
    </row>
    <row r="127" spans="1:3" x14ac:dyDescent="0.25">
      <c r="A127" s="12">
        <v>129</v>
      </c>
      <c r="B127" s="24" t="s">
        <v>256</v>
      </c>
      <c r="C127" t="str">
        <f t="shared" si="2"/>
        <v>union all  select item=129, shipno='1RA071243'</v>
      </c>
    </row>
    <row r="128" spans="1:3" x14ac:dyDescent="0.25">
      <c r="A128" s="12">
        <v>131</v>
      </c>
      <c r="B128" s="24" t="s">
        <v>257</v>
      </c>
      <c r="C128" t="str">
        <f t="shared" si="2"/>
        <v>union all  select item=131, shipno='1RA010550'</v>
      </c>
    </row>
    <row r="129" spans="1:3" x14ac:dyDescent="0.25">
      <c r="A129" s="12">
        <v>132</v>
      </c>
      <c r="B129" s="24" t="s">
        <v>258</v>
      </c>
      <c r="C129" t="str">
        <f t="shared" si="2"/>
        <v>union all  select item=132, shipno='1RA014140'</v>
      </c>
    </row>
    <row r="130" spans="1:3" x14ac:dyDescent="0.25">
      <c r="A130" s="12">
        <v>133</v>
      </c>
      <c r="B130" s="24" t="s">
        <v>259</v>
      </c>
      <c r="C130" t="str">
        <f t="shared" si="2"/>
        <v>union all  select item=133, shipno='1RA018535'</v>
      </c>
    </row>
    <row r="131" spans="1:3" x14ac:dyDescent="0.25">
      <c r="A131" s="12">
        <v>135</v>
      </c>
      <c r="B131" s="24" t="s">
        <v>260</v>
      </c>
      <c r="C131" t="str">
        <f t="shared" si="2"/>
        <v>union all  select item=135, shipno='1RA103655'</v>
      </c>
    </row>
    <row r="132" spans="1:3" x14ac:dyDescent="0.25">
      <c r="A132" s="12">
        <v>136</v>
      </c>
      <c r="B132" s="24" t="s">
        <v>261</v>
      </c>
      <c r="C132" t="str">
        <f t="shared" si="2"/>
        <v>union all  select item=136, shipno='1RA065334'</v>
      </c>
    </row>
    <row r="133" spans="1:3" x14ac:dyDescent="0.25">
      <c r="A133" s="12">
        <v>137</v>
      </c>
      <c r="B133" s="24" t="s">
        <v>262</v>
      </c>
      <c r="C133" t="str">
        <f t="shared" si="2"/>
        <v>union all  select item=137, shipno='1RA010420'</v>
      </c>
    </row>
    <row r="134" spans="1:3" x14ac:dyDescent="0.25">
      <c r="A134" s="12">
        <v>138</v>
      </c>
      <c r="B134" s="24" t="s">
        <v>263</v>
      </c>
      <c r="C134" t="str">
        <f t="shared" si="2"/>
        <v>union all  select item=138, shipno='1RA065305'</v>
      </c>
    </row>
    <row r="135" spans="1:3" x14ac:dyDescent="0.25">
      <c r="A135" s="12">
        <v>140</v>
      </c>
      <c r="B135" s="24" t="s">
        <v>264</v>
      </c>
      <c r="C135" t="str">
        <f t="shared" si="2"/>
        <v>union all  select item=140, shipno='1RA019173'</v>
      </c>
    </row>
    <row r="136" spans="1:3" x14ac:dyDescent="0.25">
      <c r="A136" s="12">
        <v>142</v>
      </c>
      <c r="B136" s="24" t="s">
        <v>265</v>
      </c>
      <c r="C136" t="str">
        <f t="shared" si="2"/>
        <v>union all  select item=142, shipno='1RA019174'</v>
      </c>
    </row>
    <row r="137" spans="1:3" x14ac:dyDescent="0.25">
      <c r="A137" s="12">
        <v>143</v>
      </c>
      <c r="B137" s="24" t="s">
        <v>266</v>
      </c>
      <c r="C137" t="str">
        <f t="shared" si="2"/>
        <v>union all  select item=143, shipno='1RA014141'</v>
      </c>
    </row>
    <row r="138" spans="1:3" x14ac:dyDescent="0.25">
      <c r="A138" s="12">
        <v>144</v>
      </c>
      <c r="B138" s="24" t="s">
        <v>267</v>
      </c>
      <c r="C138" t="str">
        <f t="shared" si="2"/>
        <v>union all  select item=144, shipno='1RA010421'</v>
      </c>
    </row>
    <row r="139" spans="1:3" x14ac:dyDescent="0.25">
      <c r="A139" s="12">
        <v>145</v>
      </c>
      <c r="B139" s="24" t="s">
        <v>268</v>
      </c>
      <c r="C139" t="str">
        <f t="shared" si="2"/>
        <v>union all  select item=145, shipno=''</v>
      </c>
    </row>
    <row r="140" spans="1:3" x14ac:dyDescent="0.25">
      <c r="A140" s="12">
        <v>146</v>
      </c>
      <c r="C140" t="str">
        <f t="shared" si="2"/>
        <v>union all  select item=146, shipno=''</v>
      </c>
    </row>
    <row r="141" spans="1:3" x14ac:dyDescent="0.25">
      <c r="A141" s="12">
        <v>147</v>
      </c>
      <c r="C141" t="str">
        <f t="shared" si="2"/>
        <v>union all  select item=147, shipno=''</v>
      </c>
    </row>
    <row r="142" spans="1:3" x14ac:dyDescent="0.25">
      <c r="A142" s="12">
        <v>148</v>
      </c>
      <c r="C142" t="str">
        <f t="shared" si="2"/>
        <v>union all  select item=148, shipno=''</v>
      </c>
    </row>
    <row r="143" spans="1:3" x14ac:dyDescent="0.25">
      <c r="A143" s="12">
        <v>149</v>
      </c>
      <c r="C143" t="str">
        <f t="shared" si="2"/>
        <v>union all  select item=149, shipno=''</v>
      </c>
    </row>
    <row r="144" spans="1:3" x14ac:dyDescent="0.25">
      <c r="A144" s="12">
        <v>150</v>
      </c>
      <c r="C144" t="str">
        <f t="shared" si="2"/>
        <v>union all  select item=150, shipno=''</v>
      </c>
    </row>
    <row r="145" spans="1:3" x14ac:dyDescent="0.25">
      <c r="A145" s="12">
        <v>151</v>
      </c>
      <c r="C145" t="str">
        <f t="shared" si="2"/>
        <v>union all  select item=151, shipno=''</v>
      </c>
    </row>
    <row r="146" spans="1:3" x14ac:dyDescent="0.25">
      <c r="A146" s="12">
        <v>152</v>
      </c>
      <c r="C146" t="str">
        <f t="shared" si="2"/>
        <v>union all  select item=152, shipno=''</v>
      </c>
    </row>
    <row r="147" spans="1:3" x14ac:dyDescent="0.25">
      <c r="A147" s="12">
        <v>153</v>
      </c>
      <c r="C147" t="str">
        <f t="shared" si="2"/>
        <v>union all  select item=153, shipno=''</v>
      </c>
    </row>
    <row r="148" spans="1:3" x14ac:dyDescent="0.25">
      <c r="A148" s="12">
        <v>154</v>
      </c>
      <c r="C148" t="str">
        <f t="shared" si="2"/>
        <v>union all  select item=154, shipno=''</v>
      </c>
    </row>
    <row r="149" spans="1:3" x14ac:dyDescent="0.25">
      <c r="A149" s="12">
        <v>155</v>
      </c>
      <c r="C149" t="str">
        <f t="shared" si="2"/>
        <v>union all  select item=155, shipno=''</v>
      </c>
    </row>
    <row r="150" spans="1:3" x14ac:dyDescent="0.25">
      <c r="A150" s="12">
        <v>156</v>
      </c>
      <c r="C150" t="str">
        <f t="shared" si="2"/>
        <v>union all  select item=156, shipno=''</v>
      </c>
    </row>
    <row r="151" spans="1:3" x14ac:dyDescent="0.25">
      <c r="A151" s="12">
        <v>157</v>
      </c>
      <c r="C151" t="str">
        <f t="shared" si="2"/>
        <v>union all  select item=157, shipno=''</v>
      </c>
    </row>
    <row r="152" spans="1:3" x14ac:dyDescent="0.25">
      <c r="A152" s="12">
        <v>158</v>
      </c>
      <c r="C152" t="str">
        <f t="shared" si="2"/>
        <v>union all  select item=158, shipno=''</v>
      </c>
    </row>
    <row r="153" spans="1:3" x14ac:dyDescent="0.25">
      <c r="A153" s="12">
        <v>159</v>
      </c>
      <c r="C153" t="str">
        <f t="shared" si="2"/>
        <v>union all  select item=159, shipno=''</v>
      </c>
    </row>
    <row r="154" spans="1:3" x14ac:dyDescent="0.25">
      <c r="A154" s="12">
        <v>160</v>
      </c>
      <c r="C154" t="str">
        <f t="shared" si="2"/>
        <v>union all  select item=160, shipno=''</v>
      </c>
    </row>
    <row r="155" spans="1:3" x14ac:dyDescent="0.25">
      <c r="A155" s="12">
        <v>161</v>
      </c>
      <c r="C155" t="str">
        <f t="shared" si="2"/>
        <v>union all  select item=161, shipno=''</v>
      </c>
    </row>
    <row r="156" spans="1:3" x14ac:dyDescent="0.25">
      <c r="A156" s="12">
        <v>162</v>
      </c>
      <c r="C156" t="str">
        <f t="shared" si="2"/>
        <v>union all  select item=162, shipno=''</v>
      </c>
    </row>
    <row r="157" spans="1:3" x14ac:dyDescent="0.25">
      <c r="A157" s="12">
        <v>163</v>
      </c>
      <c r="C157" t="str">
        <f t="shared" si="2"/>
        <v>union all  select item=163, shipno=''</v>
      </c>
    </row>
    <row r="158" spans="1:3" x14ac:dyDescent="0.25">
      <c r="A158" s="12">
        <v>164</v>
      </c>
      <c r="C158" t="str">
        <f t="shared" si="2"/>
        <v>union all  select item=164, shipno=''</v>
      </c>
    </row>
    <row r="159" spans="1:3" x14ac:dyDescent="0.25">
      <c r="A159" s="12">
        <v>165</v>
      </c>
      <c r="C159" t="str">
        <f t="shared" si="2"/>
        <v>union all  select item=165, shipno=''</v>
      </c>
    </row>
    <row r="160" spans="1:3" x14ac:dyDescent="0.25">
      <c r="A160" s="12">
        <v>166</v>
      </c>
      <c r="C160" t="str">
        <f t="shared" si="2"/>
        <v>union all  select item=166, shipno=''</v>
      </c>
    </row>
    <row r="161" spans="1:3" x14ac:dyDescent="0.25">
      <c r="A161" s="12">
        <v>167</v>
      </c>
      <c r="C161" t="str">
        <f t="shared" si="2"/>
        <v>union all  select item=167, shipno=''</v>
      </c>
    </row>
    <row r="162" spans="1:3" x14ac:dyDescent="0.25">
      <c r="A162" s="12">
        <v>168</v>
      </c>
      <c r="C162" t="str">
        <f t="shared" si="2"/>
        <v>union all  select item=168, shipno=''</v>
      </c>
    </row>
    <row r="163" spans="1:3" x14ac:dyDescent="0.25">
      <c r="A163" s="12">
        <v>169</v>
      </c>
      <c r="C163" t="str">
        <f t="shared" si="2"/>
        <v>union all  select item=169, shipno=''</v>
      </c>
    </row>
    <row r="164" spans="1:3" x14ac:dyDescent="0.25">
      <c r="A164" s="12">
        <v>170</v>
      </c>
      <c r="C164" t="str">
        <f t="shared" si="2"/>
        <v>union all  select item=170, shipno=''</v>
      </c>
    </row>
    <row r="165" spans="1:3" x14ac:dyDescent="0.25">
      <c r="A165" s="12">
        <v>171</v>
      </c>
      <c r="C165" t="str">
        <f t="shared" si="2"/>
        <v>union all  select item=171, shipno=''</v>
      </c>
    </row>
    <row r="166" spans="1:3" x14ac:dyDescent="0.25">
      <c r="A166" s="12">
        <v>172</v>
      </c>
      <c r="C166" t="str">
        <f t="shared" si="2"/>
        <v>union all  select item=172, shipno=''</v>
      </c>
    </row>
    <row r="167" spans="1:3" x14ac:dyDescent="0.25">
      <c r="A167" s="12">
        <v>173</v>
      </c>
      <c r="C167" t="str">
        <f t="shared" si="2"/>
        <v>union all  select item=173, shipno=''</v>
      </c>
    </row>
    <row r="168" spans="1:3" x14ac:dyDescent="0.25">
      <c r="A168" s="12">
        <v>174</v>
      </c>
      <c r="C168" t="str">
        <f t="shared" si="2"/>
        <v>union all  select item=174, shipno=''</v>
      </c>
    </row>
    <row r="169" spans="1:3" x14ac:dyDescent="0.25">
      <c r="A169" s="12">
        <v>175</v>
      </c>
      <c r="C169" t="str">
        <f t="shared" si="2"/>
        <v>union all  select item=175, shipno=''</v>
      </c>
    </row>
    <row r="170" spans="1:3" x14ac:dyDescent="0.25">
      <c r="A170" s="12">
        <v>176</v>
      </c>
      <c r="C170" t="str">
        <f t="shared" si="2"/>
        <v>union all  select item=176, shipno=''</v>
      </c>
    </row>
    <row r="171" spans="1:3" x14ac:dyDescent="0.25">
      <c r="A171" s="12">
        <v>177</v>
      </c>
      <c r="C171" t="str">
        <f t="shared" si="2"/>
        <v>union all  select item=177, shipno=''</v>
      </c>
    </row>
    <row r="172" spans="1:3" x14ac:dyDescent="0.25">
      <c r="A172" s="12">
        <v>178</v>
      </c>
      <c r="C172" t="str">
        <f t="shared" si="2"/>
        <v>union all  select item=178, shipno=''</v>
      </c>
    </row>
    <row r="173" spans="1:3" x14ac:dyDescent="0.25">
      <c r="A173" s="12">
        <v>179</v>
      </c>
      <c r="C173" t="str">
        <f t="shared" si="2"/>
        <v>union all  select item=179, shipno=''</v>
      </c>
    </row>
    <row r="174" spans="1:3" x14ac:dyDescent="0.25">
      <c r="A174" s="12">
        <v>180</v>
      </c>
      <c r="C174" t="str">
        <f t="shared" si="2"/>
        <v>union all  select item=180, shipno=''</v>
      </c>
    </row>
    <row r="175" spans="1:3" x14ac:dyDescent="0.25">
      <c r="A175" s="12">
        <v>181</v>
      </c>
      <c r="C175" t="str">
        <f t="shared" si="2"/>
        <v>union all  select item=181, shipno=''</v>
      </c>
    </row>
    <row r="176" spans="1:3" x14ac:dyDescent="0.25">
      <c r="A176" s="12">
        <v>182</v>
      </c>
      <c r="C176" t="str">
        <f t="shared" si="2"/>
        <v>union all  select item=182, shipno=''</v>
      </c>
    </row>
    <row r="177" spans="1:3" x14ac:dyDescent="0.25">
      <c r="A177" s="12">
        <v>183</v>
      </c>
      <c r="C177" t="str">
        <f t="shared" si="2"/>
        <v>union all  select item=183, shipno=''</v>
      </c>
    </row>
    <row r="178" spans="1:3" x14ac:dyDescent="0.25">
      <c r="A178" s="12">
        <v>184</v>
      </c>
      <c r="C178" t="str">
        <f t="shared" si="2"/>
        <v>union all  select item=184, shipno=''</v>
      </c>
    </row>
    <row r="179" spans="1:3" x14ac:dyDescent="0.25">
      <c r="A179" s="12">
        <v>185</v>
      </c>
      <c r="C179" t="str">
        <f t="shared" si="2"/>
        <v>union all  select item=185, shipno=''</v>
      </c>
    </row>
    <row r="180" spans="1:3" x14ac:dyDescent="0.25">
      <c r="A180" s="12">
        <v>186</v>
      </c>
      <c r="C180" t="str">
        <f t="shared" ref="C180:C243" si="3">"union all  select item=" &amp; A180 &amp; ", shipno='" &amp; B180 &amp; "'"</f>
        <v>union all  select item=186, shipno=''</v>
      </c>
    </row>
    <row r="181" spans="1:3" x14ac:dyDescent="0.25">
      <c r="A181" s="12">
        <v>187</v>
      </c>
      <c r="C181" t="str">
        <f t="shared" si="3"/>
        <v>union all  select item=187, shipno=''</v>
      </c>
    </row>
    <row r="182" spans="1:3" x14ac:dyDescent="0.25">
      <c r="A182" s="12">
        <v>188</v>
      </c>
      <c r="C182" t="str">
        <f t="shared" si="3"/>
        <v>union all  select item=188, shipno=''</v>
      </c>
    </row>
    <row r="183" spans="1:3" x14ac:dyDescent="0.25">
      <c r="A183" s="12">
        <v>189</v>
      </c>
      <c r="C183" t="str">
        <f t="shared" si="3"/>
        <v>union all  select item=189, shipno=''</v>
      </c>
    </row>
    <row r="184" spans="1:3" x14ac:dyDescent="0.25">
      <c r="A184" s="12">
        <v>190</v>
      </c>
      <c r="C184" t="str">
        <f t="shared" si="3"/>
        <v>union all  select item=190, shipno=''</v>
      </c>
    </row>
    <row r="185" spans="1:3" x14ac:dyDescent="0.25">
      <c r="A185" s="12">
        <v>191</v>
      </c>
      <c r="C185" t="str">
        <f t="shared" si="3"/>
        <v>union all  select item=191, shipno=''</v>
      </c>
    </row>
    <row r="186" spans="1:3" x14ac:dyDescent="0.25">
      <c r="A186" s="12">
        <v>192</v>
      </c>
      <c r="C186" t="str">
        <f t="shared" si="3"/>
        <v>union all  select item=192, shipno=''</v>
      </c>
    </row>
    <row r="187" spans="1:3" x14ac:dyDescent="0.25">
      <c r="A187" s="12">
        <v>193</v>
      </c>
      <c r="C187" t="str">
        <f t="shared" si="3"/>
        <v>union all  select item=193, shipno=''</v>
      </c>
    </row>
    <row r="188" spans="1:3" x14ac:dyDescent="0.25">
      <c r="A188" s="12">
        <v>194</v>
      </c>
      <c r="C188" t="str">
        <f t="shared" si="3"/>
        <v>union all  select item=194, shipno=''</v>
      </c>
    </row>
    <row r="189" spans="1:3" x14ac:dyDescent="0.25">
      <c r="A189" s="12">
        <v>195</v>
      </c>
      <c r="C189" t="str">
        <f t="shared" si="3"/>
        <v>union all  select item=195, shipno=''</v>
      </c>
    </row>
    <row r="190" spans="1:3" x14ac:dyDescent="0.25">
      <c r="A190" s="12">
        <v>196</v>
      </c>
      <c r="C190" t="str">
        <f t="shared" si="3"/>
        <v>union all  select item=196, shipno=''</v>
      </c>
    </row>
    <row r="191" spans="1:3" x14ac:dyDescent="0.25">
      <c r="A191" s="12">
        <v>197</v>
      </c>
      <c r="C191" t="str">
        <f t="shared" si="3"/>
        <v>union all  select item=197, shipno=''</v>
      </c>
    </row>
    <row r="192" spans="1:3" x14ac:dyDescent="0.25">
      <c r="A192" s="12">
        <v>198</v>
      </c>
      <c r="C192" t="str">
        <f t="shared" si="3"/>
        <v>union all  select item=198, shipno=''</v>
      </c>
    </row>
    <row r="193" spans="1:3" x14ac:dyDescent="0.25">
      <c r="A193" s="12">
        <v>199</v>
      </c>
      <c r="C193" t="str">
        <f t="shared" si="3"/>
        <v>union all  select item=199, shipno=''</v>
      </c>
    </row>
    <row r="194" spans="1:3" x14ac:dyDescent="0.25">
      <c r="A194" s="12">
        <v>200</v>
      </c>
      <c r="C194" t="str">
        <f t="shared" si="3"/>
        <v>union all  select item=200, shipno=''</v>
      </c>
    </row>
    <row r="195" spans="1:3" x14ac:dyDescent="0.25">
      <c r="A195" s="12">
        <v>201</v>
      </c>
      <c r="C195" t="str">
        <f t="shared" si="3"/>
        <v>union all  select item=201, shipno=''</v>
      </c>
    </row>
    <row r="196" spans="1:3" x14ac:dyDescent="0.25">
      <c r="A196" s="12">
        <v>202</v>
      </c>
      <c r="C196" t="str">
        <f t="shared" si="3"/>
        <v>union all  select item=202, shipno=''</v>
      </c>
    </row>
    <row r="197" spans="1:3" x14ac:dyDescent="0.25">
      <c r="A197" s="12">
        <v>203</v>
      </c>
      <c r="C197" t="str">
        <f t="shared" si="3"/>
        <v>union all  select item=203, shipno=''</v>
      </c>
    </row>
    <row r="198" spans="1:3" x14ac:dyDescent="0.25">
      <c r="A198" s="12">
        <v>204</v>
      </c>
      <c r="C198" t="str">
        <f t="shared" si="3"/>
        <v>union all  select item=204, shipno=''</v>
      </c>
    </row>
    <row r="199" spans="1:3" x14ac:dyDescent="0.25">
      <c r="A199" s="12">
        <v>205</v>
      </c>
      <c r="C199" t="str">
        <f t="shared" si="3"/>
        <v>union all  select item=205, shipno=''</v>
      </c>
    </row>
    <row r="200" spans="1:3" x14ac:dyDescent="0.25">
      <c r="A200" s="12">
        <v>206</v>
      </c>
      <c r="C200" t="str">
        <f t="shared" si="3"/>
        <v>union all  select item=206, shipno=''</v>
      </c>
    </row>
    <row r="201" spans="1:3" x14ac:dyDescent="0.25">
      <c r="A201" s="12">
        <v>207</v>
      </c>
      <c r="C201" t="str">
        <f t="shared" si="3"/>
        <v>union all  select item=207, shipno=''</v>
      </c>
    </row>
    <row r="202" spans="1:3" x14ac:dyDescent="0.25">
      <c r="A202" s="12">
        <v>208</v>
      </c>
      <c r="C202" t="str">
        <f t="shared" si="3"/>
        <v>union all  select item=208, shipno=''</v>
      </c>
    </row>
    <row r="203" spans="1:3" x14ac:dyDescent="0.25">
      <c r="A203" s="12">
        <v>209</v>
      </c>
      <c r="C203" t="str">
        <f t="shared" si="3"/>
        <v>union all  select item=209, shipno=''</v>
      </c>
    </row>
    <row r="204" spans="1:3" x14ac:dyDescent="0.25">
      <c r="A204" s="12">
        <v>210</v>
      </c>
      <c r="C204" t="str">
        <f t="shared" si="3"/>
        <v>union all  select item=210, shipno=''</v>
      </c>
    </row>
    <row r="205" spans="1:3" x14ac:dyDescent="0.25">
      <c r="A205" s="12">
        <v>211</v>
      </c>
      <c r="C205" t="str">
        <f t="shared" si="3"/>
        <v>union all  select item=211, shipno=''</v>
      </c>
    </row>
    <row r="206" spans="1:3" x14ac:dyDescent="0.25">
      <c r="A206" s="12">
        <v>212</v>
      </c>
      <c r="C206" t="str">
        <f t="shared" si="3"/>
        <v>union all  select item=212, shipno=''</v>
      </c>
    </row>
    <row r="207" spans="1:3" x14ac:dyDescent="0.25">
      <c r="A207" s="12">
        <v>213</v>
      </c>
      <c r="C207" t="str">
        <f t="shared" si="3"/>
        <v>union all  select item=213, shipno=''</v>
      </c>
    </row>
    <row r="208" spans="1:3" x14ac:dyDescent="0.25">
      <c r="A208" s="12">
        <v>214</v>
      </c>
      <c r="C208" t="str">
        <f t="shared" si="3"/>
        <v>union all  select item=214, shipno=''</v>
      </c>
    </row>
    <row r="209" spans="1:3" x14ac:dyDescent="0.25">
      <c r="A209" s="12">
        <v>215</v>
      </c>
      <c r="C209" t="str">
        <f t="shared" si="3"/>
        <v>union all  select item=215, shipno=''</v>
      </c>
    </row>
    <row r="210" spans="1:3" x14ac:dyDescent="0.25">
      <c r="A210" s="12">
        <v>216</v>
      </c>
      <c r="C210" t="str">
        <f t="shared" si="3"/>
        <v>union all  select item=216, shipno=''</v>
      </c>
    </row>
    <row r="211" spans="1:3" x14ac:dyDescent="0.25">
      <c r="A211" s="12">
        <v>217</v>
      </c>
      <c r="C211" t="str">
        <f t="shared" si="3"/>
        <v>union all  select item=217, shipno=''</v>
      </c>
    </row>
    <row r="212" spans="1:3" x14ac:dyDescent="0.25">
      <c r="A212" s="12">
        <v>218</v>
      </c>
      <c r="C212" t="str">
        <f t="shared" si="3"/>
        <v>union all  select item=218, shipno=''</v>
      </c>
    </row>
    <row r="213" spans="1:3" x14ac:dyDescent="0.25">
      <c r="A213" s="12">
        <v>219</v>
      </c>
      <c r="C213" t="str">
        <f t="shared" si="3"/>
        <v>union all  select item=219, shipno=''</v>
      </c>
    </row>
    <row r="214" spans="1:3" x14ac:dyDescent="0.25">
      <c r="A214" s="12">
        <v>220</v>
      </c>
      <c r="C214" t="str">
        <f t="shared" si="3"/>
        <v>union all  select item=220, shipno=''</v>
      </c>
    </row>
    <row r="215" spans="1:3" x14ac:dyDescent="0.25">
      <c r="A215" s="12">
        <v>221</v>
      </c>
      <c r="C215" t="str">
        <f t="shared" si="3"/>
        <v>union all  select item=221, shipno=''</v>
      </c>
    </row>
    <row r="216" spans="1:3" x14ac:dyDescent="0.25">
      <c r="A216" s="12">
        <v>222</v>
      </c>
      <c r="C216" t="str">
        <f t="shared" si="3"/>
        <v>union all  select item=222, shipno=''</v>
      </c>
    </row>
    <row r="217" spans="1:3" x14ac:dyDescent="0.25">
      <c r="A217" s="12">
        <v>223</v>
      </c>
      <c r="C217" t="str">
        <f t="shared" si="3"/>
        <v>union all  select item=223, shipno=''</v>
      </c>
    </row>
    <row r="218" spans="1:3" x14ac:dyDescent="0.25">
      <c r="A218" s="12">
        <v>224</v>
      </c>
      <c r="C218" t="str">
        <f t="shared" si="3"/>
        <v>union all  select item=224, shipno=''</v>
      </c>
    </row>
    <row r="219" spans="1:3" x14ac:dyDescent="0.25">
      <c r="A219" s="12">
        <v>225</v>
      </c>
      <c r="C219" t="str">
        <f t="shared" si="3"/>
        <v>union all  select item=225, shipno=''</v>
      </c>
    </row>
    <row r="220" spans="1:3" x14ac:dyDescent="0.25">
      <c r="A220" s="12">
        <v>226</v>
      </c>
      <c r="C220" t="str">
        <f t="shared" si="3"/>
        <v>union all  select item=226, shipno=''</v>
      </c>
    </row>
    <row r="221" spans="1:3" x14ac:dyDescent="0.25">
      <c r="A221" s="12">
        <v>227</v>
      </c>
      <c r="C221" t="str">
        <f t="shared" si="3"/>
        <v>union all  select item=227, shipno=''</v>
      </c>
    </row>
    <row r="222" spans="1:3" x14ac:dyDescent="0.25">
      <c r="A222" s="12">
        <v>228</v>
      </c>
      <c r="C222" t="str">
        <f t="shared" si="3"/>
        <v>union all  select item=228, shipno=''</v>
      </c>
    </row>
    <row r="223" spans="1:3" x14ac:dyDescent="0.25">
      <c r="A223" s="12">
        <v>229</v>
      </c>
      <c r="C223" t="str">
        <f t="shared" si="3"/>
        <v>union all  select item=229, shipno=''</v>
      </c>
    </row>
    <row r="224" spans="1:3" x14ac:dyDescent="0.25">
      <c r="A224" s="12">
        <v>230</v>
      </c>
      <c r="C224" t="str">
        <f t="shared" si="3"/>
        <v>union all  select item=230, shipno=''</v>
      </c>
    </row>
    <row r="225" spans="1:3" x14ac:dyDescent="0.25">
      <c r="A225" s="12">
        <v>231</v>
      </c>
      <c r="C225" t="str">
        <f t="shared" si="3"/>
        <v>union all  select item=231, shipno=''</v>
      </c>
    </row>
    <row r="226" spans="1:3" x14ac:dyDescent="0.25">
      <c r="A226" s="12">
        <v>232</v>
      </c>
      <c r="C226" t="str">
        <f t="shared" si="3"/>
        <v>union all  select item=232, shipno=''</v>
      </c>
    </row>
    <row r="227" spans="1:3" x14ac:dyDescent="0.25">
      <c r="A227" s="12">
        <v>233</v>
      </c>
      <c r="C227" t="str">
        <f t="shared" si="3"/>
        <v>union all  select item=233, shipno=''</v>
      </c>
    </row>
    <row r="228" spans="1:3" x14ac:dyDescent="0.25">
      <c r="A228" s="12">
        <v>234</v>
      </c>
      <c r="C228" t="str">
        <f t="shared" si="3"/>
        <v>union all  select item=234, shipno=''</v>
      </c>
    </row>
    <row r="229" spans="1:3" x14ac:dyDescent="0.25">
      <c r="A229" s="12">
        <v>235</v>
      </c>
      <c r="C229" t="str">
        <f t="shared" si="3"/>
        <v>union all  select item=235, shipno=''</v>
      </c>
    </row>
    <row r="230" spans="1:3" x14ac:dyDescent="0.25">
      <c r="A230" s="12">
        <v>236</v>
      </c>
      <c r="C230" t="str">
        <f t="shared" si="3"/>
        <v>union all  select item=236, shipno=''</v>
      </c>
    </row>
    <row r="231" spans="1:3" x14ac:dyDescent="0.25">
      <c r="A231" s="12">
        <v>237</v>
      </c>
      <c r="C231" t="str">
        <f t="shared" si="3"/>
        <v>union all  select item=237, shipno=''</v>
      </c>
    </row>
    <row r="232" spans="1:3" x14ac:dyDescent="0.25">
      <c r="A232" s="12">
        <v>238</v>
      </c>
      <c r="C232" t="str">
        <f t="shared" si="3"/>
        <v>union all  select item=238, shipno=''</v>
      </c>
    </row>
    <row r="233" spans="1:3" x14ac:dyDescent="0.25">
      <c r="A233" s="12">
        <v>239</v>
      </c>
      <c r="C233" t="str">
        <f t="shared" si="3"/>
        <v>union all  select item=239, shipno=''</v>
      </c>
    </row>
    <row r="234" spans="1:3" x14ac:dyDescent="0.25">
      <c r="A234" s="12">
        <v>240</v>
      </c>
      <c r="C234" t="str">
        <f t="shared" si="3"/>
        <v>union all  select item=240, shipno=''</v>
      </c>
    </row>
    <row r="235" spans="1:3" x14ac:dyDescent="0.25">
      <c r="A235" s="12">
        <v>241</v>
      </c>
      <c r="C235" t="str">
        <f t="shared" si="3"/>
        <v>union all  select item=241, shipno=''</v>
      </c>
    </row>
    <row r="236" spans="1:3" x14ac:dyDescent="0.25">
      <c r="A236" s="12">
        <v>242</v>
      </c>
      <c r="C236" t="str">
        <f t="shared" si="3"/>
        <v>union all  select item=242, shipno=''</v>
      </c>
    </row>
    <row r="237" spans="1:3" x14ac:dyDescent="0.25">
      <c r="A237" s="12">
        <v>243</v>
      </c>
      <c r="C237" t="str">
        <f t="shared" si="3"/>
        <v>union all  select item=243, shipno=''</v>
      </c>
    </row>
    <row r="238" spans="1:3" x14ac:dyDescent="0.25">
      <c r="A238" s="12">
        <v>244</v>
      </c>
      <c r="C238" t="str">
        <f t="shared" si="3"/>
        <v>union all  select item=244, shipno=''</v>
      </c>
    </row>
    <row r="239" spans="1:3" x14ac:dyDescent="0.25">
      <c r="A239" s="12">
        <v>245</v>
      </c>
      <c r="C239" t="str">
        <f t="shared" si="3"/>
        <v>union all  select item=245, shipno=''</v>
      </c>
    </row>
    <row r="240" spans="1:3" x14ac:dyDescent="0.25">
      <c r="A240" s="12">
        <v>246</v>
      </c>
      <c r="C240" t="str">
        <f t="shared" si="3"/>
        <v>union all  select item=246, shipno=''</v>
      </c>
    </row>
    <row r="241" spans="1:3" x14ac:dyDescent="0.25">
      <c r="A241" s="12">
        <v>247</v>
      </c>
      <c r="C241" t="str">
        <f t="shared" si="3"/>
        <v>union all  select item=247, shipno=''</v>
      </c>
    </row>
    <row r="242" spans="1:3" x14ac:dyDescent="0.25">
      <c r="A242" s="12">
        <v>248</v>
      </c>
      <c r="C242" t="str">
        <f t="shared" si="3"/>
        <v>union all  select item=248, shipno=''</v>
      </c>
    </row>
    <row r="243" spans="1:3" x14ac:dyDescent="0.25">
      <c r="A243" s="12">
        <v>249</v>
      </c>
      <c r="C243" t="str">
        <f t="shared" si="3"/>
        <v>union all  select item=249, shipno=''</v>
      </c>
    </row>
    <row r="244" spans="1:3" x14ac:dyDescent="0.25">
      <c r="A244" s="12">
        <v>250</v>
      </c>
      <c r="C244" t="str">
        <f t="shared" ref="C244:C307" si="4">"union all  select item=" &amp; A244 &amp; ", shipno='" &amp; B244 &amp; "'"</f>
        <v>union all  select item=250, shipno=''</v>
      </c>
    </row>
    <row r="245" spans="1:3" x14ac:dyDescent="0.25">
      <c r="A245" s="12">
        <v>251</v>
      </c>
      <c r="C245" t="str">
        <f t="shared" si="4"/>
        <v>union all  select item=251, shipno=''</v>
      </c>
    </row>
    <row r="246" spans="1:3" x14ac:dyDescent="0.25">
      <c r="A246" s="12">
        <v>252</v>
      </c>
      <c r="C246" t="str">
        <f t="shared" si="4"/>
        <v>union all  select item=252, shipno=''</v>
      </c>
    </row>
    <row r="247" spans="1:3" x14ac:dyDescent="0.25">
      <c r="A247" s="12">
        <v>253</v>
      </c>
      <c r="C247" t="str">
        <f t="shared" si="4"/>
        <v>union all  select item=253, shipno=''</v>
      </c>
    </row>
    <row r="248" spans="1:3" x14ac:dyDescent="0.25">
      <c r="A248" s="12">
        <v>254</v>
      </c>
      <c r="C248" t="str">
        <f t="shared" si="4"/>
        <v>union all  select item=254, shipno=''</v>
      </c>
    </row>
    <row r="249" spans="1:3" x14ac:dyDescent="0.25">
      <c r="A249" s="12">
        <v>255</v>
      </c>
      <c r="C249" t="str">
        <f t="shared" si="4"/>
        <v>union all  select item=255, shipno=''</v>
      </c>
    </row>
    <row r="250" spans="1:3" x14ac:dyDescent="0.25">
      <c r="A250" s="12">
        <v>256</v>
      </c>
      <c r="C250" t="str">
        <f t="shared" si="4"/>
        <v>union all  select item=256, shipno=''</v>
      </c>
    </row>
    <row r="251" spans="1:3" x14ac:dyDescent="0.25">
      <c r="A251" s="12">
        <v>257</v>
      </c>
      <c r="C251" t="str">
        <f t="shared" si="4"/>
        <v>union all  select item=257, shipno=''</v>
      </c>
    </row>
    <row r="252" spans="1:3" x14ac:dyDescent="0.25">
      <c r="A252" s="12">
        <v>258</v>
      </c>
      <c r="C252" t="str">
        <f t="shared" si="4"/>
        <v>union all  select item=258, shipno=''</v>
      </c>
    </row>
    <row r="253" spans="1:3" x14ac:dyDescent="0.25">
      <c r="A253" s="12">
        <v>259</v>
      </c>
      <c r="C253" t="str">
        <f t="shared" si="4"/>
        <v>union all  select item=259, shipno=''</v>
      </c>
    </row>
    <row r="254" spans="1:3" x14ac:dyDescent="0.25">
      <c r="A254" s="12">
        <v>260</v>
      </c>
      <c r="C254" t="str">
        <f t="shared" si="4"/>
        <v>union all  select item=260, shipno=''</v>
      </c>
    </row>
    <row r="255" spans="1:3" x14ac:dyDescent="0.25">
      <c r="A255" s="12">
        <v>261</v>
      </c>
      <c r="C255" t="str">
        <f t="shared" si="4"/>
        <v>union all  select item=261, shipno=''</v>
      </c>
    </row>
    <row r="256" spans="1:3" x14ac:dyDescent="0.25">
      <c r="A256" s="12">
        <v>262</v>
      </c>
      <c r="C256" t="str">
        <f t="shared" si="4"/>
        <v>union all  select item=262, shipno=''</v>
      </c>
    </row>
    <row r="257" spans="1:3" x14ac:dyDescent="0.25">
      <c r="A257" s="12">
        <v>263</v>
      </c>
      <c r="C257" t="str">
        <f t="shared" si="4"/>
        <v>union all  select item=263, shipno=''</v>
      </c>
    </row>
    <row r="258" spans="1:3" x14ac:dyDescent="0.25">
      <c r="A258" s="12">
        <v>264</v>
      </c>
      <c r="C258" t="str">
        <f t="shared" si="4"/>
        <v>union all  select item=264, shipno=''</v>
      </c>
    </row>
    <row r="259" spans="1:3" x14ac:dyDescent="0.25">
      <c r="A259" s="12">
        <v>265</v>
      </c>
      <c r="C259" t="str">
        <f t="shared" si="4"/>
        <v>union all  select item=265, shipno=''</v>
      </c>
    </row>
    <row r="260" spans="1:3" x14ac:dyDescent="0.25">
      <c r="A260" s="12">
        <v>266</v>
      </c>
      <c r="C260" t="str">
        <f t="shared" si="4"/>
        <v>union all  select item=266, shipno=''</v>
      </c>
    </row>
    <row r="261" spans="1:3" x14ac:dyDescent="0.25">
      <c r="A261" s="12">
        <v>267</v>
      </c>
      <c r="C261" t="str">
        <f t="shared" si="4"/>
        <v>union all  select item=267, shipno=''</v>
      </c>
    </row>
    <row r="262" spans="1:3" x14ac:dyDescent="0.25">
      <c r="A262" s="12">
        <v>268</v>
      </c>
      <c r="C262" t="str">
        <f t="shared" si="4"/>
        <v>union all  select item=268, shipno=''</v>
      </c>
    </row>
    <row r="263" spans="1:3" x14ac:dyDescent="0.25">
      <c r="A263" s="12">
        <v>269</v>
      </c>
      <c r="C263" t="str">
        <f t="shared" si="4"/>
        <v>union all  select item=269, shipno=''</v>
      </c>
    </row>
    <row r="264" spans="1:3" x14ac:dyDescent="0.25">
      <c r="A264" s="12">
        <v>270</v>
      </c>
      <c r="C264" t="str">
        <f t="shared" si="4"/>
        <v>union all  select item=270, shipno=''</v>
      </c>
    </row>
    <row r="265" spans="1:3" x14ac:dyDescent="0.25">
      <c r="A265" s="12">
        <v>271</v>
      </c>
      <c r="C265" t="str">
        <f t="shared" si="4"/>
        <v>union all  select item=271, shipno=''</v>
      </c>
    </row>
    <row r="266" spans="1:3" x14ac:dyDescent="0.25">
      <c r="A266" s="12">
        <v>272</v>
      </c>
      <c r="C266" t="str">
        <f t="shared" si="4"/>
        <v>union all  select item=272, shipno=''</v>
      </c>
    </row>
    <row r="267" spans="1:3" x14ac:dyDescent="0.25">
      <c r="A267" s="12">
        <v>273</v>
      </c>
      <c r="C267" t="str">
        <f t="shared" si="4"/>
        <v>union all  select item=273, shipno=''</v>
      </c>
    </row>
    <row r="268" spans="1:3" x14ac:dyDescent="0.25">
      <c r="A268" s="12">
        <v>274</v>
      </c>
      <c r="C268" t="str">
        <f t="shared" si="4"/>
        <v>union all  select item=274, shipno=''</v>
      </c>
    </row>
    <row r="269" spans="1:3" x14ac:dyDescent="0.25">
      <c r="A269" s="12">
        <v>275</v>
      </c>
      <c r="C269" t="str">
        <f t="shared" si="4"/>
        <v>union all  select item=275, shipno=''</v>
      </c>
    </row>
    <row r="270" spans="1:3" x14ac:dyDescent="0.25">
      <c r="A270" s="12">
        <v>276</v>
      </c>
      <c r="C270" t="str">
        <f t="shared" si="4"/>
        <v>union all  select item=276, shipno=''</v>
      </c>
    </row>
    <row r="271" spans="1:3" x14ac:dyDescent="0.25">
      <c r="A271" s="12">
        <v>277</v>
      </c>
      <c r="C271" t="str">
        <f t="shared" si="4"/>
        <v>union all  select item=277, shipno=''</v>
      </c>
    </row>
    <row r="272" spans="1:3" x14ac:dyDescent="0.25">
      <c r="A272" s="12">
        <v>278</v>
      </c>
      <c r="C272" t="str">
        <f t="shared" si="4"/>
        <v>union all  select item=278, shipno=''</v>
      </c>
    </row>
    <row r="273" spans="1:3" x14ac:dyDescent="0.25">
      <c r="A273" s="12">
        <v>279</v>
      </c>
      <c r="C273" t="str">
        <f t="shared" si="4"/>
        <v>union all  select item=279, shipno=''</v>
      </c>
    </row>
    <row r="274" spans="1:3" x14ac:dyDescent="0.25">
      <c r="A274" s="12">
        <v>280</v>
      </c>
      <c r="C274" t="str">
        <f t="shared" si="4"/>
        <v>union all  select item=280, shipno=''</v>
      </c>
    </row>
    <row r="275" spans="1:3" x14ac:dyDescent="0.25">
      <c r="A275" s="12">
        <v>281</v>
      </c>
      <c r="C275" t="str">
        <f t="shared" si="4"/>
        <v>union all  select item=281, shipno=''</v>
      </c>
    </row>
    <row r="276" spans="1:3" x14ac:dyDescent="0.25">
      <c r="A276" s="12">
        <v>282</v>
      </c>
      <c r="C276" t="str">
        <f t="shared" si="4"/>
        <v>union all  select item=282, shipno=''</v>
      </c>
    </row>
    <row r="277" spans="1:3" x14ac:dyDescent="0.25">
      <c r="A277" s="12">
        <v>283</v>
      </c>
      <c r="C277" t="str">
        <f t="shared" si="4"/>
        <v>union all  select item=283, shipno=''</v>
      </c>
    </row>
    <row r="278" spans="1:3" x14ac:dyDescent="0.25">
      <c r="A278" s="12">
        <v>284</v>
      </c>
      <c r="C278" t="str">
        <f t="shared" si="4"/>
        <v>union all  select item=284, shipno=''</v>
      </c>
    </row>
    <row r="279" spans="1:3" x14ac:dyDescent="0.25">
      <c r="A279" s="12">
        <v>285</v>
      </c>
      <c r="C279" t="str">
        <f t="shared" si="4"/>
        <v>union all  select item=285, shipno=''</v>
      </c>
    </row>
    <row r="280" spans="1:3" x14ac:dyDescent="0.25">
      <c r="A280" s="12">
        <v>286</v>
      </c>
      <c r="C280" t="str">
        <f t="shared" si="4"/>
        <v>union all  select item=286, shipno=''</v>
      </c>
    </row>
    <row r="281" spans="1:3" x14ac:dyDescent="0.25">
      <c r="A281" s="12">
        <v>287</v>
      </c>
      <c r="C281" t="str">
        <f t="shared" si="4"/>
        <v>union all  select item=287, shipno=''</v>
      </c>
    </row>
    <row r="282" spans="1:3" x14ac:dyDescent="0.25">
      <c r="A282" s="12">
        <v>288</v>
      </c>
      <c r="C282" t="str">
        <f t="shared" si="4"/>
        <v>union all  select item=288, shipno=''</v>
      </c>
    </row>
    <row r="283" spans="1:3" x14ac:dyDescent="0.25">
      <c r="A283" s="12">
        <v>289</v>
      </c>
      <c r="C283" t="str">
        <f t="shared" si="4"/>
        <v>union all  select item=289, shipno=''</v>
      </c>
    </row>
    <row r="284" spans="1:3" x14ac:dyDescent="0.25">
      <c r="A284" s="12">
        <v>290</v>
      </c>
      <c r="C284" t="str">
        <f t="shared" si="4"/>
        <v>union all  select item=290, shipno=''</v>
      </c>
    </row>
    <row r="285" spans="1:3" x14ac:dyDescent="0.25">
      <c r="A285" s="12">
        <v>291</v>
      </c>
      <c r="C285" t="str">
        <f t="shared" si="4"/>
        <v>union all  select item=291, shipno=''</v>
      </c>
    </row>
    <row r="286" spans="1:3" x14ac:dyDescent="0.25">
      <c r="A286" s="12">
        <v>292</v>
      </c>
      <c r="C286" t="str">
        <f t="shared" si="4"/>
        <v>union all  select item=292, shipno=''</v>
      </c>
    </row>
    <row r="287" spans="1:3" x14ac:dyDescent="0.25">
      <c r="A287" s="12">
        <v>293</v>
      </c>
      <c r="C287" t="str">
        <f t="shared" si="4"/>
        <v>union all  select item=293, shipno=''</v>
      </c>
    </row>
    <row r="288" spans="1:3" x14ac:dyDescent="0.25">
      <c r="A288" s="12">
        <v>294</v>
      </c>
      <c r="C288" t="str">
        <f t="shared" si="4"/>
        <v>union all  select item=294, shipno=''</v>
      </c>
    </row>
    <row r="289" spans="1:3" x14ac:dyDescent="0.25">
      <c r="A289" s="12">
        <v>295</v>
      </c>
      <c r="C289" t="str">
        <f t="shared" si="4"/>
        <v>union all  select item=295, shipno=''</v>
      </c>
    </row>
    <row r="290" spans="1:3" x14ac:dyDescent="0.25">
      <c r="A290" s="12">
        <v>296</v>
      </c>
      <c r="C290" t="str">
        <f t="shared" si="4"/>
        <v>union all  select item=296, shipno=''</v>
      </c>
    </row>
    <row r="291" spans="1:3" x14ac:dyDescent="0.25">
      <c r="A291" s="12">
        <v>297</v>
      </c>
      <c r="C291" t="str">
        <f t="shared" si="4"/>
        <v>union all  select item=297, shipno=''</v>
      </c>
    </row>
    <row r="292" spans="1:3" x14ac:dyDescent="0.25">
      <c r="A292" s="12">
        <v>298</v>
      </c>
      <c r="C292" t="str">
        <f t="shared" si="4"/>
        <v>union all  select item=298, shipno=''</v>
      </c>
    </row>
    <row r="293" spans="1:3" x14ac:dyDescent="0.25">
      <c r="A293" s="12">
        <v>299</v>
      </c>
      <c r="C293" t="str">
        <f t="shared" si="4"/>
        <v>union all  select item=299, shipno=''</v>
      </c>
    </row>
    <row r="294" spans="1:3" x14ac:dyDescent="0.25">
      <c r="A294" s="12">
        <v>300</v>
      </c>
      <c r="C294" t="str">
        <f t="shared" si="4"/>
        <v>union all  select item=300, shipno=''</v>
      </c>
    </row>
    <row r="295" spans="1:3" x14ac:dyDescent="0.25">
      <c r="A295" s="12">
        <v>301</v>
      </c>
      <c r="C295" t="str">
        <f t="shared" si="4"/>
        <v>union all  select item=301, shipno=''</v>
      </c>
    </row>
    <row r="296" spans="1:3" x14ac:dyDescent="0.25">
      <c r="A296" s="12">
        <v>302</v>
      </c>
      <c r="C296" t="str">
        <f t="shared" si="4"/>
        <v>union all  select item=302, shipno=''</v>
      </c>
    </row>
    <row r="297" spans="1:3" x14ac:dyDescent="0.25">
      <c r="A297" s="12">
        <v>303</v>
      </c>
      <c r="C297" t="str">
        <f t="shared" si="4"/>
        <v>union all  select item=303, shipno=''</v>
      </c>
    </row>
    <row r="298" spans="1:3" x14ac:dyDescent="0.25">
      <c r="A298" s="12">
        <v>304</v>
      </c>
      <c r="C298" t="str">
        <f t="shared" si="4"/>
        <v>union all  select item=304, shipno=''</v>
      </c>
    </row>
    <row r="299" spans="1:3" x14ac:dyDescent="0.25">
      <c r="A299" s="12">
        <v>305</v>
      </c>
      <c r="C299" t="str">
        <f t="shared" si="4"/>
        <v>union all  select item=305, shipno=''</v>
      </c>
    </row>
    <row r="300" spans="1:3" x14ac:dyDescent="0.25">
      <c r="A300" s="12">
        <v>306</v>
      </c>
      <c r="C300" t="str">
        <f t="shared" si="4"/>
        <v>union all  select item=306, shipno=''</v>
      </c>
    </row>
    <row r="301" spans="1:3" x14ac:dyDescent="0.25">
      <c r="A301" s="12">
        <v>307</v>
      </c>
      <c r="C301" t="str">
        <f t="shared" si="4"/>
        <v>union all  select item=307, shipno=''</v>
      </c>
    </row>
    <row r="302" spans="1:3" x14ac:dyDescent="0.25">
      <c r="A302" s="12">
        <v>308</v>
      </c>
      <c r="C302" t="str">
        <f t="shared" si="4"/>
        <v>union all  select item=308, shipno=''</v>
      </c>
    </row>
    <row r="303" spans="1:3" x14ac:dyDescent="0.25">
      <c r="A303" s="12">
        <v>309</v>
      </c>
      <c r="C303" t="str">
        <f t="shared" si="4"/>
        <v>union all  select item=309, shipno=''</v>
      </c>
    </row>
    <row r="304" spans="1:3" x14ac:dyDescent="0.25">
      <c r="A304" s="12">
        <v>310</v>
      </c>
      <c r="C304" t="str">
        <f t="shared" si="4"/>
        <v>union all  select item=310, shipno=''</v>
      </c>
    </row>
    <row r="305" spans="1:3" x14ac:dyDescent="0.25">
      <c r="A305" s="12">
        <v>311</v>
      </c>
      <c r="C305" t="str">
        <f t="shared" si="4"/>
        <v>union all  select item=311, shipno=''</v>
      </c>
    </row>
    <row r="306" spans="1:3" x14ac:dyDescent="0.25">
      <c r="A306" s="12">
        <v>312</v>
      </c>
      <c r="C306" t="str">
        <f t="shared" si="4"/>
        <v>union all  select item=312, shipno=''</v>
      </c>
    </row>
    <row r="307" spans="1:3" x14ac:dyDescent="0.25">
      <c r="A307" s="12">
        <v>313</v>
      </c>
      <c r="C307" t="str">
        <f t="shared" si="4"/>
        <v>union all  select item=313, shipno=''</v>
      </c>
    </row>
    <row r="308" spans="1:3" x14ac:dyDescent="0.25">
      <c r="A308" s="12">
        <v>314</v>
      </c>
    </row>
    <row r="309" spans="1:3" x14ac:dyDescent="0.25">
      <c r="A309" s="12">
        <v>315</v>
      </c>
    </row>
    <row r="310" spans="1:3" x14ac:dyDescent="0.25">
      <c r="A310" s="12">
        <v>316</v>
      </c>
    </row>
    <row r="311" spans="1:3" x14ac:dyDescent="0.25">
      <c r="A311" s="12">
        <v>317</v>
      </c>
    </row>
    <row r="312" spans="1:3" x14ac:dyDescent="0.25">
      <c r="A312" s="12">
        <v>318</v>
      </c>
    </row>
    <row r="313" spans="1:3" x14ac:dyDescent="0.25">
      <c r="A313" s="12">
        <v>319</v>
      </c>
    </row>
    <row r="314" spans="1:3" x14ac:dyDescent="0.25">
      <c r="A314" s="12">
        <v>320</v>
      </c>
    </row>
    <row r="315" spans="1:3" x14ac:dyDescent="0.25">
      <c r="A315" s="12">
        <v>321</v>
      </c>
    </row>
    <row r="316" spans="1:3" x14ac:dyDescent="0.25">
      <c r="A316" s="12">
        <v>322</v>
      </c>
    </row>
    <row r="317" spans="1:3" x14ac:dyDescent="0.25">
      <c r="A317" s="12">
        <v>323</v>
      </c>
    </row>
    <row r="318" spans="1:3" x14ac:dyDescent="0.25">
      <c r="A318" s="12">
        <v>324</v>
      </c>
    </row>
    <row r="319" spans="1:3" x14ac:dyDescent="0.25">
      <c r="A319" s="12">
        <v>325</v>
      </c>
    </row>
    <row r="320" spans="1:3" x14ac:dyDescent="0.25">
      <c r="A320" s="12">
        <v>326</v>
      </c>
    </row>
    <row r="321" spans="1:1" x14ac:dyDescent="0.25">
      <c r="A321" s="12">
        <v>327</v>
      </c>
    </row>
    <row r="322" spans="1:1" x14ac:dyDescent="0.25">
      <c r="A322" s="12">
        <v>328</v>
      </c>
    </row>
    <row r="323" spans="1:1" x14ac:dyDescent="0.25">
      <c r="A323" s="12">
        <v>329</v>
      </c>
    </row>
    <row r="324" spans="1:1" x14ac:dyDescent="0.25">
      <c r="A324" s="12">
        <v>330</v>
      </c>
    </row>
    <row r="325" spans="1:1" x14ac:dyDescent="0.25">
      <c r="A325" s="12">
        <v>331</v>
      </c>
    </row>
    <row r="326" spans="1:1" x14ac:dyDescent="0.25">
      <c r="A326" s="12">
        <v>332</v>
      </c>
    </row>
    <row r="327" spans="1:1" x14ac:dyDescent="0.25">
      <c r="A327" s="12">
        <v>333</v>
      </c>
    </row>
    <row r="328" spans="1:1" x14ac:dyDescent="0.25">
      <c r="A328" s="12">
        <v>334</v>
      </c>
    </row>
    <row r="329" spans="1:1" x14ac:dyDescent="0.25">
      <c r="A329" s="12">
        <v>335</v>
      </c>
    </row>
    <row r="330" spans="1:1" x14ac:dyDescent="0.25">
      <c r="A330" s="12">
        <v>336</v>
      </c>
    </row>
    <row r="331" spans="1:1" x14ac:dyDescent="0.25">
      <c r="A331" s="12">
        <v>337</v>
      </c>
    </row>
    <row r="332" spans="1:1" x14ac:dyDescent="0.25">
      <c r="A332" s="12">
        <v>338</v>
      </c>
    </row>
    <row r="333" spans="1:1" x14ac:dyDescent="0.25">
      <c r="A333" s="12">
        <v>339</v>
      </c>
    </row>
    <row r="334" spans="1:1" x14ac:dyDescent="0.25">
      <c r="A334" s="12">
        <v>340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FFFF00"/>
  </sheetPr>
  <dimension ref="A1:F335"/>
  <sheetViews>
    <sheetView topLeftCell="B1" workbookViewId="0">
      <selection activeCell="F3" sqref="F3"/>
    </sheetView>
  </sheetViews>
  <sheetFormatPr defaultRowHeight="16.5" x14ac:dyDescent="0.25"/>
  <cols>
    <col min="1" max="1" width="9" style="12"/>
    <col min="2" max="2" width="14.125" style="24" customWidth="1"/>
    <col min="3" max="3" width="16" customWidth="1"/>
    <col min="4" max="4" width="55.875" customWidth="1"/>
    <col min="5" max="5" width="39.5" customWidth="1"/>
    <col min="6" max="6" width="33.75" customWidth="1"/>
  </cols>
  <sheetData>
    <row r="1" spans="1:6" x14ac:dyDescent="0.25">
      <c r="B1" s="20" t="s">
        <v>110</v>
      </c>
      <c r="C1" s="20"/>
    </row>
    <row r="2" spans="1:6" x14ac:dyDescent="0.25">
      <c r="B2" s="43">
        <v>6</v>
      </c>
      <c r="C2" s="46">
        <v>12</v>
      </c>
      <c r="D2" s="19" t="s">
        <v>351</v>
      </c>
      <c r="E2" s="54" t="s">
        <v>352</v>
      </c>
      <c r="F2" s="15"/>
    </row>
    <row r="3" spans="1:6" x14ac:dyDescent="0.25">
      <c r="B3" s="24" t="s">
        <v>127</v>
      </c>
      <c r="C3" t="s">
        <v>129</v>
      </c>
      <c r="D3" t="s">
        <v>349</v>
      </c>
      <c r="E3" t="s">
        <v>349</v>
      </c>
      <c r="F3" s="15" t="s">
        <v>353</v>
      </c>
    </row>
    <row r="4" spans="1:6" x14ac:dyDescent="0.25">
      <c r="A4" s="12">
        <v>1</v>
      </c>
      <c r="B4" s="24" t="s">
        <v>357</v>
      </c>
      <c r="C4" t="s">
        <v>556</v>
      </c>
      <c r="D4" t="str">
        <f>"select item=" &amp; A4 &amp; ", shipno='PON" &amp; B4 &amp; "', richan='" &amp; C4 &amp; "'"</f>
        <v>select item=1, shipno='PON151C0045', richan='24010-KN100'</v>
      </c>
      <c r="E4" t="str">
        <f>"select item=" &amp; A4 &amp; ", shipno='" &amp; B4 &amp; "', richan='" &amp; C4 &amp; "'"</f>
        <v>select item=1, shipno='151C0045', richan='24010-KN100'</v>
      </c>
    </row>
    <row r="5" spans="1:6" x14ac:dyDescent="0.25">
      <c r="A5" s="12">
        <v>2</v>
      </c>
      <c r="B5" s="24" t="s">
        <v>360</v>
      </c>
      <c r="C5" t="s">
        <v>557</v>
      </c>
      <c r="D5" t="str">
        <f>"union all  select item=" &amp; A5 &amp; ", shipno='PON" &amp; B5 &amp; "', richan='" &amp; C5 &amp; "'"</f>
        <v>union all  select item=2, shipno='PON14CA0017', richan='24010-KN10C'</v>
      </c>
      <c r="E5" t="str">
        <f>"union all  select item=" &amp; A5 &amp; ", shipno='" &amp; B5 &amp; "', richan='" &amp; C5 &amp; "'"</f>
        <v>union all  select item=2, shipno='14CA0017', richan='24010-KN10C'</v>
      </c>
    </row>
    <row r="6" spans="1:6" x14ac:dyDescent="0.25">
      <c r="A6" s="12">
        <v>3</v>
      </c>
      <c r="B6" s="24" t="s">
        <v>362</v>
      </c>
      <c r="C6" t="s">
        <v>557</v>
      </c>
      <c r="D6" t="str">
        <f t="shared" ref="D6:D69" si="0">"union all  select item=" &amp; A6 &amp; ", shipno='PON" &amp; B6 &amp; "', richan='" &amp; C6 &amp; "'"</f>
        <v>union all  select item=3, shipno='PON14CB0013', richan='24010-KN10C'</v>
      </c>
      <c r="E6" t="str">
        <f t="shared" ref="E6:E69" si="1">"union all  select item=" &amp; A6 &amp; ", shipno='" &amp; B6 &amp; "', richan='" &amp; C6 &amp; "'"</f>
        <v>union all  select item=3, shipno='14CB0013', richan='24010-KN10C'</v>
      </c>
    </row>
    <row r="7" spans="1:6" x14ac:dyDescent="0.25">
      <c r="A7" s="12">
        <v>4</v>
      </c>
      <c r="B7" s="24" t="s">
        <v>364</v>
      </c>
      <c r="C7" t="s">
        <v>557</v>
      </c>
      <c r="D7" t="str">
        <f t="shared" si="0"/>
        <v>union all  select item=4, shipno='PON14CC0017', richan='24010-KN10C'</v>
      </c>
      <c r="E7" t="str">
        <f t="shared" si="1"/>
        <v>union all  select item=4, shipno='14CC0017', richan='24010-KN10C'</v>
      </c>
    </row>
    <row r="8" spans="1:6" x14ac:dyDescent="0.25">
      <c r="A8" s="12">
        <v>5</v>
      </c>
      <c r="B8" s="24" t="s">
        <v>365</v>
      </c>
      <c r="C8" t="s">
        <v>557</v>
      </c>
      <c r="D8" t="str">
        <f t="shared" si="0"/>
        <v>union all  select item=5, shipno='PON14CF0021', richan='24010-KN10C'</v>
      </c>
      <c r="E8" t="str">
        <f t="shared" si="1"/>
        <v>union all  select item=5, shipno='14CF0021', richan='24010-KN10C'</v>
      </c>
    </row>
    <row r="9" spans="1:6" x14ac:dyDescent="0.25">
      <c r="A9" s="12">
        <v>6</v>
      </c>
      <c r="B9" s="24" t="s">
        <v>367</v>
      </c>
      <c r="C9" t="s">
        <v>557</v>
      </c>
      <c r="D9" t="str">
        <f t="shared" si="0"/>
        <v>union all  select item=6, shipno='PON14CG0022', richan='24010-KN10C'</v>
      </c>
      <c r="E9" t="str">
        <f t="shared" si="1"/>
        <v>union all  select item=6, shipno='14CG0022', richan='24010-KN10C'</v>
      </c>
    </row>
    <row r="10" spans="1:6" x14ac:dyDescent="0.25">
      <c r="A10" s="12">
        <v>7</v>
      </c>
      <c r="B10" s="24" t="s">
        <v>369</v>
      </c>
      <c r="C10" t="s">
        <v>557</v>
      </c>
      <c r="D10" t="str">
        <f t="shared" si="0"/>
        <v>union all  select item=7, shipno='PON14CH0023', richan='24010-KN10C'</v>
      </c>
      <c r="E10" t="str">
        <f t="shared" si="1"/>
        <v>union all  select item=7, shipno='14CH0023', richan='24010-KN10C'</v>
      </c>
    </row>
    <row r="11" spans="1:6" x14ac:dyDescent="0.25">
      <c r="A11" s="12">
        <v>8</v>
      </c>
      <c r="B11" s="24" t="s">
        <v>370</v>
      </c>
      <c r="C11" t="s">
        <v>557</v>
      </c>
      <c r="D11" t="str">
        <f t="shared" si="0"/>
        <v>union all  select item=8, shipno='PON14CI0034', richan='24010-KN10C'</v>
      </c>
      <c r="E11" t="str">
        <f t="shared" si="1"/>
        <v>union all  select item=8, shipno='14CI0034', richan='24010-KN10C'</v>
      </c>
    </row>
    <row r="12" spans="1:6" x14ac:dyDescent="0.25">
      <c r="A12" s="12">
        <v>9</v>
      </c>
      <c r="B12" s="24" t="s">
        <v>372</v>
      </c>
      <c r="C12" t="s">
        <v>557</v>
      </c>
      <c r="D12" t="str">
        <f t="shared" si="0"/>
        <v>union all  select item=9, shipno='PON14CI0035', richan='24010-KN10C'</v>
      </c>
      <c r="E12" t="str">
        <f t="shared" si="1"/>
        <v>union all  select item=9, shipno='14CI0035', richan='24010-KN10C'</v>
      </c>
    </row>
    <row r="13" spans="1:6" x14ac:dyDescent="0.25">
      <c r="A13" s="12">
        <v>10</v>
      </c>
      <c r="B13" s="24" t="s">
        <v>374</v>
      </c>
      <c r="C13" t="s">
        <v>557</v>
      </c>
      <c r="D13" t="str">
        <f t="shared" si="0"/>
        <v>union all  select item=10, shipno='PON14CQ0003', richan='24010-KN10C'</v>
      </c>
      <c r="E13" t="str">
        <f t="shared" si="1"/>
        <v>union all  select item=10, shipno='14CQ0003', richan='24010-KN10C'</v>
      </c>
    </row>
    <row r="14" spans="1:6" x14ac:dyDescent="0.25">
      <c r="A14" s="12">
        <v>11</v>
      </c>
      <c r="B14" s="24" t="s">
        <v>376</v>
      </c>
      <c r="C14" t="s">
        <v>557</v>
      </c>
      <c r="D14" t="str">
        <f t="shared" si="0"/>
        <v>union all  select item=11, shipno='PON14CT0021', richan='24010-KN10C'</v>
      </c>
      <c r="E14" t="str">
        <f t="shared" si="1"/>
        <v>union all  select item=11, shipno='14CT0021', richan='24010-KN10C'</v>
      </c>
    </row>
    <row r="15" spans="1:6" x14ac:dyDescent="0.25">
      <c r="A15" s="12">
        <v>12</v>
      </c>
      <c r="B15" s="24" t="s">
        <v>378</v>
      </c>
      <c r="C15" t="s">
        <v>557</v>
      </c>
      <c r="D15" t="str">
        <f t="shared" si="0"/>
        <v>union all  select item=12, shipno='PON15150029', richan='24010-KN10C'</v>
      </c>
      <c r="E15" t="str">
        <f t="shared" si="1"/>
        <v>union all  select item=12, shipno='15150029', richan='24010-KN10C'</v>
      </c>
    </row>
    <row r="16" spans="1:6" x14ac:dyDescent="0.25">
      <c r="A16" s="12">
        <v>13</v>
      </c>
      <c r="B16" s="24" t="s">
        <v>380</v>
      </c>
      <c r="C16" t="s">
        <v>557</v>
      </c>
      <c r="D16" t="str">
        <f t="shared" si="0"/>
        <v>union all  select item=13, shipno='PON15180020', richan='24010-KN10C'</v>
      </c>
      <c r="E16" t="str">
        <f t="shared" si="1"/>
        <v>union all  select item=13, shipno='15180020', richan='24010-KN10C'</v>
      </c>
    </row>
    <row r="17" spans="1:5" x14ac:dyDescent="0.25">
      <c r="A17" s="12">
        <v>14</v>
      </c>
      <c r="B17" s="24" t="s">
        <v>382</v>
      </c>
      <c r="C17" t="s">
        <v>557</v>
      </c>
      <c r="D17" t="str">
        <f t="shared" si="0"/>
        <v>union all  select item=14, shipno='PON151C0041', richan='24010-KN10C'</v>
      </c>
      <c r="E17" t="str">
        <f t="shared" si="1"/>
        <v>union all  select item=14, shipno='151C0041', richan='24010-KN10C'</v>
      </c>
    </row>
    <row r="18" spans="1:5" x14ac:dyDescent="0.25">
      <c r="A18" s="12">
        <v>15</v>
      </c>
      <c r="B18" s="24" t="s">
        <v>383</v>
      </c>
      <c r="C18" t="s">
        <v>557</v>
      </c>
      <c r="D18" t="str">
        <f t="shared" si="0"/>
        <v>union all  select item=15, shipno='PON151F0031', richan='24010-KN10C'</v>
      </c>
      <c r="E18" t="str">
        <f t="shared" si="1"/>
        <v>union all  select item=15, shipno='151F0031', richan='24010-KN10C'</v>
      </c>
    </row>
    <row r="19" spans="1:5" x14ac:dyDescent="0.25">
      <c r="A19" s="12">
        <v>16</v>
      </c>
      <c r="B19" s="24" t="s">
        <v>385</v>
      </c>
      <c r="C19" t="s">
        <v>557</v>
      </c>
      <c r="D19" t="str">
        <f t="shared" si="0"/>
        <v>union all  select item=16, shipno='PON151J0027', richan='24010-KN10C'</v>
      </c>
      <c r="E19" t="str">
        <f t="shared" si="1"/>
        <v>union all  select item=16, shipno='151J0027', richan='24010-KN10C'</v>
      </c>
    </row>
    <row r="20" spans="1:5" x14ac:dyDescent="0.25">
      <c r="A20" s="12">
        <v>17</v>
      </c>
      <c r="B20" s="24" t="s">
        <v>387</v>
      </c>
      <c r="C20" t="s">
        <v>558</v>
      </c>
      <c r="D20" t="str">
        <f t="shared" si="0"/>
        <v>union all  select item=17, shipno='PON14C30023', richan='24010-KN10D'</v>
      </c>
      <c r="E20" t="str">
        <f t="shared" si="1"/>
        <v>union all  select item=17, shipno='14C30023', richan='24010-KN10D'</v>
      </c>
    </row>
    <row r="21" spans="1:5" x14ac:dyDescent="0.25">
      <c r="A21" s="12">
        <v>18</v>
      </c>
      <c r="B21" s="24" t="s">
        <v>389</v>
      </c>
      <c r="C21" t="s">
        <v>558</v>
      </c>
      <c r="D21" t="str">
        <f t="shared" si="0"/>
        <v>union all  select item=18, shipno='PON14C40026', richan='24010-KN10D'</v>
      </c>
      <c r="E21" t="str">
        <f t="shared" si="1"/>
        <v>union all  select item=18, shipno='14C40026', richan='24010-KN10D'</v>
      </c>
    </row>
    <row r="22" spans="1:5" x14ac:dyDescent="0.25">
      <c r="A22" s="12">
        <v>19</v>
      </c>
      <c r="B22" s="24" t="s">
        <v>391</v>
      </c>
      <c r="C22" t="s">
        <v>558</v>
      </c>
      <c r="D22" t="str">
        <f t="shared" si="0"/>
        <v>union all  select item=19, shipno='PON14C50027', richan='24010-KN10D'</v>
      </c>
      <c r="E22" t="str">
        <f t="shared" si="1"/>
        <v>union all  select item=19, shipno='14C50027', richan='24010-KN10D'</v>
      </c>
    </row>
    <row r="23" spans="1:5" x14ac:dyDescent="0.25">
      <c r="A23" s="12">
        <v>20</v>
      </c>
      <c r="B23" s="24" t="s">
        <v>393</v>
      </c>
      <c r="C23" t="s">
        <v>558</v>
      </c>
      <c r="D23" t="str">
        <f t="shared" si="0"/>
        <v>union all  select item=20, shipno='PON14C90019', richan='24010-KN10D'</v>
      </c>
      <c r="E23" t="str">
        <f t="shared" si="1"/>
        <v>union all  select item=20, shipno='14C90019', richan='24010-KN10D'</v>
      </c>
    </row>
    <row r="24" spans="1:5" x14ac:dyDescent="0.25">
      <c r="A24" s="12">
        <v>21</v>
      </c>
      <c r="B24" s="24" t="s">
        <v>395</v>
      </c>
      <c r="C24" t="s">
        <v>558</v>
      </c>
      <c r="D24" t="str">
        <f t="shared" si="0"/>
        <v>union all  select item=21, shipno='PON14CN0029', richan='24010-KN10D'</v>
      </c>
      <c r="E24" t="str">
        <f t="shared" si="1"/>
        <v>union all  select item=21, shipno='14CN0029', richan='24010-KN10D'</v>
      </c>
    </row>
    <row r="25" spans="1:5" x14ac:dyDescent="0.25">
      <c r="A25" s="12">
        <v>22</v>
      </c>
      <c r="B25" s="24" t="s">
        <v>397</v>
      </c>
      <c r="C25" t="s">
        <v>558</v>
      </c>
      <c r="D25" t="str">
        <f t="shared" si="0"/>
        <v>union all  select item=22, shipno='PON14CO0027', richan='24010-KN10D'</v>
      </c>
      <c r="E25" t="str">
        <f t="shared" si="1"/>
        <v>union all  select item=22, shipno='14CO0027', richan='24010-KN10D'</v>
      </c>
    </row>
    <row r="26" spans="1:5" x14ac:dyDescent="0.25">
      <c r="A26" s="12">
        <v>23</v>
      </c>
      <c r="B26" s="24" t="s">
        <v>399</v>
      </c>
      <c r="C26" t="s">
        <v>558</v>
      </c>
      <c r="D26" t="str">
        <f t="shared" si="0"/>
        <v>union all  select item=23, shipno='PON14CP0023', richan='24010-KN10D'</v>
      </c>
      <c r="E26" t="str">
        <f t="shared" si="1"/>
        <v>union all  select item=23, shipno='14CP0023', richan='24010-KN10D'</v>
      </c>
    </row>
    <row r="27" spans="1:5" x14ac:dyDescent="0.25">
      <c r="A27" s="12">
        <v>24</v>
      </c>
      <c r="B27" s="24" t="s">
        <v>400</v>
      </c>
      <c r="C27" t="s">
        <v>558</v>
      </c>
      <c r="D27" t="str">
        <f t="shared" si="0"/>
        <v>union all  select item=24, shipno='PON14CQ0016', richan='24010-KN10D'</v>
      </c>
      <c r="E27" t="str">
        <f t="shared" si="1"/>
        <v>union all  select item=24, shipno='14CQ0016', richan='24010-KN10D'</v>
      </c>
    </row>
    <row r="28" spans="1:5" x14ac:dyDescent="0.25">
      <c r="A28" s="12">
        <v>25</v>
      </c>
      <c r="B28" s="24" t="s">
        <v>401</v>
      </c>
      <c r="C28" t="s">
        <v>558</v>
      </c>
      <c r="D28" t="str">
        <f t="shared" si="0"/>
        <v>union all  select item=25, shipno='PON14CV0023', richan='24010-KN10D'</v>
      </c>
      <c r="E28" t="str">
        <f t="shared" si="1"/>
        <v>union all  select item=25, shipno='14CV0023', richan='24010-KN10D'</v>
      </c>
    </row>
    <row r="29" spans="1:5" x14ac:dyDescent="0.25">
      <c r="A29" s="12">
        <v>26</v>
      </c>
      <c r="B29" s="24" t="s">
        <v>403</v>
      </c>
      <c r="C29" t="s">
        <v>558</v>
      </c>
      <c r="D29" t="str">
        <f t="shared" si="0"/>
        <v>union all  select item=26, shipno='PON15170028', richan='24010-KN10D'</v>
      </c>
      <c r="E29" t="str">
        <f t="shared" si="1"/>
        <v>union all  select item=26, shipno='15170028', richan='24010-KN10D'</v>
      </c>
    </row>
    <row r="30" spans="1:5" x14ac:dyDescent="0.25">
      <c r="A30" s="12">
        <v>27</v>
      </c>
      <c r="B30" s="24" t="s">
        <v>405</v>
      </c>
      <c r="C30" t="s">
        <v>558</v>
      </c>
      <c r="D30" t="str">
        <f t="shared" si="0"/>
        <v>union all  select item=27, shipno='PON15190021', richan='24010-KN10D'</v>
      </c>
      <c r="E30" t="str">
        <f t="shared" si="1"/>
        <v>union all  select item=27, shipno='15190021', richan='24010-KN10D'</v>
      </c>
    </row>
    <row r="31" spans="1:5" x14ac:dyDescent="0.25">
      <c r="A31" s="12">
        <v>28</v>
      </c>
      <c r="B31" s="24" t="s">
        <v>407</v>
      </c>
      <c r="C31" t="s">
        <v>558</v>
      </c>
      <c r="D31" t="str">
        <f t="shared" si="0"/>
        <v>union all  select item=28, shipno='PON151D0022', richan='24010-KN10D'</v>
      </c>
      <c r="E31" t="str">
        <f t="shared" si="1"/>
        <v>union all  select item=28, shipno='151D0022', richan='24010-KN10D'</v>
      </c>
    </row>
    <row r="32" spans="1:5" x14ac:dyDescent="0.25">
      <c r="A32" s="12">
        <v>29</v>
      </c>
      <c r="B32" s="24" t="s">
        <v>409</v>
      </c>
      <c r="C32" t="s">
        <v>558</v>
      </c>
      <c r="D32" t="str">
        <f t="shared" si="0"/>
        <v>union all  select item=29, shipno='PON151E0039', richan='24010-KN10D'</v>
      </c>
      <c r="E32" t="str">
        <f t="shared" si="1"/>
        <v>union all  select item=29, shipno='151E0039', richan='24010-KN10D'</v>
      </c>
    </row>
    <row r="33" spans="1:5" x14ac:dyDescent="0.25">
      <c r="A33" s="12">
        <v>30</v>
      </c>
      <c r="B33" s="24" t="s">
        <v>410</v>
      </c>
      <c r="C33" t="s">
        <v>558</v>
      </c>
      <c r="D33" t="str">
        <f t="shared" si="0"/>
        <v>union all  select item=30, shipno='PON151F0024', richan='24010-KN10D'</v>
      </c>
      <c r="E33" t="str">
        <f t="shared" si="1"/>
        <v>union all  select item=30, shipno='151F0024', richan='24010-KN10D'</v>
      </c>
    </row>
    <row r="34" spans="1:5" x14ac:dyDescent="0.25">
      <c r="A34" s="12">
        <v>31</v>
      </c>
      <c r="B34" s="24" t="s">
        <v>412</v>
      </c>
      <c r="C34" t="s">
        <v>558</v>
      </c>
      <c r="D34" t="str">
        <f t="shared" si="0"/>
        <v>union all  select item=31, shipno='PON151J0024', richan='24010-KN10D'</v>
      </c>
      <c r="E34" t="str">
        <f t="shared" si="1"/>
        <v>union all  select item=31, shipno='151J0024', richan='24010-KN10D'</v>
      </c>
    </row>
    <row r="35" spans="1:5" x14ac:dyDescent="0.25">
      <c r="A35" s="12">
        <v>32</v>
      </c>
      <c r="B35" s="24" t="s">
        <v>414</v>
      </c>
      <c r="C35" t="s">
        <v>558</v>
      </c>
      <c r="D35" t="str">
        <f t="shared" si="0"/>
        <v>union all  select item=32, shipno='PON151N0016', richan='24010-KN10D'</v>
      </c>
      <c r="E35" t="str">
        <f t="shared" si="1"/>
        <v>union all  select item=32, shipno='151N0016', richan='24010-KN10D'</v>
      </c>
    </row>
    <row r="36" spans="1:5" x14ac:dyDescent="0.25">
      <c r="A36" s="12">
        <v>33</v>
      </c>
      <c r="B36" s="24" t="s">
        <v>416</v>
      </c>
      <c r="C36" t="s">
        <v>558</v>
      </c>
      <c r="D36" t="str">
        <f t="shared" si="0"/>
        <v>union all  select item=33, shipno='PON151Q0019', richan='24010-KN10D'</v>
      </c>
      <c r="E36" t="str">
        <f t="shared" si="1"/>
        <v>union all  select item=33, shipno='151Q0019', richan='24010-KN10D'</v>
      </c>
    </row>
    <row r="37" spans="1:5" x14ac:dyDescent="0.25">
      <c r="A37" s="12">
        <v>34</v>
      </c>
      <c r="B37" s="24" t="s">
        <v>418</v>
      </c>
      <c r="C37" t="s">
        <v>558</v>
      </c>
      <c r="D37" t="str">
        <f t="shared" si="0"/>
        <v>union all  select item=34, shipno='PON151R0018', richan='24010-KN10D'</v>
      </c>
      <c r="E37" t="str">
        <f t="shared" si="1"/>
        <v>union all  select item=34, shipno='151R0018', richan='24010-KN10D'</v>
      </c>
    </row>
    <row r="38" spans="1:5" x14ac:dyDescent="0.25">
      <c r="A38" s="12">
        <v>35</v>
      </c>
      <c r="B38" s="24" t="s">
        <v>420</v>
      </c>
      <c r="C38" t="s">
        <v>558</v>
      </c>
      <c r="D38" t="str">
        <f t="shared" si="0"/>
        <v>union all  select item=35, shipno='PON151S0014', richan='24010-KN10D'</v>
      </c>
      <c r="E38" t="str">
        <f t="shared" si="1"/>
        <v>union all  select item=35, shipno='151S0014', richan='24010-KN10D'</v>
      </c>
    </row>
    <row r="39" spans="1:5" x14ac:dyDescent="0.25">
      <c r="A39" s="12">
        <v>36</v>
      </c>
      <c r="B39" s="24" t="s">
        <v>421</v>
      </c>
      <c r="C39" t="s">
        <v>558</v>
      </c>
      <c r="D39" t="str">
        <f t="shared" si="0"/>
        <v>union all  select item=36, shipno='PON151T0016', richan='24010-KN10D'</v>
      </c>
      <c r="E39" t="str">
        <f t="shared" si="1"/>
        <v>union all  select item=36, shipno='151T0016', richan='24010-KN10D'</v>
      </c>
    </row>
    <row r="40" spans="1:5" x14ac:dyDescent="0.25">
      <c r="A40" s="12">
        <v>37</v>
      </c>
      <c r="B40" s="24" t="s">
        <v>423</v>
      </c>
      <c r="C40" t="s">
        <v>559</v>
      </c>
      <c r="D40" t="str">
        <f t="shared" si="0"/>
        <v>union all  select item=37, shipno='PON15150028', richan='24010-KN101'</v>
      </c>
      <c r="E40" t="str">
        <f t="shared" si="1"/>
        <v>union all  select item=37, shipno='15150028', richan='24010-KN101'</v>
      </c>
    </row>
    <row r="41" spans="1:5" x14ac:dyDescent="0.25">
      <c r="A41" s="12">
        <v>38</v>
      </c>
      <c r="B41" s="24" t="s">
        <v>424</v>
      </c>
      <c r="C41" t="s">
        <v>559</v>
      </c>
      <c r="D41" t="str">
        <f t="shared" si="0"/>
        <v>union all  select item=38, shipno='PON15160026', richan='24010-KN101'</v>
      </c>
      <c r="E41" t="str">
        <f t="shared" si="1"/>
        <v>union all  select item=38, shipno='15160026', richan='24010-KN101'</v>
      </c>
    </row>
    <row r="42" spans="1:5" x14ac:dyDescent="0.25">
      <c r="A42" s="12">
        <v>39</v>
      </c>
      <c r="B42" s="24" t="s">
        <v>426</v>
      </c>
      <c r="C42" t="s">
        <v>559</v>
      </c>
      <c r="D42" t="str">
        <f t="shared" si="0"/>
        <v>union all  select item=39, shipno='PON15170033', richan='24010-KN101'</v>
      </c>
      <c r="E42" t="str">
        <f t="shared" si="1"/>
        <v>union all  select item=39, shipno='15170033', richan='24010-KN101'</v>
      </c>
    </row>
    <row r="43" spans="1:5" x14ac:dyDescent="0.25">
      <c r="A43" s="12">
        <v>40</v>
      </c>
      <c r="B43" s="24" t="s">
        <v>427</v>
      </c>
      <c r="C43" t="s">
        <v>559</v>
      </c>
      <c r="D43" t="str">
        <f t="shared" si="0"/>
        <v>union all  select item=40, shipno='PON15190023', richan='24010-KN101'</v>
      </c>
      <c r="E43" t="str">
        <f t="shared" si="1"/>
        <v>union all  select item=40, shipno='15190023', richan='24010-KN101'</v>
      </c>
    </row>
    <row r="44" spans="1:5" x14ac:dyDescent="0.25">
      <c r="A44" s="12">
        <v>41</v>
      </c>
      <c r="B44" s="24" t="s">
        <v>428</v>
      </c>
      <c r="C44" t="s">
        <v>559</v>
      </c>
      <c r="D44" t="str">
        <f t="shared" si="0"/>
        <v>union all  select item=41, shipno='PON151C0040', richan='24010-KN101'</v>
      </c>
      <c r="E44" t="str">
        <f t="shared" si="1"/>
        <v>union all  select item=41, shipno='151C0040', richan='24010-KN101'</v>
      </c>
    </row>
    <row r="45" spans="1:5" x14ac:dyDescent="0.25">
      <c r="A45" s="12">
        <v>42</v>
      </c>
      <c r="B45" s="24" t="s">
        <v>429</v>
      </c>
      <c r="C45" t="s">
        <v>559</v>
      </c>
      <c r="D45" t="str">
        <f t="shared" si="0"/>
        <v>union all  select item=42, shipno='PON151E0041', richan='24010-KN101'</v>
      </c>
      <c r="E45" t="str">
        <f t="shared" si="1"/>
        <v>union all  select item=42, shipno='151E0041', richan='24010-KN101'</v>
      </c>
    </row>
    <row r="46" spans="1:5" x14ac:dyDescent="0.25">
      <c r="A46" s="12">
        <v>43</v>
      </c>
      <c r="B46" s="24" t="s">
        <v>430</v>
      </c>
      <c r="C46" t="s">
        <v>559</v>
      </c>
      <c r="D46" t="str">
        <f t="shared" si="0"/>
        <v>union all  select item=43, shipno='PON151J0026', richan='24010-KN101'</v>
      </c>
      <c r="E46" t="str">
        <f t="shared" si="1"/>
        <v>union all  select item=43, shipno='151J0026', richan='24010-KN101'</v>
      </c>
    </row>
    <row r="47" spans="1:5" x14ac:dyDescent="0.25">
      <c r="A47" s="12">
        <v>44</v>
      </c>
      <c r="B47" s="24" t="s">
        <v>431</v>
      </c>
      <c r="C47" t="s">
        <v>559</v>
      </c>
      <c r="D47" t="str">
        <f t="shared" si="0"/>
        <v>union all  select item=44, shipno='PON151L0004', richan='24010-KN101'</v>
      </c>
      <c r="E47" t="str">
        <f t="shared" si="1"/>
        <v>union all  select item=44, shipno='151L0004', richan='24010-KN101'</v>
      </c>
    </row>
    <row r="48" spans="1:5" x14ac:dyDescent="0.25">
      <c r="A48" s="12">
        <v>45</v>
      </c>
      <c r="B48" s="24" t="s">
        <v>433</v>
      </c>
      <c r="C48" t="s">
        <v>559</v>
      </c>
      <c r="D48" t="str">
        <f t="shared" si="0"/>
        <v>union all  select item=45, shipno='PON151N0027', richan='24010-KN101'</v>
      </c>
      <c r="E48" t="str">
        <f t="shared" si="1"/>
        <v>union all  select item=45, shipno='151N0027', richan='24010-KN101'</v>
      </c>
    </row>
    <row r="49" spans="1:5" x14ac:dyDescent="0.25">
      <c r="A49" s="12">
        <v>46</v>
      </c>
      <c r="B49" s="24" t="s">
        <v>434</v>
      </c>
      <c r="C49" t="s">
        <v>559</v>
      </c>
      <c r="D49" t="str">
        <f t="shared" si="0"/>
        <v>union all  select item=46, shipno='PON151Q0026', richan='24010-KN101'</v>
      </c>
      <c r="E49" t="str">
        <f t="shared" si="1"/>
        <v>union all  select item=46, shipno='151Q0026', richan='24010-KN101'</v>
      </c>
    </row>
    <row r="50" spans="1:5" x14ac:dyDescent="0.25">
      <c r="A50" s="12">
        <v>47</v>
      </c>
      <c r="B50" s="24" t="s">
        <v>435</v>
      </c>
      <c r="C50" t="s">
        <v>559</v>
      </c>
      <c r="D50" t="str">
        <f t="shared" si="0"/>
        <v>union all  select item=47, shipno='PON151R0028', richan='24010-KN101'</v>
      </c>
      <c r="E50" t="str">
        <f t="shared" si="1"/>
        <v>union all  select item=47, shipno='151R0028', richan='24010-KN101'</v>
      </c>
    </row>
    <row r="51" spans="1:5" x14ac:dyDescent="0.25">
      <c r="A51" s="12">
        <v>48</v>
      </c>
      <c r="B51" s="24" t="s">
        <v>436</v>
      </c>
      <c r="C51" t="s">
        <v>559</v>
      </c>
      <c r="D51" t="str">
        <f t="shared" si="0"/>
        <v>union all  select item=48, shipno='PON151S0025', richan='24010-KN101'</v>
      </c>
      <c r="E51" t="str">
        <f t="shared" si="1"/>
        <v>union all  select item=48, shipno='151S0025', richan='24010-KN101'</v>
      </c>
    </row>
    <row r="52" spans="1:5" x14ac:dyDescent="0.25">
      <c r="A52" s="12">
        <v>49</v>
      </c>
      <c r="B52" s="24" t="s">
        <v>437</v>
      </c>
      <c r="C52" t="s">
        <v>560</v>
      </c>
      <c r="D52" t="str">
        <f t="shared" si="0"/>
        <v>union all  select item=49, shipno='PON15170029', richan='24010-KN106'</v>
      </c>
      <c r="E52" t="str">
        <f t="shared" si="1"/>
        <v>union all  select item=49, shipno='15170029', richan='24010-KN106'</v>
      </c>
    </row>
    <row r="53" spans="1:5" x14ac:dyDescent="0.25">
      <c r="A53" s="12">
        <v>50</v>
      </c>
      <c r="B53" s="24" t="s">
        <v>438</v>
      </c>
      <c r="C53" t="s">
        <v>560</v>
      </c>
      <c r="D53" t="str">
        <f t="shared" si="0"/>
        <v>union all  select item=50, shipno='PON151D0023', richan='24010-KN106'</v>
      </c>
      <c r="E53" t="str">
        <f t="shared" si="1"/>
        <v>union all  select item=50, shipno='151D0023', richan='24010-KN106'</v>
      </c>
    </row>
    <row r="54" spans="1:5" x14ac:dyDescent="0.25">
      <c r="A54" s="12">
        <v>51</v>
      </c>
      <c r="B54" s="24" t="s">
        <v>439</v>
      </c>
      <c r="C54" t="s">
        <v>560</v>
      </c>
      <c r="D54" t="str">
        <f t="shared" si="0"/>
        <v>union all  select item=51, shipno='PON151S0015', richan='24010-KN106'</v>
      </c>
      <c r="E54" t="str">
        <f t="shared" si="1"/>
        <v>union all  select item=51, shipno='151S0015', richan='24010-KN106'</v>
      </c>
    </row>
    <row r="55" spans="1:5" x14ac:dyDescent="0.25">
      <c r="A55" s="12">
        <v>52</v>
      </c>
      <c r="B55" s="24" t="s">
        <v>440</v>
      </c>
      <c r="C55" t="s">
        <v>560</v>
      </c>
      <c r="D55" t="str">
        <f t="shared" si="0"/>
        <v>union all  select item=52, shipno='PON151T0017', richan='24010-KN106'</v>
      </c>
      <c r="E55" t="str">
        <f t="shared" si="1"/>
        <v>union all  select item=52, shipno='151T0017', richan='24010-KN106'</v>
      </c>
    </row>
    <row r="56" spans="1:5" x14ac:dyDescent="0.25">
      <c r="A56" s="12">
        <v>53</v>
      </c>
      <c r="B56" s="24" t="s">
        <v>441</v>
      </c>
      <c r="C56" t="s">
        <v>561</v>
      </c>
      <c r="D56" t="str">
        <f t="shared" si="0"/>
        <v>union all  select item=53, shipno='PON14CV0034', richan='24010-KN117'</v>
      </c>
      <c r="E56" t="str">
        <f t="shared" si="1"/>
        <v>union all  select item=53, shipno='14CV0034', richan='24010-KN117'</v>
      </c>
    </row>
    <row r="57" spans="1:5" x14ac:dyDescent="0.25">
      <c r="A57" s="12">
        <v>54</v>
      </c>
      <c r="B57" s="24" t="s">
        <v>442</v>
      </c>
      <c r="C57" t="s">
        <v>561</v>
      </c>
      <c r="D57" t="str">
        <f t="shared" si="0"/>
        <v>union all  select item=54, shipno='PON15190024', richan='24010-KN117'</v>
      </c>
      <c r="E57" t="str">
        <f t="shared" si="1"/>
        <v>union all  select item=54, shipno='15190024', richan='24010-KN117'</v>
      </c>
    </row>
    <row r="58" spans="1:5" x14ac:dyDescent="0.25">
      <c r="A58" s="12">
        <v>55</v>
      </c>
      <c r="B58" s="24" t="s">
        <v>443</v>
      </c>
      <c r="C58" t="s">
        <v>561</v>
      </c>
      <c r="D58" t="str">
        <f t="shared" si="0"/>
        <v>union all  select item=55, shipno='PON151D0033', richan='24010-KN117'</v>
      </c>
      <c r="E58" t="str">
        <f t="shared" si="1"/>
        <v>union all  select item=55, shipno='151D0033', richan='24010-KN117'</v>
      </c>
    </row>
    <row r="59" spans="1:5" x14ac:dyDescent="0.25">
      <c r="A59" s="12">
        <v>56</v>
      </c>
      <c r="B59" s="24" t="s">
        <v>444</v>
      </c>
      <c r="C59" t="s">
        <v>561</v>
      </c>
      <c r="D59" t="str">
        <f t="shared" si="0"/>
        <v>union all  select item=56, shipno='PON151F0041', richan='24010-KN117'</v>
      </c>
      <c r="E59" t="str">
        <f t="shared" si="1"/>
        <v>union all  select item=56, shipno='151F0041', richan='24010-KN117'</v>
      </c>
    </row>
    <row r="60" spans="1:5" x14ac:dyDescent="0.25">
      <c r="A60" s="12">
        <v>57</v>
      </c>
      <c r="B60" s="24" t="s">
        <v>445</v>
      </c>
      <c r="C60" t="s">
        <v>561</v>
      </c>
      <c r="D60" t="str">
        <f t="shared" si="0"/>
        <v>union all  select item=57, shipno='PON151J0028', richan='24010-KN117'</v>
      </c>
      <c r="E60" t="str">
        <f t="shared" si="1"/>
        <v>union all  select item=57, shipno='151J0028', richan='24010-KN117'</v>
      </c>
    </row>
    <row r="61" spans="1:5" x14ac:dyDescent="0.25">
      <c r="A61" s="12">
        <v>58</v>
      </c>
      <c r="B61" s="24" t="s">
        <v>446</v>
      </c>
      <c r="C61" t="s">
        <v>561</v>
      </c>
      <c r="D61" t="str">
        <f t="shared" si="0"/>
        <v>union all  select item=58, shipno='PON151K0028', richan='24010-KN117'</v>
      </c>
      <c r="E61" t="str">
        <f t="shared" si="1"/>
        <v>union all  select item=58, shipno='151K0028', richan='24010-KN117'</v>
      </c>
    </row>
    <row r="62" spans="1:5" x14ac:dyDescent="0.25">
      <c r="A62" s="12">
        <v>59</v>
      </c>
      <c r="B62" s="24" t="s">
        <v>448</v>
      </c>
      <c r="C62" t="s">
        <v>562</v>
      </c>
      <c r="D62" t="str">
        <f t="shared" si="0"/>
        <v>union all  select item=59, shipno='PON151F0043', richan='24010-KN576'</v>
      </c>
      <c r="E62" t="str">
        <f t="shared" si="1"/>
        <v>union all  select item=59, shipno='151F0043', richan='24010-KN576'</v>
      </c>
    </row>
    <row r="63" spans="1:5" x14ac:dyDescent="0.25">
      <c r="A63" s="12">
        <v>61</v>
      </c>
      <c r="B63" s="24" t="s">
        <v>449</v>
      </c>
      <c r="C63" t="s">
        <v>563</v>
      </c>
      <c r="D63" t="str">
        <f t="shared" si="0"/>
        <v>union all  select item=61, shipno='PON151F0042', richan='24010-KN574'</v>
      </c>
      <c r="E63" t="str">
        <f t="shared" si="1"/>
        <v>union all  select item=61, shipno='151F0042', richan='24010-KN574'</v>
      </c>
    </row>
    <row r="64" spans="1:5" x14ac:dyDescent="0.25">
      <c r="A64" s="12">
        <v>63</v>
      </c>
      <c r="B64" s="24" t="s">
        <v>450</v>
      </c>
      <c r="C64" t="s">
        <v>564</v>
      </c>
      <c r="D64" t="str">
        <f t="shared" si="0"/>
        <v>union all  select item=63, shipno='PON14CV0026', richan='2804A-KN102'</v>
      </c>
      <c r="E64" t="str">
        <f t="shared" si="1"/>
        <v>union all  select item=63, shipno='14CV0026', richan='2804A-KN102'</v>
      </c>
    </row>
    <row r="65" spans="1:5" x14ac:dyDescent="0.25">
      <c r="A65" s="12">
        <v>64</v>
      </c>
      <c r="B65" s="24" t="s">
        <v>451</v>
      </c>
      <c r="C65" t="s">
        <v>564</v>
      </c>
      <c r="D65" t="str">
        <f t="shared" si="0"/>
        <v>union all  select item=64, shipno='PON14CV0035', richan='2804A-KN102'</v>
      </c>
      <c r="E65" t="str">
        <f t="shared" si="1"/>
        <v>union all  select item=64, shipno='14CV0035', richan='2804A-KN102'</v>
      </c>
    </row>
    <row r="66" spans="1:5" x14ac:dyDescent="0.25">
      <c r="A66" s="12">
        <v>65</v>
      </c>
      <c r="B66" s="24" t="s">
        <v>452</v>
      </c>
      <c r="C66" t="s">
        <v>564</v>
      </c>
      <c r="D66" t="str">
        <f t="shared" si="0"/>
        <v>union all  select item=65, shipno='PON15180021', richan='2804A-KN102'</v>
      </c>
      <c r="E66" t="str">
        <f t="shared" si="1"/>
        <v>union all  select item=65, shipno='15180021', richan='2804A-KN102'</v>
      </c>
    </row>
    <row r="67" spans="1:5" x14ac:dyDescent="0.25">
      <c r="A67" s="12">
        <v>66</v>
      </c>
      <c r="B67" s="24" t="s">
        <v>453</v>
      </c>
      <c r="C67" t="s">
        <v>564</v>
      </c>
      <c r="D67" t="str">
        <f t="shared" si="0"/>
        <v>union all  select item=66, shipno='PON151D0034', richan='2804A-KN102'</v>
      </c>
      <c r="E67" t="str">
        <f t="shared" si="1"/>
        <v>union all  select item=66, shipno='151D0034', richan='2804A-KN102'</v>
      </c>
    </row>
    <row r="68" spans="1:5" x14ac:dyDescent="0.25">
      <c r="A68" s="12">
        <v>67</v>
      </c>
      <c r="B68" s="24" t="s">
        <v>454</v>
      </c>
      <c r="C68" t="s">
        <v>564</v>
      </c>
      <c r="D68" t="str">
        <f t="shared" si="0"/>
        <v>union all  select item=67, shipno='PON151E0040', richan='2804A-KN102'</v>
      </c>
      <c r="E68" t="str">
        <f t="shared" si="1"/>
        <v>union all  select item=67, shipno='151E0040', richan='2804A-KN102'</v>
      </c>
    </row>
    <row r="69" spans="1:5" x14ac:dyDescent="0.25">
      <c r="A69" s="12">
        <v>68</v>
      </c>
      <c r="B69" s="24" t="s">
        <v>455</v>
      </c>
      <c r="C69" t="s">
        <v>564</v>
      </c>
      <c r="D69" t="str">
        <f t="shared" si="0"/>
        <v>union all  select item=68, shipno='PON151F0029', richan='2804A-KN102'</v>
      </c>
      <c r="E69" t="str">
        <f t="shared" si="1"/>
        <v>union all  select item=68, shipno='151F0029', richan='2804A-KN102'</v>
      </c>
    </row>
    <row r="70" spans="1:5" x14ac:dyDescent="0.25">
      <c r="A70" s="12">
        <v>69</v>
      </c>
      <c r="B70" s="24" t="s">
        <v>456</v>
      </c>
      <c r="C70" t="s">
        <v>564</v>
      </c>
      <c r="D70" t="str">
        <f t="shared" ref="D70:D133" si="2">"union all  select item=" &amp; A70 &amp; ", shipno='PON" &amp; B70 &amp; "', richan='" &amp; C70 &amp; "'"</f>
        <v>union all  select item=69, shipno='PON151K0019', richan='2804A-KN102'</v>
      </c>
      <c r="E70" t="str">
        <f t="shared" ref="E70:E133" si="3">"union all  select item=" &amp; A70 &amp; ", shipno='" &amp; B70 &amp; "', richan='" &amp; C70 &amp; "'"</f>
        <v>union all  select item=69, shipno='151K0019', richan='2804A-KN102'</v>
      </c>
    </row>
    <row r="71" spans="1:5" x14ac:dyDescent="0.25">
      <c r="A71" s="12">
        <v>70</v>
      </c>
      <c r="B71" s="24" t="s">
        <v>457</v>
      </c>
      <c r="C71" t="s">
        <v>564</v>
      </c>
      <c r="D71" t="str">
        <f t="shared" si="2"/>
        <v>union all  select item=70, shipno='PON151N0019', richan='2804A-KN102'</v>
      </c>
      <c r="E71" t="str">
        <f t="shared" si="3"/>
        <v>union all  select item=70, shipno='151N0019', richan='2804A-KN102'</v>
      </c>
    </row>
    <row r="72" spans="1:5" x14ac:dyDescent="0.25">
      <c r="A72" s="12">
        <v>71</v>
      </c>
      <c r="B72" s="24" t="s">
        <v>458</v>
      </c>
      <c r="C72" t="s">
        <v>564</v>
      </c>
      <c r="D72" t="str">
        <f t="shared" si="2"/>
        <v>union all  select item=71, shipno='PON151R0019', richan='2804A-KN102'</v>
      </c>
      <c r="E72" t="str">
        <f t="shared" si="3"/>
        <v>union all  select item=71, shipno='151R0019', richan='2804A-KN102'</v>
      </c>
    </row>
    <row r="73" spans="1:5" x14ac:dyDescent="0.25">
      <c r="A73" s="12">
        <v>72</v>
      </c>
      <c r="B73" s="24" t="s">
        <v>459</v>
      </c>
      <c r="C73" t="s">
        <v>565</v>
      </c>
      <c r="D73" t="str">
        <f t="shared" si="2"/>
        <v>union all  select item=72, shipno='PON15170034', richan='2804A-KN103'</v>
      </c>
      <c r="E73" t="str">
        <f t="shared" si="3"/>
        <v>union all  select item=72, shipno='15170034', richan='2804A-KN103'</v>
      </c>
    </row>
    <row r="74" spans="1:5" x14ac:dyDescent="0.25">
      <c r="A74" s="12">
        <v>73</v>
      </c>
      <c r="B74" s="24" t="s">
        <v>460</v>
      </c>
      <c r="C74" t="s">
        <v>565</v>
      </c>
      <c r="D74" t="str">
        <f t="shared" si="2"/>
        <v>union all  select item=73, shipno='PON151C0042', richan='2804A-KN103'</v>
      </c>
      <c r="E74" t="str">
        <f t="shared" si="3"/>
        <v>union all  select item=73, shipno='151C0042', richan='2804A-KN103'</v>
      </c>
    </row>
    <row r="75" spans="1:5" x14ac:dyDescent="0.25">
      <c r="A75" s="12">
        <v>74</v>
      </c>
      <c r="B75" s="24" t="s">
        <v>461</v>
      </c>
      <c r="C75" t="s">
        <v>565</v>
      </c>
      <c r="D75" t="str">
        <f t="shared" si="2"/>
        <v>union all  select item=74, shipno='PON151J0029', richan='2804A-KN103'</v>
      </c>
      <c r="E75" t="str">
        <f t="shared" si="3"/>
        <v>union all  select item=74, shipno='151J0029', richan='2804A-KN103'</v>
      </c>
    </row>
    <row r="76" spans="1:5" x14ac:dyDescent="0.25">
      <c r="A76" s="12">
        <v>75</v>
      </c>
      <c r="B76" s="24" t="s">
        <v>462</v>
      </c>
      <c r="C76" t="s">
        <v>565</v>
      </c>
      <c r="D76" t="str">
        <f t="shared" si="2"/>
        <v>union all  select item=75, shipno='PON151N0028', richan='2804A-KN103'</v>
      </c>
      <c r="E76" t="str">
        <f t="shared" si="3"/>
        <v>union all  select item=75, shipno='151N0028', richan='2804A-KN103'</v>
      </c>
    </row>
    <row r="77" spans="1:5" x14ac:dyDescent="0.25">
      <c r="A77" s="12">
        <v>76</v>
      </c>
      <c r="B77" s="24" t="s">
        <v>463</v>
      </c>
      <c r="C77" t="s">
        <v>565</v>
      </c>
      <c r="D77" t="str">
        <f t="shared" si="2"/>
        <v>union all  select item=76, shipno='PON151Q0027', richan='2804A-KN103'</v>
      </c>
      <c r="E77" t="str">
        <f t="shared" si="3"/>
        <v>union all  select item=76, shipno='151Q0027', richan='2804A-KN103'</v>
      </c>
    </row>
    <row r="78" spans="1:5" x14ac:dyDescent="0.25">
      <c r="A78" s="12">
        <v>77</v>
      </c>
      <c r="B78" s="24" t="s">
        <v>464</v>
      </c>
      <c r="C78" t="s">
        <v>565</v>
      </c>
      <c r="D78" t="str">
        <f t="shared" si="2"/>
        <v>union all  select item=77, shipno='PON151S0026', richan='2804A-KN103'</v>
      </c>
      <c r="E78" t="str">
        <f t="shared" si="3"/>
        <v>union all  select item=77, shipno='151S0026', richan='2804A-KN103'</v>
      </c>
    </row>
    <row r="79" spans="1:5" x14ac:dyDescent="0.25">
      <c r="A79" s="12">
        <v>78</v>
      </c>
      <c r="B79" s="24" t="s">
        <v>465</v>
      </c>
      <c r="C79" t="s">
        <v>565</v>
      </c>
      <c r="D79" t="str">
        <f t="shared" si="2"/>
        <v>union all  select item=78, shipno='PON151T0018', richan='2804A-KN103'</v>
      </c>
      <c r="E79" t="str">
        <f t="shared" si="3"/>
        <v>union all  select item=78, shipno='151T0018', richan='2804A-KN103'</v>
      </c>
    </row>
    <row r="80" spans="1:5" x14ac:dyDescent="0.25">
      <c r="A80" s="12">
        <v>79</v>
      </c>
      <c r="B80" s="24" t="s">
        <v>466</v>
      </c>
      <c r="C80" t="s">
        <v>565</v>
      </c>
      <c r="D80" t="str">
        <f t="shared" si="2"/>
        <v>union all  select item=79, shipno='PON151T0025', richan='2804A-KN103'</v>
      </c>
      <c r="E80" t="str">
        <f t="shared" si="3"/>
        <v>union all  select item=79, shipno='151T0025', richan='2804A-KN103'</v>
      </c>
    </row>
    <row r="81" spans="1:5" x14ac:dyDescent="0.25">
      <c r="A81" s="12">
        <v>80</v>
      </c>
      <c r="B81" s="24" t="s">
        <v>467</v>
      </c>
      <c r="C81" t="s">
        <v>566</v>
      </c>
      <c r="D81" t="str">
        <f t="shared" si="2"/>
        <v>union all  select item=80, shipno='PON15170035', richan='28216-KN211'</v>
      </c>
      <c r="E81" t="str">
        <f t="shared" si="3"/>
        <v>union all  select item=80, shipno='15170035', richan='28216-KN211'</v>
      </c>
    </row>
    <row r="82" spans="1:5" x14ac:dyDescent="0.25">
      <c r="A82" s="12">
        <v>81</v>
      </c>
      <c r="B82" s="24" t="s">
        <v>468</v>
      </c>
      <c r="C82" t="s">
        <v>566</v>
      </c>
      <c r="D82" t="str">
        <f t="shared" si="2"/>
        <v>union all  select item=81, shipno='PON151C0043', richan='28216-KN211'</v>
      </c>
      <c r="E82" t="str">
        <f t="shared" si="3"/>
        <v>union all  select item=81, shipno='151C0043', richan='28216-KN211'</v>
      </c>
    </row>
    <row r="83" spans="1:5" x14ac:dyDescent="0.25">
      <c r="A83" s="12">
        <v>82</v>
      </c>
      <c r="B83" s="24" t="s">
        <v>469</v>
      </c>
      <c r="C83" t="s">
        <v>566</v>
      </c>
      <c r="D83" t="str">
        <f t="shared" si="2"/>
        <v>union all  select item=82, shipno='PON151J0030', richan='28216-KN211'</v>
      </c>
      <c r="E83" t="str">
        <f t="shared" si="3"/>
        <v>union all  select item=82, shipno='151J0030', richan='28216-KN211'</v>
      </c>
    </row>
    <row r="84" spans="1:5" x14ac:dyDescent="0.25">
      <c r="A84" s="12">
        <v>83</v>
      </c>
      <c r="B84" s="24" t="s">
        <v>470</v>
      </c>
      <c r="C84" t="s">
        <v>566</v>
      </c>
      <c r="D84" t="str">
        <f t="shared" si="2"/>
        <v>union all  select item=83, shipno='PON151M0025', richan='28216-KN211'</v>
      </c>
      <c r="E84" t="str">
        <f t="shared" si="3"/>
        <v>union all  select item=83, shipno='151M0025', richan='28216-KN211'</v>
      </c>
    </row>
    <row r="85" spans="1:5" x14ac:dyDescent="0.25">
      <c r="A85" s="12">
        <v>84</v>
      </c>
      <c r="B85" s="24" t="s">
        <v>472</v>
      </c>
      <c r="C85" t="s">
        <v>566</v>
      </c>
      <c r="D85" t="str">
        <f t="shared" si="2"/>
        <v>union all  select item=84, shipno='PON151N0029', richan='28216-KN211'</v>
      </c>
      <c r="E85" t="str">
        <f t="shared" si="3"/>
        <v>union all  select item=84, shipno='151N0029', richan='28216-KN211'</v>
      </c>
    </row>
    <row r="86" spans="1:5" x14ac:dyDescent="0.25">
      <c r="A86" s="12">
        <v>85</v>
      </c>
      <c r="B86" s="24" t="s">
        <v>473</v>
      </c>
      <c r="C86" t="s">
        <v>566</v>
      </c>
      <c r="D86" t="str">
        <f t="shared" si="2"/>
        <v>union all  select item=85, shipno='PON151R0029', richan='28216-KN211'</v>
      </c>
      <c r="E86" t="str">
        <f t="shared" si="3"/>
        <v>union all  select item=85, shipno='151R0029', richan='28216-KN211'</v>
      </c>
    </row>
    <row r="87" spans="1:5" x14ac:dyDescent="0.25">
      <c r="A87" s="12">
        <v>86</v>
      </c>
      <c r="B87" s="24" t="s">
        <v>474</v>
      </c>
      <c r="C87" t="s">
        <v>566</v>
      </c>
      <c r="D87" t="str">
        <f t="shared" si="2"/>
        <v>union all  select item=86, shipno='PON151S0016', richan='28216-KN211'</v>
      </c>
      <c r="E87" t="str">
        <f t="shared" si="3"/>
        <v>union all  select item=86, shipno='151S0016', richan='28216-KN211'</v>
      </c>
    </row>
    <row r="88" spans="1:5" x14ac:dyDescent="0.25">
      <c r="A88" s="12">
        <v>87</v>
      </c>
      <c r="B88" s="24" t="s">
        <v>475</v>
      </c>
      <c r="C88" t="s">
        <v>566</v>
      </c>
      <c r="D88" t="str">
        <f t="shared" si="2"/>
        <v>union all  select item=87, shipno='PON151S0027', richan='28216-KN211'</v>
      </c>
      <c r="E88" t="str">
        <f t="shared" si="3"/>
        <v>union all  select item=87, shipno='151S0027', richan='28216-KN211'</v>
      </c>
    </row>
    <row r="89" spans="1:5" x14ac:dyDescent="0.25">
      <c r="A89" s="12">
        <v>88</v>
      </c>
      <c r="B89" s="24" t="s">
        <v>476</v>
      </c>
      <c r="C89" t="s">
        <v>566</v>
      </c>
      <c r="D89" t="str">
        <f t="shared" si="2"/>
        <v>union all  select item=88, shipno='PON151T0026', richan='28216-KN211'</v>
      </c>
      <c r="E89" t="str">
        <f t="shared" si="3"/>
        <v>union all  select item=88, shipno='151T0026', richan='28216-KN211'</v>
      </c>
    </row>
    <row r="90" spans="1:5" x14ac:dyDescent="0.25">
      <c r="A90" s="12">
        <v>89</v>
      </c>
      <c r="B90" s="24" t="s">
        <v>477</v>
      </c>
      <c r="C90" t="s">
        <v>567</v>
      </c>
      <c r="D90" t="str">
        <f t="shared" si="2"/>
        <v>union all  select item=89, shipno='PON14CV0036', richan='28216-KN214'</v>
      </c>
      <c r="E90" t="str">
        <f t="shared" si="3"/>
        <v>union all  select item=89, shipno='14CV0036', richan='28216-KN214'</v>
      </c>
    </row>
    <row r="91" spans="1:5" x14ac:dyDescent="0.25">
      <c r="A91" s="12">
        <v>90</v>
      </c>
      <c r="B91" s="24" t="s">
        <v>478</v>
      </c>
      <c r="C91" t="s">
        <v>567</v>
      </c>
      <c r="D91" t="str">
        <f t="shared" si="2"/>
        <v>union all  select item=90, shipno='PON15170030', richan='28216-KN214'</v>
      </c>
      <c r="E91" t="str">
        <f t="shared" si="3"/>
        <v>union all  select item=90, shipno='15170030', richan='28216-KN214'</v>
      </c>
    </row>
    <row r="92" spans="1:5" x14ac:dyDescent="0.25">
      <c r="A92" s="12">
        <v>91</v>
      </c>
      <c r="B92" s="24" t="s">
        <v>479</v>
      </c>
      <c r="C92" t="s">
        <v>567</v>
      </c>
      <c r="D92" t="str">
        <f t="shared" si="2"/>
        <v>union all  select item=91, shipno='PON15180022', richan='28216-KN214'</v>
      </c>
      <c r="E92" t="str">
        <f t="shared" si="3"/>
        <v>union all  select item=91, shipno='15180022', richan='28216-KN214'</v>
      </c>
    </row>
    <row r="93" spans="1:5" x14ac:dyDescent="0.25">
      <c r="A93" s="12">
        <v>92</v>
      </c>
      <c r="B93" s="24" t="s">
        <v>480</v>
      </c>
      <c r="C93" t="s">
        <v>567</v>
      </c>
      <c r="D93" t="str">
        <f t="shared" si="2"/>
        <v>union all  select item=92, shipno='PON151D0035', richan='28216-KN214'</v>
      </c>
      <c r="E93" t="str">
        <f t="shared" si="3"/>
        <v>union all  select item=92, shipno='151D0035', richan='28216-KN214'</v>
      </c>
    </row>
    <row r="94" spans="1:5" x14ac:dyDescent="0.25">
      <c r="A94" s="12">
        <v>93</v>
      </c>
      <c r="B94" s="24" t="s">
        <v>481</v>
      </c>
      <c r="C94" t="s">
        <v>567</v>
      </c>
      <c r="D94" t="str">
        <f t="shared" si="2"/>
        <v>union all  select item=93, shipno='PON151F0030', richan='28216-KN214'</v>
      </c>
      <c r="E94" t="str">
        <f t="shared" si="3"/>
        <v>union all  select item=93, shipno='151F0030', richan='28216-KN214'</v>
      </c>
    </row>
    <row r="95" spans="1:5" x14ac:dyDescent="0.25">
      <c r="A95" s="12">
        <v>94</v>
      </c>
      <c r="B95" s="24" t="s">
        <v>482</v>
      </c>
      <c r="C95" t="s">
        <v>567</v>
      </c>
      <c r="D95" t="str">
        <f t="shared" si="2"/>
        <v>union all  select item=94, shipno='PON151F0025', richan='28216-KN214'</v>
      </c>
      <c r="E95" t="str">
        <f t="shared" si="3"/>
        <v>union all  select item=94, shipno='151F0025', richan='28216-KN214'</v>
      </c>
    </row>
    <row r="96" spans="1:5" x14ac:dyDescent="0.25">
      <c r="A96" s="12">
        <v>95</v>
      </c>
      <c r="B96" s="24" t="s">
        <v>483</v>
      </c>
      <c r="C96" t="s">
        <v>567</v>
      </c>
      <c r="D96" t="str">
        <f t="shared" si="2"/>
        <v>union all  select item=95, shipno='PON151J0031', richan='28216-KN214'</v>
      </c>
      <c r="E96" t="str">
        <f t="shared" si="3"/>
        <v>union all  select item=95, shipno='151J0031', richan='28216-KN214'</v>
      </c>
    </row>
    <row r="97" spans="1:5" x14ac:dyDescent="0.25">
      <c r="A97" s="12">
        <v>96</v>
      </c>
      <c r="B97" s="24" t="s">
        <v>484</v>
      </c>
      <c r="C97" t="s">
        <v>567</v>
      </c>
      <c r="D97" t="str">
        <f t="shared" si="2"/>
        <v>union all  select item=96, shipno='PON151L0001', richan='28216-KN214'</v>
      </c>
      <c r="E97" t="str">
        <f t="shared" si="3"/>
        <v>union all  select item=96, shipno='151L0001', richan='28216-KN214'</v>
      </c>
    </row>
    <row r="98" spans="1:5" x14ac:dyDescent="0.25">
      <c r="A98" s="12">
        <v>97</v>
      </c>
      <c r="B98" s="24" t="s">
        <v>485</v>
      </c>
      <c r="C98" t="s">
        <v>567</v>
      </c>
      <c r="D98" t="str">
        <f t="shared" si="2"/>
        <v>union all  select item=97, shipno='PON151N0017', richan='28216-KN214'</v>
      </c>
      <c r="E98" t="str">
        <f t="shared" si="3"/>
        <v>union all  select item=97, shipno='151N0017', richan='28216-KN214'</v>
      </c>
    </row>
    <row r="99" spans="1:5" x14ac:dyDescent="0.25">
      <c r="A99" s="12">
        <v>98</v>
      </c>
      <c r="B99" s="24" t="s">
        <v>486</v>
      </c>
      <c r="C99" t="s">
        <v>567</v>
      </c>
      <c r="D99" t="str">
        <f t="shared" si="2"/>
        <v>union all  select item=98, shipno='PON151R0020', richan='28216-KN214'</v>
      </c>
      <c r="E99" t="str">
        <f t="shared" si="3"/>
        <v>union all  select item=98, shipno='151R0020', richan='28216-KN214'</v>
      </c>
    </row>
    <row r="100" spans="1:5" x14ac:dyDescent="0.25">
      <c r="A100" s="12">
        <v>99</v>
      </c>
      <c r="B100" s="24" t="s">
        <v>487</v>
      </c>
      <c r="C100" t="s">
        <v>568</v>
      </c>
      <c r="D100" t="str">
        <f t="shared" si="2"/>
        <v>union all  select item=99, shipno='PON14CV0024', richan='28216-KN215'</v>
      </c>
      <c r="E100" t="str">
        <f t="shared" si="3"/>
        <v>union all  select item=99, shipno='14CV0024', richan='28216-KN215'</v>
      </c>
    </row>
    <row r="101" spans="1:5" x14ac:dyDescent="0.25">
      <c r="A101" s="12">
        <v>100</v>
      </c>
      <c r="B101" s="24" t="s">
        <v>488</v>
      </c>
      <c r="C101" t="s">
        <v>568</v>
      </c>
      <c r="D101" t="str">
        <f t="shared" si="2"/>
        <v>union all  select item=100, shipno='PON14CV0037', richan='28216-KN215'</v>
      </c>
      <c r="E101" t="str">
        <f t="shared" si="3"/>
        <v>union all  select item=100, shipno='14CV0037', richan='28216-KN215'</v>
      </c>
    </row>
    <row r="102" spans="1:5" x14ac:dyDescent="0.25">
      <c r="A102" s="12">
        <v>101</v>
      </c>
      <c r="B102" s="24" t="s">
        <v>489</v>
      </c>
      <c r="C102" t="s">
        <v>568</v>
      </c>
      <c r="D102" t="str">
        <f t="shared" si="2"/>
        <v>union all  select item=101, shipno='PON151D0024', richan='28216-KN215'</v>
      </c>
      <c r="E102" t="str">
        <f t="shared" si="3"/>
        <v>union all  select item=101, shipno='151D0024', richan='28216-KN215'</v>
      </c>
    </row>
    <row r="103" spans="1:5" x14ac:dyDescent="0.25">
      <c r="A103" s="12">
        <v>102</v>
      </c>
      <c r="B103" s="24" t="s">
        <v>490</v>
      </c>
      <c r="C103" t="s">
        <v>568</v>
      </c>
      <c r="D103" t="str">
        <f t="shared" si="2"/>
        <v>union all  select item=102, shipno='PON151D0036', richan='28216-KN215'</v>
      </c>
      <c r="E103" t="str">
        <f t="shared" si="3"/>
        <v>union all  select item=102, shipno='151D0036', richan='28216-KN215'</v>
      </c>
    </row>
    <row r="104" spans="1:5" x14ac:dyDescent="0.25">
      <c r="A104" s="12">
        <v>103</v>
      </c>
      <c r="B104" s="24" t="s">
        <v>491</v>
      </c>
      <c r="C104" t="s">
        <v>568</v>
      </c>
      <c r="D104" t="str">
        <f t="shared" si="2"/>
        <v>union all  select item=103, shipno='PON151G0028', richan='28216-KN215'</v>
      </c>
      <c r="E104" t="str">
        <f t="shared" si="3"/>
        <v>union all  select item=103, shipno='151G0028', richan='28216-KN215'</v>
      </c>
    </row>
    <row r="105" spans="1:5" x14ac:dyDescent="0.25">
      <c r="A105" s="12">
        <v>104</v>
      </c>
      <c r="B105" s="24" t="s">
        <v>492</v>
      </c>
      <c r="C105" t="s">
        <v>568</v>
      </c>
      <c r="D105" t="str">
        <f t="shared" si="2"/>
        <v>union all  select item=104, shipno='PON151K0020', richan='28216-KN215'</v>
      </c>
      <c r="E105" t="str">
        <f t="shared" si="3"/>
        <v>union all  select item=104, shipno='151K0020', richan='28216-KN215'</v>
      </c>
    </row>
    <row r="106" spans="1:5" x14ac:dyDescent="0.25">
      <c r="A106" s="12">
        <v>105</v>
      </c>
      <c r="B106" s="24" t="s">
        <v>493</v>
      </c>
      <c r="C106" t="s">
        <v>568</v>
      </c>
      <c r="D106" t="str">
        <f t="shared" si="2"/>
        <v>union all  select item=105, shipno='PON151N0018', richan='28216-KN215'</v>
      </c>
      <c r="E106" t="str">
        <f t="shared" si="3"/>
        <v>union all  select item=105, shipno='151N0018', richan='28216-KN215'</v>
      </c>
    </row>
    <row r="107" spans="1:5" x14ac:dyDescent="0.25">
      <c r="A107" s="12">
        <v>106</v>
      </c>
      <c r="B107" s="24" t="s">
        <v>494</v>
      </c>
      <c r="C107" t="s">
        <v>568</v>
      </c>
      <c r="D107" t="str">
        <f t="shared" si="2"/>
        <v>union all  select item=106, shipno='PON151Q0020', richan='28216-KN215'</v>
      </c>
      <c r="E107" t="str">
        <f t="shared" si="3"/>
        <v>union all  select item=106, shipno='151Q0020', richan='28216-KN215'</v>
      </c>
    </row>
    <row r="108" spans="1:5" x14ac:dyDescent="0.25">
      <c r="A108" s="12">
        <v>107</v>
      </c>
      <c r="B108" s="24" t="s">
        <v>495</v>
      </c>
      <c r="C108" t="s">
        <v>568</v>
      </c>
      <c r="D108" t="str">
        <f t="shared" si="2"/>
        <v>union all  select item=107, shipno='PON151T0019', richan='28216-KN215'</v>
      </c>
      <c r="E108" t="str">
        <f t="shared" si="3"/>
        <v>union all  select item=107, shipno='151T0019', richan='28216-KN215'</v>
      </c>
    </row>
    <row r="109" spans="1:5" x14ac:dyDescent="0.25">
      <c r="A109" s="12">
        <v>108</v>
      </c>
      <c r="B109" s="24" t="s">
        <v>496</v>
      </c>
      <c r="C109" t="s">
        <v>569</v>
      </c>
      <c r="D109" t="str">
        <f t="shared" si="2"/>
        <v>union all  select item=108, shipno='PON14CV0025', richan='28216-KN224'</v>
      </c>
      <c r="E109" t="str">
        <f t="shared" si="3"/>
        <v>union all  select item=108, shipno='14CV0025', richan='28216-KN224'</v>
      </c>
    </row>
    <row r="110" spans="1:5" x14ac:dyDescent="0.25">
      <c r="A110" s="12">
        <v>110</v>
      </c>
      <c r="B110" s="24" t="s">
        <v>497</v>
      </c>
      <c r="C110" t="s">
        <v>570</v>
      </c>
      <c r="D110" t="str">
        <f t="shared" si="2"/>
        <v>union all  select item=110, shipno='PON15160011', richan='24010-SN261'</v>
      </c>
      <c r="E110" t="str">
        <f t="shared" si="3"/>
        <v>union all  select item=110, shipno='15160011', richan='24010-SN261'</v>
      </c>
    </row>
    <row r="111" spans="1:5" x14ac:dyDescent="0.25">
      <c r="A111" s="12">
        <v>111</v>
      </c>
      <c r="B111" s="24" t="s">
        <v>498</v>
      </c>
      <c r="C111" t="s">
        <v>570</v>
      </c>
      <c r="D111" t="str">
        <f t="shared" si="2"/>
        <v>union all  select item=111, shipno='PON151E0017', richan='24010-SN261'</v>
      </c>
      <c r="E111" t="str">
        <f t="shared" si="3"/>
        <v>union all  select item=111, shipno='151E0017', richan='24010-SN261'</v>
      </c>
    </row>
    <row r="112" spans="1:5" x14ac:dyDescent="0.25">
      <c r="A112" s="12">
        <v>112</v>
      </c>
      <c r="B112" s="24" t="s">
        <v>499</v>
      </c>
      <c r="C112" t="s">
        <v>571</v>
      </c>
      <c r="D112" t="str">
        <f t="shared" si="2"/>
        <v>union all  select item=112, shipno='PON14CV0014', richan='24010-SN262'</v>
      </c>
      <c r="E112" t="str">
        <f t="shared" si="3"/>
        <v>union all  select item=112, shipno='14CV0014', richan='24010-SN262'</v>
      </c>
    </row>
    <row r="113" spans="1:5" x14ac:dyDescent="0.25">
      <c r="A113" s="12">
        <v>113</v>
      </c>
      <c r="B113" s="24" t="s">
        <v>500</v>
      </c>
      <c r="C113" t="s">
        <v>571</v>
      </c>
      <c r="D113" t="str">
        <f t="shared" si="2"/>
        <v>union all  select item=113, shipno='PON15150016', richan='24010-SN262'</v>
      </c>
      <c r="E113" t="str">
        <f t="shared" si="3"/>
        <v>union all  select item=113, shipno='15150016', richan='24010-SN262'</v>
      </c>
    </row>
    <row r="114" spans="1:5" x14ac:dyDescent="0.25">
      <c r="A114" s="12">
        <v>114</v>
      </c>
      <c r="B114" s="24" t="s">
        <v>501</v>
      </c>
      <c r="C114" t="s">
        <v>571</v>
      </c>
      <c r="D114" t="str">
        <f t="shared" si="2"/>
        <v>union all  select item=114, shipno='PON15170014', richan='24010-SN262'</v>
      </c>
      <c r="E114" t="str">
        <f t="shared" si="3"/>
        <v>union all  select item=114, shipno='15170014', richan='24010-SN262'</v>
      </c>
    </row>
    <row r="115" spans="1:5" x14ac:dyDescent="0.25">
      <c r="A115" s="12">
        <v>115</v>
      </c>
      <c r="B115" s="24" t="s">
        <v>502</v>
      </c>
      <c r="C115" t="s">
        <v>571</v>
      </c>
      <c r="D115" t="str">
        <f t="shared" si="2"/>
        <v>union all  select item=115, shipno='PON151C0022', richan='24010-SN262'</v>
      </c>
      <c r="E115" t="str">
        <f t="shared" si="3"/>
        <v>union all  select item=115, shipno='151C0022', richan='24010-SN262'</v>
      </c>
    </row>
    <row r="116" spans="1:5" x14ac:dyDescent="0.25">
      <c r="A116" s="12">
        <v>116</v>
      </c>
      <c r="B116" s="24" t="s">
        <v>503</v>
      </c>
      <c r="C116" t="s">
        <v>571</v>
      </c>
      <c r="D116" t="str">
        <f t="shared" si="2"/>
        <v>union all  select item=116, shipno='PON151D0009', richan='24010-SN262'</v>
      </c>
      <c r="E116" t="str">
        <f t="shared" si="3"/>
        <v>union all  select item=116, shipno='151D0009', richan='24010-SN262'</v>
      </c>
    </row>
    <row r="117" spans="1:5" x14ac:dyDescent="0.25">
      <c r="A117" s="12">
        <v>117</v>
      </c>
      <c r="B117" s="24" t="s">
        <v>504</v>
      </c>
      <c r="C117" t="s">
        <v>571</v>
      </c>
      <c r="D117" t="str">
        <f t="shared" si="2"/>
        <v>union all  select item=117, shipno='PON151E0018', richan='24010-SN262'</v>
      </c>
      <c r="E117" t="str">
        <f t="shared" si="3"/>
        <v>union all  select item=117, shipno='151E0018', richan='24010-SN262'</v>
      </c>
    </row>
    <row r="118" spans="1:5" x14ac:dyDescent="0.25">
      <c r="A118" s="12">
        <v>118</v>
      </c>
      <c r="B118" s="24" t="s">
        <v>505</v>
      </c>
      <c r="C118" t="s">
        <v>572</v>
      </c>
      <c r="D118" t="str">
        <f t="shared" si="2"/>
        <v>union all  select item=118, shipno='PON15170015', richan='24010-SN263'</v>
      </c>
      <c r="E118" t="str">
        <f t="shared" si="3"/>
        <v>union all  select item=118, shipno='15170015', richan='24010-SN263'</v>
      </c>
    </row>
    <row r="119" spans="1:5" x14ac:dyDescent="0.25">
      <c r="A119" s="12">
        <v>119</v>
      </c>
      <c r="B119" s="24" t="s">
        <v>506</v>
      </c>
      <c r="C119" t="s">
        <v>572</v>
      </c>
      <c r="D119" t="str">
        <f t="shared" si="2"/>
        <v>union all  select item=119, shipno='PON15180011', richan='24010-SN263'</v>
      </c>
      <c r="E119" t="str">
        <f t="shared" si="3"/>
        <v>union all  select item=119, shipno='15180011', richan='24010-SN263'</v>
      </c>
    </row>
    <row r="120" spans="1:5" x14ac:dyDescent="0.25">
      <c r="A120" s="12">
        <v>120</v>
      </c>
      <c r="B120" s="24" t="s">
        <v>507</v>
      </c>
      <c r="C120" t="s">
        <v>572</v>
      </c>
      <c r="D120" t="str">
        <f t="shared" si="2"/>
        <v>union all  select item=120, shipno='PON15190011', richan='24010-SN263'</v>
      </c>
      <c r="E120" t="str">
        <f t="shared" si="3"/>
        <v>union all  select item=120, shipno='15190011', richan='24010-SN263'</v>
      </c>
    </row>
    <row r="121" spans="1:5" x14ac:dyDescent="0.25">
      <c r="A121" s="12">
        <v>121</v>
      </c>
      <c r="B121" s="24" t="s">
        <v>508</v>
      </c>
      <c r="C121" t="s">
        <v>572</v>
      </c>
      <c r="D121" t="str">
        <f t="shared" si="2"/>
        <v>union all  select item=121, shipno='PON151C0023', richan='24010-SN263'</v>
      </c>
      <c r="E121" t="str">
        <f t="shared" si="3"/>
        <v>union all  select item=121, shipno='151C0023', richan='24010-SN263'</v>
      </c>
    </row>
    <row r="122" spans="1:5" x14ac:dyDescent="0.25">
      <c r="A122" s="12">
        <v>122</v>
      </c>
      <c r="B122" s="24" t="s">
        <v>509</v>
      </c>
      <c r="C122" t="s">
        <v>572</v>
      </c>
      <c r="D122" t="str">
        <f t="shared" si="2"/>
        <v>union all  select item=122, shipno='PON151D0010', richan='24010-SN263'</v>
      </c>
      <c r="E122" t="str">
        <f t="shared" si="3"/>
        <v>union all  select item=122, shipno='151D0010', richan='24010-SN263'</v>
      </c>
    </row>
    <row r="123" spans="1:5" x14ac:dyDescent="0.25">
      <c r="A123" s="12">
        <v>123</v>
      </c>
      <c r="B123" s="24" t="s">
        <v>510</v>
      </c>
      <c r="C123" t="s">
        <v>572</v>
      </c>
      <c r="D123" t="str">
        <f t="shared" si="2"/>
        <v>union all  select item=123, shipno='PON151E0019', richan='24010-SN263'</v>
      </c>
      <c r="E123" t="str">
        <f t="shared" si="3"/>
        <v>union all  select item=123, shipno='151E0019', richan='24010-SN263'</v>
      </c>
    </row>
    <row r="124" spans="1:5" x14ac:dyDescent="0.25">
      <c r="A124" s="12">
        <v>124</v>
      </c>
      <c r="B124" s="24" t="s">
        <v>511</v>
      </c>
      <c r="C124" t="s">
        <v>573</v>
      </c>
      <c r="D124" t="str">
        <f t="shared" si="2"/>
        <v>union all  select item=124, shipno='PON151C0024', richan='24010-SN264'</v>
      </c>
      <c r="E124" t="str">
        <f t="shared" si="3"/>
        <v>union all  select item=124, shipno='151C0024', richan='24010-SN264'</v>
      </c>
    </row>
    <row r="125" spans="1:5" x14ac:dyDescent="0.25">
      <c r="A125" s="12">
        <v>125</v>
      </c>
      <c r="B125" s="24" t="s">
        <v>512</v>
      </c>
      <c r="C125" t="s">
        <v>573</v>
      </c>
      <c r="D125" t="str">
        <f t="shared" si="2"/>
        <v>union all  select item=125, shipno='PON151E0020', richan='24010-SN264'</v>
      </c>
      <c r="E125" t="str">
        <f t="shared" si="3"/>
        <v>union all  select item=125, shipno='151E0020', richan='24010-SN264'</v>
      </c>
    </row>
    <row r="126" spans="1:5" x14ac:dyDescent="0.25">
      <c r="A126" s="12">
        <v>126</v>
      </c>
      <c r="B126" s="24" t="s">
        <v>513</v>
      </c>
      <c r="C126" t="s">
        <v>574</v>
      </c>
      <c r="D126" t="str">
        <f t="shared" si="2"/>
        <v>union all  select item=126, shipno='PON15150017', richan='24010-SN266'</v>
      </c>
      <c r="E126" t="str">
        <f t="shared" si="3"/>
        <v>union all  select item=126, shipno='15150017', richan='24010-SN266'</v>
      </c>
    </row>
    <row r="127" spans="1:5" x14ac:dyDescent="0.25">
      <c r="A127" s="12">
        <v>128</v>
      </c>
      <c r="B127" s="24" t="s">
        <v>514</v>
      </c>
      <c r="C127" t="s">
        <v>575</v>
      </c>
      <c r="D127" t="str">
        <f t="shared" si="2"/>
        <v>union all  select item=128, shipno='PON147F0030', richan='24010-SN26F'</v>
      </c>
      <c r="E127" t="str">
        <f t="shared" si="3"/>
        <v>union all  select item=128, shipno='147F0030', richan='24010-SN26F'</v>
      </c>
    </row>
    <row r="128" spans="1:5" x14ac:dyDescent="0.25">
      <c r="A128" s="12">
        <v>130</v>
      </c>
      <c r="B128" s="24" t="s">
        <v>516</v>
      </c>
      <c r="C128" s="24" t="s">
        <v>576</v>
      </c>
      <c r="D128" t="str">
        <f t="shared" si="2"/>
        <v>union all  select item=130, shipno='PON14CV0015', richan='2804A-SN101'</v>
      </c>
      <c r="E128" t="str">
        <f t="shared" si="3"/>
        <v>union all  select item=130, shipno='14CV0015', richan='2804A-SN101'</v>
      </c>
    </row>
    <row r="129" spans="1:5" x14ac:dyDescent="0.25">
      <c r="A129" s="12">
        <v>131</v>
      </c>
      <c r="B129" s="24" t="s">
        <v>517</v>
      </c>
      <c r="C129" t="s">
        <v>576</v>
      </c>
      <c r="D129" t="str">
        <f t="shared" si="2"/>
        <v>union all  select item=131, shipno='PON151E0021', richan='2804A-SN101'</v>
      </c>
      <c r="E129" t="str">
        <f t="shared" si="3"/>
        <v>union all  select item=131, shipno='151E0021', richan='2804A-SN101'</v>
      </c>
    </row>
    <row r="130" spans="1:5" x14ac:dyDescent="0.25">
      <c r="A130" s="12">
        <v>132</v>
      </c>
      <c r="B130" s="24" t="s">
        <v>518</v>
      </c>
      <c r="C130" t="s">
        <v>577</v>
      </c>
      <c r="D130" t="str">
        <f t="shared" si="2"/>
        <v>union all  select item=132, shipno='PON15170016', richan='2804A-SN102'</v>
      </c>
      <c r="E130" t="str">
        <f t="shared" si="3"/>
        <v>union all  select item=132, shipno='15170016', richan='2804A-SN102'</v>
      </c>
    </row>
    <row r="131" spans="1:5" x14ac:dyDescent="0.25">
      <c r="A131" s="12">
        <v>134</v>
      </c>
      <c r="B131" s="24" t="s">
        <v>519</v>
      </c>
      <c r="C131" t="s">
        <v>578</v>
      </c>
      <c r="D131" t="str">
        <f t="shared" si="2"/>
        <v>union all  select item=134, shipno='PON149U0048', richan='2804A-SN104'</v>
      </c>
      <c r="E131" t="str">
        <f t="shared" si="3"/>
        <v>union all  select item=134, shipno='149U0048', richan='2804A-SN104'</v>
      </c>
    </row>
    <row r="132" spans="1:5" x14ac:dyDescent="0.25">
      <c r="A132" s="12">
        <v>135</v>
      </c>
      <c r="B132" s="24" t="s">
        <v>521</v>
      </c>
      <c r="C132" t="s">
        <v>578</v>
      </c>
      <c r="D132" t="str">
        <f t="shared" si="2"/>
        <v>union all  select item=135, shipno='PON145S0005', richan='2804A-SN104'</v>
      </c>
      <c r="E132" t="str">
        <f t="shared" si="3"/>
        <v>union all  select item=135, shipno='145S0005', richan='2804A-SN104'</v>
      </c>
    </row>
    <row r="133" spans="1:5" x14ac:dyDescent="0.25">
      <c r="A133" s="12">
        <v>136</v>
      </c>
      <c r="B133" s="24" t="s">
        <v>523</v>
      </c>
      <c r="C133" t="s">
        <v>578</v>
      </c>
      <c r="D133" t="str">
        <f t="shared" si="2"/>
        <v>union all  select item=136, shipno='PON14CV0049', richan='2804A-SN104'</v>
      </c>
      <c r="E133" t="str">
        <f t="shared" si="3"/>
        <v>union all  select item=136, shipno='14CV0049', richan='2804A-SN104'</v>
      </c>
    </row>
    <row r="134" spans="1:5" x14ac:dyDescent="0.25">
      <c r="A134" s="12">
        <v>137</v>
      </c>
      <c r="B134" s="24" t="s">
        <v>524</v>
      </c>
      <c r="C134" t="s">
        <v>579</v>
      </c>
      <c r="D134" t="str">
        <f t="shared" ref="D134:D197" si="4">"union all  select item=" &amp; A134 &amp; ", shipno='PON" &amp; B134 &amp; "', richan='" &amp; C134 &amp; "'"</f>
        <v>union all  select item=137, shipno='PON145S0004', richan='2804A-SN103'</v>
      </c>
      <c r="E134" t="str">
        <f t="shared" ref="E134:E197" si="5">"union all  select item=" &amp; A134 &amp; ", shipno='" &amp; B134 &amp; "', richan='" &amp; C134 &amp; "'"</f>
        <v>union all  select item=137, shipno='145S0004', richan='2804A-SN103'</v>
      </c>
    </row>
    <row r="135" spans="1:5" x14ac:dyDescent="0.25">
      <c r="A135" s="12">
        <v>139</v>
      </c>
      <c r="B135" s="24" t="s">
        <v>525</v>
      </c>
      <c r="C135" t="s">
        <v>580</v>
      </c>
      <c r="D135" t="str">
        <f t="shared" si="4"/>
        <v>union all  select item=139, shipno='PON15160012', richan='28216-SN206'</v>
      </c>
      <c r="E135" t="str">
        <f t="shared" si="5"/>
        <v>union all  select item=139, shipno='15160012', richan='28216-SN206'</v>
      </c>
    </row>
    <row r="136" spans="1:5" x14ac:dyDescent="0.25">
      <c r="A136" s="12">
        <v>141</v>
      </c>
      <c r="B136" s="24" t="s">
        <v>526</v>
      </c>
      <c r="C136" t="s">
        <v>581</v>
      </c>
      <c r="D136" t="str">
        <f t="shared" si="4"/>
        <v>union all  select item=141, shipno='PON15160013', richan='28216-SN211'</v>
      </c>
      <c r="E136" t="str">
        <f t="shared" si="5"/>
        <v>union all  select item=141, shipno='15160013', richan='28216-SN211'</v>
      </c>
    </row>
    <row r="137" spans="1:5" x14ac:dyDescent="0.25">
      <c r="A137" s="12">
        <v>142</v>
      </c>
      <c r="B137" s="24" t="s">
        <v>527</v>
      </c>
      <c r="C137" t="s">
        <v>581</v>
      </c>
      <c r="D137" t="str">
        <f t="shared" si="4"/>
        <v>union all  select item=142, shipno='PON151E0022', richan='28216-SN211'</v>
      </c>
      <c r="E137" t="str">
        <f t="shared" si="5"/>
        <v>union all  select item=142, shipno='151E0022', richan='28216-SN211'</v>
      </c>
    </row>
    <row r="138" spans="1:5" x14ac:dyDescent="0.25">
      <c r="A138" s="12">
        <v>143</v>
      </c>
      <c r="B138" s="24" t="s">
        <v>528</v>
      </c>
      <c r="C138" t="s">
        <v>582</v>
      </c>
      <c r="D138" t="str">
        <f t="shared" si="4"/>
        <v>union all  select item=143, shipno='PON14CV0050', richan='28216-SN305'</v>
      </c>
      <c r="E138" t="str">
        <f t="shared" si="5"/>
        <v>union all  select item=143, shipno='14CV0050', richan='28216-SN305'</v>
      </c>
    </row>
    <row r="139" spans="1:5" x14ac:dyDescent="0.25">
      <c r="A139" s="12">
        <v>144</v>
      </c>
      <c r="D139" t="str">
        <f t="shared" si="4"/>
        <v>union all  select item=144, shipno='PON', richan=''</v>
      </c>
      <c r="E139" t="str">
        <f t="shared" si="5"/>
        <v>union all  select item=144, shipno='', richan=''</v>
      </c>
    </row>
    <row r="140" spans="1:5" x14ac:dyDescent="0.25">
      <c r="A140" s="12">
        <v>145</v>
      </c>
      <c r="D140" t="str">
        <f t="shared" si="4"/>
        <v>union all  select item=145, shipno='PON', richan=''</v>
      </c>
      <c r="E140" t="str">
        <f t="shared" si="5"/>
        <v>union all  select item=145, shipno='', richan=''</v>
      </c>
    </row>
    <row r="141" spans="1:5" x14ac:dyDescent="0.25">
      <c r="A141" s="12">
        <v>146</v>
      </c>
      <c r="D141" t="str">
        <f t="shared" si="4"/>
        <v>union all  select item=146, shipno='PON', richan=''</v>
      </c>
      <c r="E141" t="str">
        <f t="shared" si="5"/>
        <v>union all  select item=146, shipno='', richan=''</v>
      </c>
    </row>
    <row r="142" spans="1:5" x14ac:dyDescent="0.25">
      <c r="A142" s="12">
        <v>147</v>
      </c>
      <c r="D142" t="str">
        <f t="shared" si="4"/>
        <v>union all  select item=147, shipno='PON', richan=''</v>
      </c>
      <c r="E142" t="str">
        <f t="shared" si="5"/>
        <v>union all  select item=147, shipno='', richan=''</v>
      </c>
    </row>
    <row r="143" spans="1:5" x14ac:dyDescent="0.25">
      <c r="A143" s="12">
        <v>148</v>
      </c>
      <c r="D143" t="str">
        <f t="shared" si="4"/>
        <v>union all  select item=148, shipno='PON', richan=''</v>
      </c>
      <c r="E143" t="str">
        <f t="shared" si="5"/>
        <v>union all  select item=148, shipno='', richan=''</v>
      </c>
    </row>
    <row r="144" spans="1:5" x14ac:dyDescent="0.25">
      <c r="A144" s="12">
        <v>149</v>
      </c>
      <c r="D144" t="str">
        <f t="shared" si="4"/>
        <v>union all  select item=149, shipno='PON', richan=''</v>
      </c>
      <c r="E144" t="str">
        <f t="shared" si="5"/>
        <v>union all  select item=149, shipno='', richan=''</v>
      </c>
    </row>
    <row r="145" spans="1:5" x14ac:dyDescent="0.25">
      <c r="A145" s="12">
        <v>150</v>
      </c>
      <c r="D145" t="str">
        <f t="shared" si="4"/>
        <v>union all  select item=150, shipno='PON', richan=''</v>
      </c>
      <c r="E145" t="str">
        <f t="shared" si="5"/>
        <v>union all  select item=150, shipno='', richan=''</v>
      </c>
    </row>
    <row r="146" spans="1:5" x14ac:dyDescent="0.25">
      <c r="A146" s="12">
        <v>151</v>
      </c>
      <c r="D146" t="str">
        <f t="shared" si="4"/>
        <v>union all  select item=151, shipno='PON', richan=''</v>
      </c>
      <c r="E146" t="str">
        <f t="shared" si="5"/>
        <v>union all  select item=151, shipno='', richan=''</v>
      </c>
    </row>
    <row r="147" spans="1:5" x14ac:dyDescent="0.25">
      <c r="A147" s="12">
        <v>152</v>
      </c>
      <c r="D147" t="str">
        <f t="shared" si="4"/>
        <v>union all  select item=152, shipno='PON', richan=''</v>
      </c>
      <c r="E147" t="str">
        <f t="shared" si="5"/>
        <v>union all  select item=152, shipno='', richan=''</v>
      </c>
    </row>
    <row r="148" spans="1:5" x14ac:dyDescent="0.25">
      <c r="A148" s="12">
        <v>153</v>
      </c>
      <c r="D148" t="str">
        <f t="shared" si="4"/>
        <v>union all  select item=153, shipno='PON', richan=''</v>
      </c>
      <c r="E148" t="str">
        <f t="shared" si="5"/>
        <v>union all  select item=153, shipno='', richan=''</v>
      </c>
    </row>
    <row r="149" spans="1:5" x14ac:dyDescent="0.25">
      <c r="A149" s="12">
        <v>154</v>
      </c>
      <c r="D149" t="str">
        <f t="shared" si="4"/>
        <v>union all  select item=154, shipno='PON', richan=''</v>
      </c>
      <c r="E149" t="str">
        <f t="shared" si="5"/>
        <v>union all  select item=154, shipno='', richan=''</v>
      </c>
    </row>
    <row r="150" spans="1:5" x14ac:dyDescent="0.25">
      <c r="A150" s="12">
        <v>155</v>
      </c>
      <c r="D150" t="str">
        <f t="shared" si="4"/>
        <v>union all  select item=155, shipno='PON', richan=''</v>
      </c>
      <c r="E150" t="str">
        <f t="shared" si="5"/>
        <v>union all  select item=155, shipno='', richan=''</v>
      </c>
    </row>
    <row r="151" spans="1:5" x14ac:dyDescent="0.25">
      <c r="A151" s="12">
        <v>156</v>
      </c>
      <c r="D151" t="str">
        <f t="shared" si="4"/>
        <v>union all  select item=156, shipno='PON', richan=''</v>
      </c>
      <c r="E151" t="str">
        <f t="shared" si="5"/>
        <v>union all  select item=156, shipno='', richan=''</v>
      </c>
    </row>
    <row r="152" spans="1:5" x14ac:dyDescent="0.25">
      <c r="A152" s="12">
        <v>157</v>
      </c>
      <c r="D152" t="str">
        <f t="shared" si="4"/>
        <v>union all  select item=157, shipno='PON', richan=''</v>
      </c>
      <c r="E152" t="str">
        <f t="shared" si="5"/>
        <v>union all  select item=157, shipno='', richan=''</v>
      </c>
    </row>
    <row r="153" spans="1:5" x14ac:dyDescent="0.25">
      <c r="A153" s="12">
        <v>158</v>
      </c>
      <c r="D153" t="str">
        <f t="shared" si="4"/>
        <v>union all  select item=158, shipno='PON', richan=''</v>
      </c>
      <c r="E153" t="str">
        <f t="shared" si="5"/>
        <v>union all  select item=158, shipno='', richan=''</v>
      </c>
    </row>
    <row r="154" spans="1:5" x14ac:dyDescent="0.25">
      <c r="A154" s="12">
        <v>159</v>
      </c>
      <c r="D154" t="str">
        <f t="shared" si="4"/>
        <v>union all  select item=159, shipno='PON', richan=''</v>
      </c>
      <c r="E154" t="str">
        <f t="shared" si="5"/>
        <v>union all  select item=159, shipno='', richan=''</v>
      </c>
    </row>
    <row r="155" spans="1:5" x14ac:dyDescent="0.25">
      <c r="A155" s="12">
        <v>160</v>
      </c>
      <c r="D155" t="str">
        <f t="shared" si="4"/>
        <v>union all  select item=160, shipno='PON', richan=''</v>
      </c>
      <c r="E155" t="str">
        <f t="shared" si="5"/>
        <v>union all  select item=160, shipno='', richan=''</v>
      </c>
    </row>
    <row r="156" spans="1:5" x14ac:dyDescent="0.25">
      <c r="A156" s="12">
        <v>161</v>
      </c>
      <c r="D156" t="str">
        <f t="shared" si="4"/>
        <v>union all  select item=161, shipno='PON', richan=''</v>
      </c>
      <c r="E156" t="str">
        <f t="shared" si="5"/>
        <v>union all  select item=161, shipno='', richan=''</v>
      </c>
    </row>
    <row r="157" spans="1:5" x14ac:dyDescent="0.25">
      <c r="A157" s="12">
        <v>162</v>
      </c>
      <c r="D157" t="str">
        <f t="shared" si="4"/>
        <v>union all  select item=162, shipno='PON', richan=''</v>
      </c>
      <c r="E157" t="str">
        <f t="shared" si="5"/>
        <v>union all  select item=162, shipno='', richan=''</v>
      </c>
    </row>
    <row r="158" spans="1:5" x14ac:dyDescent="0.25">
      <c r="A158" s="12">
        <v>163</v>
      </c>
      <c r="D158" t="str">
        <f t="shared" si="4"/>
        <v>union all  select item=163, shipno='PON', richan=''</v>
      </c>
      <c r="E158" t="str">
        <f t="shared" si="5"/>
        <v>union all  select item=163, shipno='', richan=''</v>
      </c>
    </row>
    <row r="159" spans="1:5" x14ac:dyDescent="0.25">
      <c r="A159" s="12">
        <v>164</v>
      </c>
      <c r="D159" t="str">
        <f t="shared" si="4"/>
        <v>union all  select item=164, shipno='PON', richan=''</v>
      </c>
      <c r="E159" t="str">
        <f t="shared" si="5"/>
        <v>union all  select item=164, shipno='', richan=''</v>
      </c>
    </row>
    <row r="160" spans="1:5" x14ac:dyDescent="0.25">
      <c r="A160" s="12">
        <v>165</v>
      </c>
      <c r="D160" t="str">
        <f t="shared" si="4"/>
        <v>union all  select item=165, shipno='PON', richan=''</v>
      </c>
      <c r="E160" t="str">
        <f t="shared" si="5"/>
        <v>union all  select item=165, shipno='', richan=''</v>
      </c>
    </row>
    <row r="161" spans="1:5" x14ac:dyDescent="0.25">
      <c r="A161" s="12">
        <v>166</v>
      </c>
      <c r="D161" t="str">
        <f t="shared" si="4"/>
        <v>union all  select item=166, shipno='PON', richan=''</v>
      </c>
      <c r="E161" t="str">
        <f t="shared" si="5"/>
        <v>union all  select item=166, shipno='', richan=''</v>
      </c>
    </row>
    <row r="162" spans="1:5" x14ac:dyDescent="0.25">
      <c r="A162" s="12">
        <v>167</v>
      </c>
      <c r="D162" t="str">
        <f t="shared" si="4"/>
        <v>union all  select item=167, shipno='PON', richan=''</v>
      </c>
      <c r="E162" t="str">
        <f t="shared" si="5"/>
        <v>union all  select item=167, shipno='', richan=''</v>
      </c>
    </row>
    <row r="163" spans="1:5" x14ac:dyDescent="0.25">
      <c r="A163" s="12">
        <v>168</v>
      </c>
      <c r="D163" t="str">
        <f t="shared" si="4"/>
        <v>union all  select item=168, shipno='PON', richan=''</v>
      </c>
      <c r="E163" t="str">
        <f t="shared" si="5"/>
        <v>union all  select item=168, shipno='', richan=''</v>
      </c>
    </row>
    <row r="164" spans="1:5" x14ac:dyDescent="0.25">
      <c r="A164" s="12">
        <v>169</v>
      </c>
      <c r="D164" t="str">
        <f t="shared" si="4"/>
        <v>union all  select item=169, shipno='PON', richan=''</v>
      </c>
      <c r="E164" t="str">
        <f t="shared" si="5"/>
        <v>union all  select item=169, shipno='', richan=''</v>
      </c>
    </row>
    <row r="165" spans="1:5" x14ac:dyDescent="0.25">
      <c r="A165" s="12">
        <v>170</v>
      </c>
      <c r="D165" t="str">
        <f t="shared" si="4"/>
        <v>union all  select item=170, shipno='PON', richan=''</v>
      </c>
      <c r="E165" t="str">
        <f t="shared" si="5"/>
        <v>union all  select item=170, shipno='', richan=''</v>
      </c>
    </row>
    <row r="166" spans="1:5" x14ac:dyDescent="0.25">
      <c r="A166" s="12">
        <v>171</v>
      </c>
      <c r="D166" t="str">
        <f t="shared" si="4"/>
        <v>union all  select item=171, shipno='PON', richan=''</v>
      </c>
      <c r="E166" t="str">
        <f t="shared" si="5"/>
        <v>union all  select item=171, shipno='', richan=''</v>
      </c>
    </row>
    <row r="167" spans="1:5" x14ac:dyDescent="0.25">
      <c r="A167" s="12">
        <v>172</v>
      </c>
      <c r="D167" t="str">
        <f t="shared" si="4"/>
        <v>union all  select item=172, shipno='PON', richan=''</v>
      </c>
      <c r="E167" t="str">
        <f t="shared" si="5"/>
        <v>union all  select item=172, shipno='', richan=''</v>
      </c>
    </row>
    <row r="168" spans="1:5" x14ac:dyDescent="0.25">
      <c r="A168" s="12">
        <v>173</v>
      </c>
      <c r="D168" t="str">
        <f t="shared" si="4"/>
        <v>union all  select item=173, shipno='PON', richan=''</v>
      </c>
      <c r="E168" t="str">
        <f t="shared" si="5"/>
        <v>union all  select item=173, shipno='', richan=''</v>
      </c>
    </row>
    <row r="169" spans="1:5" x14ac:dyDescent="0.25">
      <c r="A169" s="12">
        <v>174</v>
      </c>
      <c r="D169" t="str">
        <f t="shared" si="4"/>
        <v>union all  select item=174, shipno='PON', richan=''</v>
      </c>
      <c r="E169" t="str">
        <f t="shared" si="5"/>
        <v>union all  select item=174, shipno='', richan=''</v>
      </c>
    </row>
    <row r="170" spans="1:5" x14ac:dyDescent="0.25">
      <c r="A170" s="12">
        <v>175</v>
      </c>
      <c r="D170" t="str">
        <f t="shared" si="4"/>
        <v>union all  select item=175, shipno='PON', richan=''</v>
      </c>
      <c r="E170" t="str">
        <f t="shared" si="5"/>
        <v>union all  select item=175, shipno='', richan=''</v>
      </c>
    </row>
    <row r="171" spans="1:5" x14ac:dyDescent="0.25">
      <c r="A171" s="12">
        <v>176</v>
      </c>
      <c r="D171" t="str">
        <f t="shared" si="4"/>
        <v>union all  select item=176, shipno='PON', richan=''</v>
      </c>
      <c r="E171" t="str">
        <f t="shared" si="5"/>
        <v>union all  select item=176, shipno='', richan=''</v>
      </c>
    </row>
    <row r="172" spans="1:5" x14ac:dyDescent="0.25">
      <c r="A172" s="12">
        <v>177</v>
      </c>
      <c r="D172" t="str">
        <f t="shared" si="4"/>
        <v>union all  select item=177, shipno='PON', richan=''</v>
      </c>
      <c r="E172" t="str">
        <f t="shared" si="5"/>
        <v>union all  select item=177, shipno='', richan=''</v>
      </c>
    </row>
    <row r="173" spans="1:5" x14ac:dyDescent="0.25">
      <c r="A173" s="12">
        <v>178</v>
      </c>
      <c r="D173" t="str">
        <f t="shared" si="4"/>
        <v>union all  select item=178, shipno='PON', richan=''</v>
      </c>
      <c r="E173" t="str">
        <f t="shared" si="5"/>
        <v>union all  select item=178, shipno='', richan=''</v>
      </c>
    </row>
    <row r="174" spans="1:5" x14ac:dyDescent="0.25">
      <c r="A174" s="12">
        <v>179</v>
      </c>
      <c r="D174" t="str">
        <f t="shared" si="4"/>
        <v>union all  select item=179, shipno='PON', richan=''</v>
      </c>
      <c r="E174" t="str">
        <f t="shared" si="5"/>
        <v>union all  select item=179, shipno='', richan=''</v>
      </c>
    </row>
    <row r="175" spans="1:5" x14ac:dyDescent="0.25">
      <c r="A175" s="12">
        <v>180</v>
      </c>
      <c r="D175" t="str">
        <f t="shared" si="4"/>
        <v>union all  select item=180, shipno='PON', richan=''</v>
      </c>
      <c r="E175" t="str">
        <f t="shared" si="5"/>
        <v>union all  select item=180, shipno='', richan=''</v>
      </c>
    </row>
    <row r="176" spans="1:5" x14ac:dyDescent="0.25">
      <c r="A176" s="12">
        <v>181</v>
      </c>
      <c r="D176" t="str">
        <f t="shared" si="4"/>
        <v>union all  select item=181, shipno='PON', richan=''</v>
      </c>
      <c r="E176" t="str">
        <f t="shared" si="5"/>
        <v>union all  select item=181, shipno='', richan=''</v>
      </c>
    </row>
    <row r="177" spans="1:5" x14ac:dyDescent="0.25">
      <c r="A177" s="12">
        <v>182</v>
      </c>
      <c r="D177" t="str">
        <f t="shared" si="4"/>
        <v>union all  select item=182, shipno='PON', richan=''</v>
      </c>
      <c r="E177" t="str">
        <f t="shared" si="5"/>
        <v>union all  select item=182, shipno='', richan=''</v>
      </c>
    </row>
    <row r="178" spans="1:5" x14ac:dyDescent="0.25">
      <c r="A178" s="12">
        <v>183</v>
      </c>
      <c r="D178" t="str">
        <f t="shared" si="4"/>
        <v>union all  select item=183, shipno='PON', richan=''</v>
      </c>
      <c r="E178" t="str">
        <f t="shared" si="5"/>
        <v>union all  select item=183, shipno='', richan=''</v>
      </c>
    </row>
    <row r="179" spans="1:5" x14ac:dyDescent="0.25">
      <c r="A179" s="12">
        <v>184</v>
      </c>
      <c r="D179" t="str">
        <f t="shared" si="4"/>
        <v>union all  select item=184, shipno='PON', richan=''</v>
      </c>
      <c r="E179" t="str">
        <f t="shared" si="5"/>
        <v>union all  select item=184, shipno='', richan=''</v>
      </c>
    </row>
    <row r="180" spans="1:5" x14ac:dyDescent="0.25">
      <c r="A180" s="12">
        <v>185</v>
      </c>
      <c r="D180" t="str">
        <f t="shared" si="4"/>
        <v>union all  select item=185, shipno='PON', richan=''</v>
      </c>
      <c r="E180" t="str">
        <f t="shared" si="5"/>
        <v>union all  select item=185, shipno='', richan=''</v>
      </c>
    </row>
    <row r="181" spans="1:5" x14ac:dyDescent="0.25">
      <c r="A181" s="12">
        <v>186</v>
      </c>
      <c r="D181" t="str">
        <f t="shared" si="4"/>
        <v>union all  select item=186, shipno='PON', richan=''</v>
      </c>
      <c r="E181" t="str">
        <f t="shared" si="5"/>
        <v>union all  select item=186, shipno='', richan=''</v>
      </c>
    </row>
    <row r="182" spans="1:5" x14ac:dyDescent="0.25">
      <c r="A182" s="12">
        <v>187</v>
      </c>
      <c r="D182" t="str">
        <f t="shared" si="4"/>
        <v>union all  select item=187, shipno='PON', richan=''</v>
      </c>
      <c r="E182" t="str">
        <f t="shared" si="5"/>
        <v>union all  select item=187, shipno='', richan=''</v>
      </c>
    </row>
    <row r="183" spans="1:5" x14ac:dyDescent="0.25">
      <c r="A183" s="12">
        <v>188</v>
      </c>
      <c r="D183" t="str">
        <f t="shared" si="4"/>
        <v>union all  select item=188, shipno='PON', richan=''</v>
      </c>
      <c r="E183" t="str">
        <f t="shared" si="5"/>
        <v>union all  select item=188, shipno='', richan=''</v>
      </c>
    </row>
    <row r="184" spans="1:5" x14ac:dyDescent="0.25">
      <c r="A184" s="12">
        <v>189</v>
      </c>
      <c r="D184" t="str">
        <f t="shared" si="4"/>
        <v>union all  select item=189, shipno='PON', richan=''</v>
      </c>
      <c r="E184" t="str">
        <f t="shared" si="5"/>
        <v>union all  select item=189, shipno='', richan=''</v>
      </c>
    </row>
    <row r="185" spans="1:5" x14ac:dyDescent="0.25">
      <c r="A185" s="12">
        <v>190</v>
      </c>
      <c r="D185" t="str">
        <f t="shared" si="4"/>
        <v>union all  select item=190, shipno='PON', richan=''</v>
      </c>
      <c r="E185" t="str">
        <f t="shared" si="5"/>
        <v>union all  select item=190, shipno='', richan=''</v>
      </c>
    </row>
    <row r="186" spans="1:5" x14ac:dyDescent="0.25">
      <c r="A186" s="12">
        <v>191</v>
      </c>
      <c r="D186" t="str">
        <f t="shared" si="4"/>
        <v>union all  select item=191, shipno='PON', richan=''</v>
      </c>
      <c r="E186" t="str">
        <f t="shared" si="5"/>
        <v>union all  select item=191, shipno='', richan=''</v>
      </c>
    </row>
    <row r="187" spans="1:5" x14ac:dyDescent="0.25">
      <c r="A187" s="12">
        <v>192</v>
      </c>
      <c r="D187" t="str">
        <f t="shared" si="4"/>
        <v>union all  select item=192, shipno='PON', richan=''</v>
      </c>
      <c r="E187" t="str">
        <f t="shared" si="5"/>
        <v>union all  select item=192, shipno='', richan=''</v>
      </c>
    </row>
    <row r="188" spans="1:5" x14ac:dyDescent="0.25">
      <c r="A188" s="12">
        <v>193</v>
      </c>
      <c r="D188" t="str">
        <f t="shared" si="4"/>
        <v>union all  select item=193, shipno='PON', richan=''</v>
      </c>
      <c r="E188" t="str">
        <f t="shared" si="5"/>
        <v>union all  select item=193, shipno='', richan=''</v>
      </c>
    </row>
    <row r="189" spans="1:5" x14ac:dyDescent="0.25">
      <c r="A189" s="12">
        <v>194</v>
      </c>
      <c r="D189" t="str">
        <f t="shared" si="4"/>
        <v>union all  select item=194, shipno='PON', richan=''</v>
      </c>
      <c r="E189" t="str">
        <f t="shared" si="5"/>
        <v>union all  select item=194, shipno='', richan=''</v>
      </c>
    </row>
    <row r="190" spans="1:5" x14ac:dyDescent="0.25">
      <c r="A190" s="12">
        <v>195</v>
      </c>
      <c r="D190" t="str">
        <f t="shared" si="4"/>
        <v>union all  select item=195, shipno='PON', richan=''</v>
      </c>
      <c r="E190" t="str">
        <f t="shared" si="5"/>
        <v>union all  select item=195, shipno='', richan=''</v>
      </c>
    </row>
    <row r="191" spans="1:5" x14ac:dyDescent="0.25">
      <c r="A191" s="12">
        <v>196</v>
      </c>
      <c r="D191" t="str">
        <f t="shared" si="4"/>
        <v>union all  select item=196, shipno='PON', richan=''</v>
      </c>
      <c r="E191" t="str">
        <f t="shared" si="5"/>
        <v>union all  select item=196, shipno='', richan=''</v>
      </c>
    </row>
    <row r="192" spans="1:5" x14ac:dyDescent="0.25">
      <c r="A192" s="12">
        <v>197</v>
      </c>
      <c r="D192" t="str">
        <f t="shared" si="4"/>
        <v>union all  select item=197, shipno='PON', richan=''</v>
      </c>
      <c r="E192" t="str">
        <f t="shared" si="5"/>
        <v>union all  select item=197, shipno='', richan=''</v>
      </c>
    </row>
    <row r="193" spans="1:5" x14ac:dyDescent="0.25">
      <c r="A193" s="12">
        <v>198</v>
      </c>
      <c r="D193" t="str">
        <f t="shared" si="4"/>
        <v>union all  select item=198, shipno='PON', richan=''</v>
      </c>
      <c r="E193" t="str">
        <f t="shared" si="5"/>
        <v>union all  select item=198, shipno='', richan=''</v>
      </c>
    </row>
    <row r="194" spans="1:5" x14ac:dyDescent="0.25">
      <c r="A194" s="12">
        <v>199</v>
      </c>
      <c r="D194" t="str">
        <f t="shared" si="4"/>
        <v>union all  select item=199, shipno='PON', richan=''</v>
      </c>
      <c r="E194" t="str">
        <f t="shared" si="5"/>
        <v>union all  select item=199, shipno='', richan=''</v>
      </c>
    </row>
    <row r="195" spans="1:5" x14ac:dyDescent="0.25">
      <c r="A195" s="12">
        <v>200</v>
      </c>
      <c r="D195" t="str">
        <f t="shared" si="4"/>
        <v>union all  select item=200, shipno='PON', richan=''</v>
      </c>
      <c r="E195" t="str">
        <f t="shared" si="5"/>
        <v>union all  select item=200, shipno='', richan=''</v>
      </c>
    </row>
    <row r="196" spans="1:5" x14ac:dyDescent="0.25">
      <c r="A196" s="12">
        <v>201</v>
      </c>
      <c r="D196" t="str">
        <f t="shared" si="4"/>
        <v>union all  select item=201, shipno='PON', richan=''</v>
      </c>
      <c r="E196" t="str">
        <f t="shared" si="5"/>
        <v>union all  select item=201, shipno='', richan=''</v>
      </c>
    </row>
    <row r="197" spans="1:5" x14ac:dyDescent="0.25">
      <c r="A197" s="12">
        <v>202</v>
      </c>
      <c r="D197" t="str">
        <f t="shared" si="4"/>
        <v>union all  select item=202, shipno='PON', richan=''</v>
      </c>
      <c r="E197" t="str">
        <f t="shared" si="5"/>
        <v>union all  select item=202, shipno='', richan=''</v>
      </c>
    </row>
    <row r="198" spans="1:5" x14ac:dyDescent="0.25">
      <c r="A198" s="12">
        <v>203</v>
      </c>
      <c r="D198" t="str">
        <f t="shared" ref="D198:D261" si="6">"union all  select item=" &amp; A198 &amp; ", shipno='PON" &amp; B198 &amp; "', richan='" &amp; C198 &amp; "'"</f>
        <v>union all  select item=203, shipno='PON', richan=''</v>
      </c>
      <c r="E198" t="str">
        <f t="shared" ref="E198:E261" si="7">"union all  select item=" &amp; A198 &amp; ", shipno='" &amp; B198 &amp; "', richan='" &amp; C198 &amp; "'"</f>
        <v>union all  select item=203, shipno='', richan=''</v>
      </c>
    </row>
    <row r="199" spans="1:5" x14ac:dyDescent="0.25">
      <c r="A199" s="12">
        <v>204</v>
      </c>
      <c r="D199" t="str">
        <f t="shared" si="6"/>
        <v>union all  select item=204, shipno='PON', richan=''</v>
      </c>
      <c r="E199" t="str">
        <f t="shared" si="7"/>
        <v>union all  select item=204, shipno='', richan=''</v>
      </c>
    </row>
    <row r="200" spans="1:5" x14ac:dyDescent="0.25">
      <c r="A200" s="12">
        <v>205</v>
      </c>
      <c r="D200" t="str">
        <f t="shared" si="6"/>
        <v>union all  select item=205, shipno='PON', richan=''</v>
      </c>
      <c r="E200" t="str">
        <f t="shared" si="7"/>
        <v>union all  select item=205, shipno='', richan=''</v>
      </c>
    </row>
    <row r="201" spans="1:5" x14ac:dyDescent="0.25">
      <c r="A201" s="12">
        <v>206</v>
      </c>
      <c r="D201" t="str">
        <f t="shared" si="6"/>
        <v>union all  select item=206, shipno='PON', richan=''</v>
      </c>
      <c r="E201" t="str">
        <f t="shared" si="7"/>
        <v>union all  select item=206, shipno='', richan=''</v>
      </c>
    </row>
    <row r="202" spans="1:5" x14ac:dyDescent="0.25">
      <c r="A202" s="12">
        <v>207</v>
      </c>
      <c r="D202" t="str">
        <f t="shared" si="6"/>
        <v>union all  select item=207, shipno='PON', richan=''</v>
      </c>
      <c r="E202" t="str">
        <f t="shared" si="7"/>
        <v>union all  select item=207, shipno='', richan=''</v>
      </c>
    </row>
    <row r="203" spans="1:5" x14ac:dyDescent="0.25">
      <c r="A203" s="12">
        <v>208</v>
      </c>
      <c r="D203" t="str">
        <f t="shared" si="6"/>
        <v>union all  select item=208, shipno='PON', richan=''</v>
      </c>
      <c r="E203" t="str">
        <f t="shared" si="7"/>
        <v>union all  select item=208, shipno='', richan=''</v>
      </c>
    </row>
    <row r="204" spans="1:5" x14ac:dyDescent="0.25">
      <c r="A204" s="12">
        <v>209</v>
      </c>
      <c r="D204" t="str">
        <f t="shared" si="6"/>
        <v>union all  select item=209, shipno='PON', richan=''</v>
      </c>
      <c r="E204" t="str">
        <f t="shared" si="7"/>
        <v>union all  select item=209, shipno='', richan=''</v>
      </c>
    </row>
    <row r="205" spans="1:5" x14ac:dyDescent="0.25">
      <c r="A205" s="12">
        <v>210</v>
      </c>
      <c r="D205" t="str">
        <f t="shared" si="6"/>
        <v>union all  select item=210, shipno='PON', richan=''</v>
      </c>
      <c r="E205" t="str">
        <f t="shared" si="7"/>
        <v>union all  select item=210, shipno='', richan=''</v>
      </c>
    </row>
    <row r="206" spans="1:5" x14ac:dyDescent="0.25">
      <c r="A206" s="12">
        <v>211</v>
      </c>
      <c r="D206" t="str">
        <f t="shared" si="6"/>
        <v>union all  select item=211, shipno='PON', richan=''</v>
      </c>
      <c r="E206" t="str">
        <f t="shared" si="7"/>
        <v>union all  select item=211, shipno='', richan=''</v>
      </c>
    </row>
    <row r="207" spans="1:5" x14ac:dyDescent="0.25">
      <c r="A207" s="12">
        <v>212</v>
      </c>
      <c r="D207" t="str">
        <f t="shared" si="6"/>
        <v>union all  select item=212, shipno='PON', richan=''</v>
      </c>
      <c r="E207" t="str">
        <f t="shared" si="7"/>
        <v>union all  select item=212, shipno='', richan=''</v>
      </c>
    </row>
    <row r="208" spans="1:5" x14ac:dyDescent="0.25">
      <c r="A208" s="12">
        <v>213</v>
      </c>
      <c r="D208" t="str">
        <f t="shared" si="6"/>
        <v>union all  select item=213, shipno='PON', richan=''</v>
      </c>
      <c r="E208" t="str">
        <f t="shared" si="7"/>
        <v>union all  select item=213, shipno='', richan=''</v>
      </c>
    </row>
    <row r="209" spans="1:5" x14ac:dyDescent="0.25">
      <c r="A209" s="12">
        <v>214</v>
      </c>
      <c r="D209" t="str">
        <f t="shared" si="6"/>
        <v>union all  select item=214, shipno='PON', richan=''</v>
      </c>
      <c r="E209" t="str">
        <f t="shared" si="7"/>
        <v>union all  select item=214, shipno='', richan=''</v>
      </c>
    </row>
    <row r="210" spans="1:5" x14ac:dyDescent="0.25">
      <c r="A210" s="12">
        <v>215</v>
      </c>
      <c r="D210" t="str">
        <f t="shared" si="6"/>
        <v>union all  select item=215, shipno='PON', richan=''</v>
      </c>
      <c r="E210" t="str">
        <f t="shared" si="7"/>
        <v>union all  select item=215, shipno='', richan=''</v>
      </c>
    </row>
    <row r="211" spans="1:5" x14ac:dyDescent="0.25">
      <c r="A211" s="12">
        <v>216</v>
      </c>
      <c r="D211" t="str">
        <f t="shared" si="6"/>
        <v>union all  select item=216, shipno='PON', richan=''</v>
      </c>
      <c r="E211" t="str">
        <f t="shared" si="7"/>
        <v>union all  select item=216, shipno='', richan=''</v>
      </c>
    </row>
    <row r="212" spans="1:5" x14ac:dyDescent="0.25">
      <c r="A212" s="12">
        <v>217</v>
      </c>
      <c r="D212" t="str">
        <f t="shared" si="6"/>
        <v>union all  select item=217, shipno='PON', richan=''</v>
      </c>
      <c r="E212" t="str">
        <f t="shared" si="7"/>
        <v>union all  select item=217, shipno='', richan=''</v>
      </c>
    </row>
    <row r="213" spans="1:5" x14ac:dyDescent="0.25">
      <c r="A213" s="12">
        <v>218</v>
      </c>
      <c r="D213" t="str">
        <f t="shared" si="6"/>
        <v>union all  select item=218, shipno='PON', richan=''</v>
      </c>
      <c r="E213" t="str">
        <f t="shared" si="7"/>
        <v>union all  select item=218, shipno='', richan=''</v>
      </c>
    </row>
    <row r="214" spans="1:5" x14ac:dyDescent="0.25">
      <c r="A214" s="12">
        <v>219</v>
      </c>
      <c r="D214" t="str">
        <f t="shared" si="6"/>
        <v>union all  select item=219, shipno='PON', richan=''</v>
      </c>
      <c r="E214" t="str">
        <f t="shared" si="7"/>
        <v>union all  select item=219, shipno='', richan=''</v>
      </c>
    </row>
    <row r="215" spans="1:5" x14ac:dyDescent="0.25">
      <c r="A215" s="12">
        <v>220</v>
      </c>
      <c r="D215" t="str">
        <f t="shared" si="6"/>
        <v>union all  select item=220, shipno='PON', richan=''</v>
      </c>
      <c r="E215" t="str">
        <f t="shared" si="7"/>
        <v>union all  select item=220, shipno='', richan=''</v>
      </c>
    </row>
    <row r="216" spans="1:5" x14ac:dyDescent="0.25">
      <c r="A216" s="12">
        <v>221</v>
      </c>
      <c r="D216" t="str">
        <f t="shared" si="6"/>
        <v>union all  select item=221, shipno='PON', richan=''</v>
      </c>
      <c r="E216" t="str">
        <f t="shared" si="7"/>
        <v>union all  select item=221, shipno='', richan=''</v>
      </c>
    </row>
    <row r="217" spans="1:5" x14ac:dyDescent="0.25">
      <c r="A217" s="12">
        <v>222</v>
      </c>
      <c r="D217" t="str">
        <f t="shared" si="6"/>
        <v>union all  select item=222, shipno='PON', richan=''</v>
      </c>
      <c r="E217" t="str">
        <f t="shared" si="7"/>
        <v>union all  select item=222, shipno='', richan=''</v>
      </c>
    </row>
    <row r="218" spans="1:5" x14ac:dyDescent="0.25">
      <c r="A218" s="12">
        <v>223</v>
      </c>
      <c r="D218" t="str">
        <f t="shared" si="6"/>
        <v>union all  select item=223, shipno='PON', richan=''</v>
      </c>
      <c r="E218" t="str">
        <f t="shared" si="7"/>
        <v>union all  select item=223, shipno='', richan=''</v>
      </c>
    </row>
    <row r="219" spans="1:5" x14ac:dyDescent="0.25">
      <c r="A219" s="12">
        <v>224</v>
      </c>
      <c r="D219" t="str">
        <f t="shared" si="6"/>
        <v>union all  select item=224, shipno='PON', richan=''</v>
      </c>
      <c r="E219" t="str">
        <f t="shared" si="7"/>
        <v>union all  select item=224, shipno='', richan=''</v>
      </c>
    </row>
    <row r="220" spans="1:5" x14ac:dyDescent="0.25">
      <c r="A220" s="12">
        <v>225</v>
      </c>
      <c r="D220" t="str">
        <f t="shared" si="6"/>
        <v>union all  select item=225, shipno='PON', richan=''</v>
      </c>
      <c r="E220" t="str">
        <f t="shared" si="7"/>
        <v>union all  select item=225, shipno='', richan=''</v>
      </c>
    </row>
    <row r="221" spans="1:5" x14ac:dyDescent="0.25">
      <c r="A221" s="12">
        <v>226</v>
      </c>
      <c r="D221" t="str">
        <f t="shared" si="6"/>
        <v>union all  select item=226, shipno='PON', richan=''</v>
      </c>
      <c r="E221" t="str">
        <f t="shared" si="7"/>
        <v>union all  select item=226, shipno='', richan=''</v>
      </c>
    </row>
    <row r="222" spans="1:5" x14ac:dyDescent="0.25">
      <c r="A222" s="12">
        <v>227</v>
      </c>
      <c r="D222" t="str">
        <f t="shared" si="6"/>
        <v>union all  select item=227, shipno='PON', richan=''</v>
      </c>
      <c r="E222" t="str">
        <f t="shared" si="7"/>
        <v>union all  select item=227, shipno='', richan=''</v>
      </c>
    </row>
    <row r="223" spans="1:5" x14ac:dyDescent="0.25">
      <c r="A223" s="12">
        <v>228</v>
      </c>
      <c r="D223" t="str">
        <f t="shared" si="6"/>
        <v>union all  select item=228, shipno='PON', richan=''</v>
      </c>
      <c r="E223" t="str">
        <f t="shared" si="7"/>
        <v>union all  select item=228, shipno='', richan=''</v>
      </c>
    </row>
    <row r="224" spans="1:5" x14ac:dyDescent="0.25">
      <c r="A224" s="12">
        <v>229</v>
      </c>
      <c r="D224" t="str">
        <f t="shared" si="6"/>
        <v>union all  select item=229, shipno='PON', richan=''</v>
      </c>
      <c r="E224" t="str">
        <f t="shared" si="7"/>
        <v>union all  select item=229, shipno='', richan=''</v>
      </c>
    </row>
    <row r="225" spans="1:5" x14ac:dyDescent="0.25">
      <c r="A225" s="12">
        <v>230</v>
      </c>
      <c r="D225" t="str">
        <f t="shared" si="6"/>
        <v>union all  select item=230, shipno='PON', richan=''</v>
      </c>
      <c r="E225" t="str">
        <f t="shared" si="7"/>
        <v>union all  select item=230, shipno='', richan=''</v>
      </c>
    </row>
    <row r="226" spans="1:5" x14ac:dyDescent="0.25">
      <c r="A226" s="12">
        <v>231</v>
      </c>
      <c r="D226" t="str">
        <f t="shared" si="6"/>
        <v>union all  select item=231, shipno='PON', richan=''</v>
      </c>
      <c r="E226" t="str">
        <f t="shared" si="7"/>
        <v>union all  select item=231, shipno='', richan=''</v>
      </c>
    </row>
    <row r="227" spans="1:5" x14ac:dyDescent="0.25">
      <c r="A227" s="12">
        <v>232</v>
      </c>
      <c r="D227" t="str">
        <f t="shared" si="6"/>
        <v>union all  select item=232, shipno='PON', richan=''</v>
      </c>
      <c r="E227" t="str">
        <f t="shared" si="7"/>
        <v>union all  select item=232, shipno='', richan=''</v>
      </c>
    </row>
    <row r="228" spans="1:5" x14ac:dyDescent="0.25">
      <c r="A228" s="12">
        <v>233</v>
      </c>
      <c r="D228" t="str">
        <f t="shared" si="6"/>
        <v>union all  select item=233, shipno='PON', richan=''</v>
      </c>
      <c r="E228" t="str">
        <f t="shared" si="7"/>
        <v>union all  select item=233, shipno='', richan=''</v>
      </c>
    </row>
    <row r="229" spans="1:5" x14ac:dyDescent="0.25">
      <c r="A229" s="12">
        <v>234</v>
      </c>
      <c r="D229" t="str">
        <f t="shared" si="6"/>
        <v>union all  select item=234, shipno='PON', richan=''</v>
      </c>
      <c r="E229" t="str">
        <f t="shared" si="7"/>
        <v>union all  select item=234, shipno='', richan=''</v>
      </c>
    </row>
    <row r="230" spans="1:5" x14ac:dyDescent="0.25">
      <c r="A230" s="12">
        <v>235</v>
      </c>
      <c r="D230" t="str">
        <f t="shared" si="6"/>
        <v>union all  select item=235, shipno='PON', richan=''</v>
      </c>
      <c r="E230" t="str">
        <f t="shared" si="7"/>
        <v>union all  select item=235, shipno='', richan=''</v>
      </c>
    </row>
    <row r="231" spans="1:5" x14ac:dyDescent="0.25">
      <c r="A231" s="12">
        <v>236</v>
      </c>
      <c r="D231" t="str">
        <f t="shared" si="6"/>
        <v>union all  select item=236, shipno='PON', richan=''</v>
      </c>
      <c r="E231" t="str">
        <f t="shared" si="7"/>
        <v>union all  select item=236, shipno='', richan=''</v>
      </c>
    </row>
    <row r="232" spans="1:5" x14ac:dyDescent="0.25">
      <c r="A232" s="12">
        <v>237</v>
      </c>
      <c r="D232" t="str">
        <f t="shared" si="6"/>
        <v>union all  select item=237, shipno='PON', richan=''</v>
      </c>
      <c r="E232" t="str">
        <f t="shared" si="7"/>
        <v>union all  select item=237, shipno='', richan=''</v>
      </c>
    </row>
    <row r="233" spans="1:5" x14ac:dyDescent="0.25">
      <c r="A233" s="12">
        <v>238</v>
      </c>
      <c r="D233" t="str">
        <f t="shared" si="6"/>
        <v>union all  select item=238, shipno='PON', richan=''</v>
      </c>
      <c r="E233" t="str">
        <f t="shared" si="7"/>
        <v>union all  select item=238, shipno='', richan=''</v>
      </c>
    </row>
    <row r="234" spans="1:5" x14ac:dyDescent="0.25">
      <c r="A234" s="12">
        <v>239</v>
      </c>
      <c r="D234" t="str">
        <f t="shared" si="6"/>
        <v>union all  select item=239, shipno='PON', richan=''</v>
      </c>
      <c r="E234" t="str">
        <f t="shared" si="7"/>
        <v>union all  select item=239, shipno='', richan=''</v>
      </c>
    </row>
    <row r="235" spans="1:5" x14ac:dyDescent="0.25">
      <c r="A235" s="12">
        <v>240</v>
      </c>
      <c r="D235" t="str">
        <f t="shared" si="6"/>
        <v>union all  select item=240, shipno='PON', richan=''</v>
      </c>
      <c r="E235" t="str">
        <f t="shared" si="7"/>
        <v>union all  select item=240, shipno='', richan=''</v>
      </c>
    </row>
    <row r="236" spans="1:5" x14ac:dyDescent="0.25">
      <c r="A236" s="12">
        <v>241</v>
      </c>
      <c r="D236" t="str">
        <f t="shared" si="6"/>
        <v>union all  select item=241, shipno='PON', richan=''</v>
      </c>
      <c r="E236" t="str">
        <f t="shared" si="7"/>
        <v>union all  select item=241, shipno='', richan=''</v>
      </c>
    </row>
    <row r="237" spans="1:5" x14ac:dyDescent="0.25">
      <c r="A237" s="12">
        <v>242</v>
      </c>
      <c r="D237" t="str">
        <f t="shared" si="6"/>
        <v>union all  select item=242, shipno='PON', richan=''</v>
      </c>
      <c r="E237" t="str">
        <f t="shared" si="7"/>
        <v>union all  select item=242, shipno='', richan=''</v>
      </c>
    </row>
    <row r="238" spans="1:5" x14ac:dyDescent="0.25">
      <c r="A238" s="12">
        <v>243</v>
      </c>
      <c r="D238" t="str">
        <f t="shared" si="6"/>
        <v>union all  select item=243, shipno='PON', richan=''</v>
      </c>
      <c r="E238" t="str">
        <f t="shared" si="7"/>
        <v>union all  select item=243, shipno='', richan=''</v>
      </c>
    </row>
    <row r="239" spans="1:5" x14ac:dyDescent="0.25">
      <c r="A239" s="12">
        <v>244</v>
      </c>
      <c r="D239" t="str">
        <f t="shared" si="6"/>
        <v>union all  select item=244, shipno='PON', richan=''</v>
      </c>
      <c r="E239" t="str">
        <f t="shared" si="7"/>
        <v>union all  select item=244, shipno='', richan=''</v>
      </c>
    </row>
    <row r="240" spans="1:5" x14ac:dyDescent="0.25">
      <c r="A240" s="12">
        <v>245</v>
      </c>
      <c r="D240" t="str">
        <f t="shared" si="6"/>
        <v>union all  select item=245, shipno='PON', richan=''</v>
      </c>
      <c r="E240" t="str">
        <f t="shared" si="7"/>
        <v>union all  select item=245, shipno='', richan=''</v>
      </c>
    </row>
    <row r="241" spans="1:5" x14ac:dyDescent="0.25">
      <c r="A241" s="12">
        <v>246</v>
      </c>
      <c r="D241" t="str">
        <f t="shared" si="6"/>
        <v>union all  select item=246, shipno='PON', richan=''</v>
      </c>
      <c r="E241" t="str">
        <f t="shared" si="7"/>
        <v>union all  select item=246, shipno='', richan=''</v>
      </c>
    </row>
    <row r="242" spans="1:5" x14ac:dyDescent="0.25">
      <c r="A242" s="12">
        <v>247</v>
      </c>
      <c r="D242" t="str">
        <f t="shared" si="6"/>
        <v>union all  select item=247, shipno='PON', richan=''</v>
      </c>
      <c r="E242" t="str">
        <f t="shared" si="7"/>
        <v>union all  select item=247, shipno='', richan=''</v>
      </c>
    </row>
    <row r="243" spans="1:5" x14ac:dyDescent="0.25">
      <c r="A243" s="12">
        <v>248</v>
      </c>
      <c r="D243" t="str">
        <f t="shared" si="6"/>
        <v>union all  select item=248, shipno='PON', richan=''</v>
      </c>
      <c r="E243" t="str">
        <f t="shared" si="7"/>
        <v>union all  select item=248, shipno='', richan=''</v>
      </c>
    </row>
    <row r="244" spans="1:5" x14ac:dyDescent="0.25">
      <c r="A244" s="12">
        <v>249</v>
      </c>
      <c r="D244" t="str">
        <f t="shared" si="6"/>
        <v>union all  select item=249, shipno='PON', richan=''</v>
      </c>
      <c r="E244" t="str">
        <f t="shared" si="7"/>
        <v>union all  select item=249, shipno='', richan=''</v>
      </c>
    </row>
    <row r="245" spans="1:5" x14ac:dyDescent="0.25">
      <c r="A245" s="12">
        <v>250</v>
      </c>
      <c r="D245" t="str">
        <f t="shared" si="6"/>
        <v>union all  select item=250, shipno='PON', richan=''</v>
      </c>
      <c r="E245" t="str">
        <f t="shared" si="7"/>
        <v>union all  select item=250, shipno='', richan=''</v>
      </c>
    </row>
    <row r="246" spans="1:5" x14ac:dyDescent="0.25">
      <c r="A246" s="12">
        <v>251</v>
      </c>
      <c r="D246" t="str">
        <f t="shared" si="6"/>
        <v>union all  select item=251, shipno='PON', richan=''</v>
      </c>
      <c r="E246" t="str">
        <f t="shared" si="7"/>
        <v>union all  select item=251, shipno='', richan=''</v>
      </c>
    </row>
    <row r="247" spans="1:5" x14ac:dyDescent="0.25">
      <c r="A247" s="12">
        <v>252</v>
      </c>
      <c r="D247" t="str">
        <f t="shared" si="6"/>
        <v>union all  select item=252, shipno='PON', richan=''</v>
      </c>
      <c r="E247" t="str">
        <f t="shared" si="7"/>
        <v>union all  select item=252, shipno='', richan=''</v>
      </c>
    </row>
    <row r="248" spans="1:5" x14ac:dyDescent="0.25">
      <c r="A248" s="12">
        <v>253</v>
      </c>
      <c r="D248" t="str">
        <f t="shared" si="6"/>
        <v>union all  select item=253, shipno='PON', richan=''</v>
      </c>
      <c r="E248" t="str">
        <f t="shared" si="7"/>
        <v>union all  select item=253, shipno='', richan=''</v>
      </c>
    </row>
    <row r="249" spans="1:5" x14ac:dyDescent="0.25">
      <c r="A249" s="12">
        <v>254</v>
      </c>
      <c r="D249" t="str">
        <f t="shared" si="6"/>
        <v>union all  select item=254, shipno='PON', richan=''</v>
      </c>
      <c r="E249" t="str">
        <f t="shared" si="7"/>
        <v>union all  select item=254, shipno='', richan=''</v>
      </c>
    </row>
    <row r="250" spans="1:5" x14ac:dyDescent="0.25">
      <c r="A250" s="12">
        <v>255</v>
      </c>
      <c r="D250" t="str">
        <f t="shared" si="6"/>
        <v>union all  select item=255, shipno='PON', richan=''</v>
      </c>
      <c r="E250" t="str">
        <f t="shared" si="7"/>
        <v>union all  select item=255, shipno='', richan=''</v>
      </c>
    </row>
    <row r="251" spans="1:5" x14ac:dyDescent="0.25">
      <c r="A251" s="12">
        <v>256</v>
      </c>
      <c r="D251" t="str">
        <f t="shared" si="6"/>
        <v>union all  select item=256, shipno='PON', richan=''</v>
      </c>
      <c r="E251" t="str">
        <f t="shared" si="7"/>
        <v>union all  select item=256, shipno='', richan=''</v>
      </c>
    </row>
    <row r="252" spans="1:5" x14ac:dyDescent="0.25">
      <c r="A252" s="12">
        <v>257</v>
      </c>
      <c r="D252" t="str">
        <f t="shared" si="6"/>
        <v>union all  select item=257, shipno='PON', richan=''</v>
      </c>
      <c r="E252" t="str">
        <f t="shared" si="7"/>
        <v>union all  select item=257, shipno='', richan=''</v>
      </c>
    </row>
    <row r="253" spans="1:5" x14ac:dyDescent="0.25">
      <c r="A253" s="12">
        <v>258</v>
      </c>
      <c r="D253" t="str">
        <f t="shared" si="6"/>
        <v>union all  select item=258, shipno='PON', richan=''</v>
      </c>
      <c r="E253" t="str">
        <f t="shared" si="7"/>
        <v>union all  select item=258, shipno='', richan=''</v>
      </c>
    </row>
    <row r="254" spans="1:5" x14ac:dyDescent="0.25">
      <c r="A254" s="12">
        <v>259</v>
      </c>
      <c r="D254" t="str">
        <f t="shared" si="6"/>
        <v>union all  select item=259, shipno='PON', richan=''</v>
      </c>
      <c r="E254" t="str">
        <f t="shared" si="7"/>
        <v>union all  select item=259, shipno='', richan=''</v>
      </c>
    </row>
    <row r="255" spans="1:5" x14ac:dyDescent="0.25">
      <c r="A255" s="12">
        <v>260</v>
      </c>
      <c r="D255" t="str">
        <f t="shared" si="6"/>
        <v>union all  select item=260, shipno='PON', richan=''</v>
      </c>
      <c r="E255" t="str">
        <f t="shared" si="7"/>
        <v>union all  select item=260, shipno='', richan=''</v>
      </c>
    </row>
    <row r="256" spans="1:5" x14ac:dyDescent="0.25">
      <c r="A256" s="12">
        <v>261</v>
      </c>
      <c r="D256" t="str">
        <f t="shared" si="6"/>
        <v>union all  select item=261, shipno='PON', richan=''</v>
      </c>
      <c r="E256" t="str">
        <f t="shared" si="7"/>
        <v>union all  select item=261, shipno='', richan=''</v>
      </c>
    </row>
    <row r="257" spans="1:5" x14ac:dyDescent="0.25">
      <c r="A257" s="12">
        <v>262</v>
      </c>
      <c r="D257" t="str">
        <f t="shared" si="6"/>
        <v>union all  select item=262, shipno='PON', richan=''</v>
      </c>
      <c r="E257" t="str">
        <f t="shared" si="7"/>
        <v>union all  select item=262, shipno='', richan=''</v>
      </c>
    </row>
    <row r="258" spans="1:5" x14ac:dyDescent="0.25">
      <c r="A258" s="12">
        <v>263</v>
      </c>
      <c r="D258" t="str">
        <f t="shared" si="6"/>
        <v>union all  select item=263, shipno='PON', richan=''</v>
      </c>
      <c r="E258" t="str">
        <f t="shared" si="7"/>
        <v>union all  select item=263, shipno='', richan=''</v>
      </c>
    </row>
    <row r="259" spans="1:5" x14ac:dyDescent="0.25">
      <c r="A259" s="12">
        <v>264</v>
      </c>
      <c r="D259" t="str">
        <f t="shared" si="6"/>
        <v>union all  select item=264, shipno='PON', richan=''</v>
      </c>
      <c r="E259" t="str">
        <f t="shared" si="7"/>
        <v>union all  select item=264, shipno='', richan=''</v>
      </c>
    </row>
    <row r="260" spans="1:5" x14ac:dyDescent="0.25">
      <c r="A260" s="12">
        <v>265</v>
      </c>
      <c r="D260" t="str">
        <f t="shared" si="6"/>
        <v>union all  select item=265, shipno='PON', richan=''</v>
      </c>
      <c r="E260" t="str">
        <f t="shared" si="7"/>
        <v>union all  select item=265, shipno='', richan=''</v>
      </c>
    </row>
    <row r="261" spans="1:5" x14ac:dyDescent="0.25">
      <c r="A261" s="12">
        <v>266</v>
      </c>
      <c r="D261" t="str">
        <f t="shared" si="6"/>
        <v>union all  select item=266, shipno='PON', richan=''</v>
      </c>
      <c r="E261" t="str">
        <f t="shared" si="7"/>
        <v>union all  select item=266, shipno='', richan=''</v>
      </c>
    </row>
    <row r="262" spans="1:5" x14ac:dyDescent="0.25">
      <c r="A262" s="12">
        <v>267</v>
      </c>
      <c r="D262" t="str">
        <f t="shared" ref="D262:D308" si="8">"union all  select item=" &amp; A262 &amp; ", shipno='PON" &amp; B262 &amp; "', richan='" &amp; C262 &amp; "'"</f>
        <v>union all  select item=267, shipno='PON', richan=''</v>
      </c>
      <c r="E262" t="str">
        <f t="shared" ref="E262:E325" si="9">"union all  select item=" &amp; A262 &amp; ", shipno='" &amp; B262 &amp; "', richan='" &amp; C262 &amp; "'"</f>
        <v>union all  select item=267, shipno='', richan=''</v>
      </c>
    </row>
    <row r="263" spans="1:5" x14ac:dyDescent="0.25">
      <c r="A263" s="12">
        <v>268</v>
      </c>
      <c r="D263" t="str">
        <f t="shared" si="8"/>
        <v>union all  select item=268, shipno='PON', richan=''</v>
      </c>
      <c r="E263" t="str">
        <f t="shared" si="9"/>
        <v>union all  select item=268, shipno='', richan=''</v>
      </c>
    </row>
    <row r="264" spans="1:5" x14ac:dyDescent="0.25">
      <c r="A264" s="12">
        <v>269</v>
      </c>
      <c r="D264" t="str">
        <f t="shared" si="8"/>
        <v>union all  select item=269, shipno='PON', richan=''</v>
      </c>
      <c r="E264" t="str">
        <f t="shared" si="9"/>
        <v>union all  select item=269, shipno='', richan=''</v>
      </c>
    </row>
    <row r="265" spans="1:5" x14ac:dyDescent="0.25">
      <c r="A265" s="12">
        <v>270</v>
      </c>
      <c r="D265" t="str">
        <f t="shared" si="8"/>
        <v>union all  select item=270, shipno='PON', richan=''</v>
      </c>
      <c r="E265" t="str">
        <f t="shared" si="9"/>
        <v>union all  select item=270, shipno='', richan=''</v>
      </c>
    </row>
    <row r="266" spans="1:5" x14ac:dyDescent="0.25">
      <c r="A266" s="12">
        <v>271</v>
      </c>
      <c r="D266" t="str">
        <f t="shared" si="8"/>
        <v>union all  select item=271, shipno='PON', richan=''</v>
      </c>
      <c r="E266" t="str">
        <f t="shared" si="9"/>
        <v>union all  select item=271, shipno='', richan=''</v>
      </c>
    </row>
    <row r="267" spans="1:5" x14ac:dyDescent="0.25">
      <c r="A267" s="12">
        <v>272</v>
      </c>
      <c r="D267" t="str">
        <f t="shared" si="8"/>
        <v>union all  select item=272, shipno='PON', richan=''</v>
      </c>
      <c r="E267" t="str">
        <f t="shared" si="9"/>
        <v>union all  select item=272, shipno='', richan=''</v>
      </c>
    </row>
    <row r="268" spans="1:5" x14ac:dyDescent="0.25">
      <c r="A268" s="12">
        <v>273</v>
      </c>
      <c r="D268" t="str">
        <f t="shared" si="8"/>
        <v>union all  select item=273, shipno='PON', richan=''</v>
      </c>
      <c r="E268" t="str">
        <f t="shared" si="9"/>
        <v>union all  select item=273, shipno='', richan=''</v>
      </c>
    </row>
    <row r="269" spans="1:5" x14ac:dyDescent="0.25">
      <c r="A269" s="12">
        <v>274</v>
      </c>
      <c r="D269" t="str">
        <f t="shared" si="8"/>
        <v>union all  select item=274, shipno='PON', richan=''</v>
      </c>
      <c r="E269" t="str">
        <f t="shared" si="9"/>
        <v>union all  select item=274, shipno='', richan=''</v>
      </c>
    </row>
    <row r="270" spans="1:5" x14ac:dyDescent="0.25">
      <c r="A270" s="12">
        <v>275</v>
      </c>
      <c r="D270" t="str">
        <f t="shared" si="8"/>
        <v>union all  select item=275, shipno='PON', richan=''</v>
      </c>
      <c r="E270" t="str">
        <f t="shared" si="9"/>
        <v>union all  select item=275, shipno='', richan=''</v>
      </c>
    </row>
    <row r="271" spans="1:5" x14ac:dyDescent="0.25">
      <c r="A271" s="12">
        <v>276</v>
      </c>
      <c r="D271" t="str">
        <f t="shared" si="8"/>
        <v>union all  select item=276, shipno='PON', richan=''</v>
      </c>
      <c r="E271" t="str">
        <f t="shared" si="9"/>
        <v>union all  select item=276, shipno='', richan=''</v>
      </c>
    </row>
    <row r="272" spans="1:5" x14ac:dyDescent="0.25">
      <c r="A272" s="12">
        <v>277</v>
      </c>
      <c r="D272" t="str">
        <f t="shared" si="8"/>
        <v>union all  select item=277, shipno='PON', richan=''</v>
      </c>
      <c r="E272" t="str">
        <f t="shared" si="9"/>
        <v>union all  select item=277, shipno='', richan=''</v>
      </c>
    </row>
    <row r="273" spans="1:5" x14ac:dyDescent="0.25">
      <c r="A273" s="12">
        <v>278</v>
      </c>
      <c r="D273" t="str">
        <f t="shared" si="8"/>
        <v>union all  select item=278, shipno='PON', richan=''</v>
      </c>
      <c r="E273" t="str">
        <f t="shared" si="9"/>
        <v>union all  select item=278, shipno='', richan=''</v>
      </c>
    </row>
    <row r="274" spans="1:5" x14ac:dyDescent="0.25">
      <c r="A274" s="12">
        <v>279</v>
      </c>
      <c r="D274" t="str">
        <f t="shared" si="8"/>
        <v>union all  select item=279, shipno='PON', richan=''</v>
      </c>
      <c r="E274" t="str">
        <f t="shared" si="9"/>
        <v>union all  select item=279, shipno='', richan=''</v>
      </c>
    </row>
    <row r="275" spans="1:5" x14ac:dyDescent="0.25">
      <c r="A275" s="12">
        <v>280</v>
      </c>
      <c r="D275" t="str">
        <f t="shared" si="8"/>
        <v>union all  select item=280, shipno='PON', richan=''</v>
      </c>
      <c r="E275" t="str">
        <f t="shared" si="9"/>
        <v>union all  select item=280, shipno='', richan=''</v>
      </c>
    </row>
    <row r="276" spans="1:5" x14ac:dyDescent="0.25">
      <c r="A276" s="12">
        <v>281</v>
      </c>
      <c r="D276" t="str">
        <f t="shared" si="8"/>
        <v>union all  select item=281, shipno='PON', richan=''</v>
      </c>
      <c r="E276" t="str">
        <f t="shared" si="9"/>
        <v>union all  select item=281, shipno='', richan=''</v>
      </c>
    </row>
    <row r="277" spans="1:5" x14ac:dyDescent="0.25">
      <c r="A277" s="12">
        <v>282</v>
      </c>
      <c r="D277" t="str">
        <f t="shared" si="8"/>
        <v>union all  select item=282, shipno='PON', richan=''</v>
      </c>
      <c r="E277" t="str">
        <f t="shared" si="9"/>
        <v>union all  select item=282, shipno='', richan=''</v>
      </c>
    </row>
    <row r="278" spans="1:5" x14ac:dyDescent="0.25">
      <c r="A278" s="12">
        <v>283</v>
      </c>
      <c r="D278" t="str">
        <f t="shared" si="8"/>
        <v>union all  select item=283, shipno='PON', richan=''</v>
      </c>
      <c r="E278" t="str">
        <f t="shared" si="9"/>
        <v>union all  select item=283, shipno='', richan=''</v>
      </c>
    </row>
    <row r="279" spans="1:5" x14ac:dyDescent="0.25">
      <c r="A279" s="12">
        <v>284</v>
      </c>
      <c r="D279" t="str">
        <f t="shared" si="8"/>
        <v>union all  select item=284, shipno='PON', richan=''</v>
      </c>
      <c r="E279" t="str">
        <f t="shared" si="9"/>
        <v>union all  select item=284, shipno='', richan=''</v>
      </c>
    </row>
    <row r="280" spans="1:5" x14ac:dyDescent="0.25">
      <c r="A280" s="12">
        <v>285</v>
      </c>
      <c r="D280" t="str">
        <f t="shared" si="8"/>
        <v>union all  select item=285, shipno='PON', richan=''</v>
      </c>
      <c r="E280" t="str">
        <f t="shared" si="9"/>
        <v>union all  select item=285, shipno='', richan=''</v>
      </c>
    </row>
    <row r="281" spans="1:5" x14ac:dyDescent="0.25">
      <c r="A281" s="12">
        <v>286</v>
      </c>
      <c r="D281" t="str">
        <f t="shared" si="8"/>
        <v>union all  select item=286, shipno='PON', richan=''</v>
      </c>
      <c r="E281" t="str">
        <f t="shared" si="9"/>
        <v>union all  select item=286, shipno='', richan=''</v>
      </c>
    </row>
    <row r="282" spans="1:5" x14ac:dyDescent="0.25">
      <c r="A282" s="12">
        <v>287</v>
      </c>
      <c r="D282" t="str">
        <f t="shared" si="8"/>
        <v>union all  select item=287, shipno='PON', richan=''</v>
      </c>
      <c r="E282" t="str">
        <f t="shared" si="9"/>
        <v>union all  select item=287, shipno='', richan=''</v>
      </c>
    </row>
    <row r="283" spans="1:5" x14ac:dyDescent="0.25">
      <c r="A283" s="12">
        <v>288</v>
      </c>
      <c r="D283" t="str">
        <f t="shared" si="8"/>
        <v>union all  select item=288, shipno='PON', richan=''</v>
      </c>
      <c r="E283" t="str">
        <f t="shared" si="9"/>
        <v>union all  select item=288, shipno='', richan=''</v>
      </c>
    </row>
    <row r="284" spans="1:5" x14ac:dyDescent="0.25">
      <c r="A284" s="12">
        <v>289</v>
      </c>
      <c r="D284" t="str">
        <f t="shared" si="8"/>
        <v>union all  select item=289, shipno='PON', richan=''</v>
      </c>
      <c r="E284" t="str">
        <f t="shared" si="9"/>
        <v>union all  select item=289, shipno='', richan=''</v>
      </c>
    </row>
    <row r="285" spans="1:5" x14ac:dyDescent="0.25">
      <c r="A285" s="12">
        <v>290</v>
      </c>
      <c r="D285" t="str">
        <f t="shared" si="8"/>
        <v>union all  select item=290, shipno='PON', richan=''</v>
      </c>
      <c r="E285" t="str">
        <f t="shared" si="9"/>
        <v>union all  select item=290, shipno='', richan=''</v>
      </c>
    </row>
    <row r="286" spans="1:5" x14ac:dyDescent="0.25">
      <c r="A286" s="12">
        <v>291</v>
      </c>
      <c r="D286" t="str">
        <f t="shared" si="8"/>
        <v>union all  select item=291, shipno='PON', richan=''</v>
      </c>
      <c r="E286" t="str">
        <f t="shared" si="9"/>
        <v>union all  select item=291, shipno='', richan=''</v>
      </c>
    </row>
    <row r="287" spans="1:5" x14ac:dyDescent="0.25">
      <c r="A287" s="12">
        <v>292</v>
      </c>
      <c r="D287" t="str">
        <f t="shared" si="8"/>
        <v>union all  select item=292, shipno='PON', richan=''</v>
      </c>
      <c r="E287" t="str">
        <f t="shared" si="9"/>
        <v>union all  select item=292, shipno='', richan=''</v>
      </c>
    </row>
    <row r="288" spans="1:5" x14ac:dyDescent="0.25">
      <c r="A288" s="12">
        <v>293</v>
      </c>
      <c r="D288" t="str">
        <f t="shared" si="8"/>
        <v>union all  select item=293, shipno='PON', richan=''</v>
      </c>
      <c r="E288" t="str">
        <f t="shared" si="9"/>
        <v>union all  select item=293, shipno='', richan=''</v>
      </c>
    </row>
    <row r="289" spans="1:5" x14ac:dyDescent="0.25">
      <c r="A289" s="12">
        <v>294</v>
      </c>
      <c r="D289" t="str">
        <f t="shared" si="8"/>
        <v>union all  select item=294, shipno='PON', richan=''</v>
      </c>
      <c r="E289" t="str">
        <f t="shared" si="9"/>
        <v>union all  select item=294, shipno='', richan=''</v>
      </c>
    </row>
    <row r="290" spans="1:5" x14ac:dyDescent="0.25">
      <c r="A290" s="12">
        <v>295</v>
      </c>
      <c r="D290" t="str">
        <f t="shared" si="8"/>
        <v>union all  select item=295, shipno='PON', richan=''</v>
      </c>
      <c r="E290" t="str">
        <f t="shared" si="9"/>
        <v>union all  select item=295, shipno='', richan=''</v>
      </c>
    </row>
    <row r="291" spans="1:5" x14ac:dyDescent="0.25">
      <c r="A291" s="12">
        <v>296</v>
      </c>
      <c r="D291" t="str">
        <f t="shared" si="8"/>
        <v>union all  select item=296, shipno='PON', richan=''</v>
      </c>
      <c r="E291" t="str">
        <f t="shared" si="9"/>
        <v>union all  select item=296, shipno='', richan=''</v>
      </c>
    </row>
    <row r="292" spans="1:5" x14ac:dyDescent="0.25">
      <c r="A292" s="12">
        <v>297</v>
      </c>
      <c r="D292" t="str">
        <f t="shared" si="8"/>
        <v>union all  select item=297, shipno='PON', richan=''</v>
      </c>
      <c r="E292" t="str">
        <f t="shared" si="9"/>
        <v>union all  select item=297, shipno='', richan=''</v>
      </c>
    </row>
    <row r="293" spans="1:5" x14ac:dyDescent="0.25">
      <c r="A293" s="12">
        <v>298</v>
      </c>
      <c r="D293" t="str">
        <f t="shared" si="8"/>
        <v>union all  select item=298, shipno='PON', richan=''</v>
      </c>
      <c r="E293" t="str">
        <f t="shared" si="9"/>
        <v>union all  select item=298, shipno='', richan=''</v>
      </c>
    </row>
    <row r="294" spans="1:5" x14ac:dyDescent="0.25">
      <c r="A294" s="12">
        <v>299</v>
      </c>
      <c r="D294" t="str">
        <f t="shared" si="8"/>
        <v>union all  select item=299, shipno='PON', richan=''</v>
      </c>
      <c r="E294" t="str">
        <f t="shared" si="9"/>
        <v>union all  select item=299, shipno='', richan=''</v>
      </c>
    </row>
    <row r="295" spans="1:5" x14ac:dyDescent="0.25">
      <c r="A295" s="12">
        <v>300</v>
      </c>
      <c r="D295" t="str">
        <f t="shared" si="8"/>
        <v>union all  select item=300, shipno='PON', richan=''</v>
      </c>
      <c r="E295" t="str">
        <f t="shared" si="9"/>
        <v>union all  select item=300, shipno='', richan=''</v>
      </c>
    </row>
    <row r="296" spans="1:5" x14ac:dyDescent="0.25">
      <c r="A296" s="12">
        <v>301</v>
      </c>
      <c r="D296" t="str">
        <f t="shared" si="8"/>
        <v>union all  select item=301, shipno='PON', richan=''</v>
      </c>
      <c r="E296" t="str">
        <f t="shared" si="9"/>
        <v>union all  select item=301, shipno='', richan=''</v>
      </c>
    </row>
    <row r="297" spans="1:5" x14ac:dyDescent="0.25">
      <c r="A297" s="12">
        <v>302</v>
      </c>
      <c r="D297" t="str">
        <f t="shared" si="8"/>
        <v>union all  select item=302, shipno='PON', richan=''</v>
      </c>
      <c r="E297" t="str">
        <f t="shared" si="9"/>
        <v>union all  select item=302, shipno='', richan=''</v>
      </c>
    </row>
    <row r="298" spans="1:5" x14ac:dyDescent="0.25">
      <c r="A298" s="12">
        <v>303</v>
      </c>
      <c r="D298" t="str">
        <f t="shared" si="8"/>
        <v>union all  select item=303, shipno='PON', richan=''</v>
      </c>
      <c r="E298" t="str">
        <f t="shared" si="9"/>
        <v>union all  select item=303, shipno='', richan=''</v>
      </c>
    </row>
    <row r="299" spans="1:5" x14ac:dyDescent="0.25">
      <c r="A299" s="12">
        <v>304</v>
      </c>
      <c r="D299" t="str">
        <f t="shared" si="8"/>
        <v>union all  select item=304, shipno='PON', richan=''</v>
      </c>
      <c r="E299" t="str">
        <f t="shared" si="9"/>
        <v>union all  select item=304, shipno='', richan=''</v>
      </c>
    </row>
    <row r="300" spans="1:5" x14ac:dyDescent="0.25">
      <c r="A300" s="12">
        <v>305</v>
      </c>
      <c r="D300" t="str">
        <f t="shared" si="8"/>
        <v>union all  select item=305, shipno='PON', richan=''</v>
      </c>
      <c r="E300" t="str">
        <f t="shared" si="9"/>
        <v>union all  select item=305, shipno='', richan=''</v>
      </c>
    </row>
    <row r="301" spans="1:5" x14ac:dyDescent="0.25">
      <c r="A301" s="12">
        <v>306</v>
      </c>
      <c r="D301" t="str">
        <f t="shared" si="8"/>
        <v>union all  select item=306, shipno='PON', richan=''</v>
      </c>
      <c r="E301" t="str">
        <f t="shared" si="9"/>
        <v>union all  select item=306, shipno='', richan=''</v>
      </c>
    </row>
    <row r="302" spans="1:5" x14ac:dyDescent="0.25">
      <c r="A302" s="12">
        <v>307</v>
      </c>
      <c r="D302" t="str">
        <f t="shared" si="8"/>
        <v>union all  select item=307, shipno='PON', richan=''</v>
      </c>
      <c r="E302" t="str">
        <f t="shared" si="9"/>
        <v>union all  select item=307, shipno='', richan=''</v>
      </c>
    </row>
    <row r="303" spans="1:5" x14ac:dyDescent="0.25">
      <c r="A303" s="12">
        <v>308</v>
      </c>
      <c r="D303" t="str">
        <f t="shared" si="8"/>
        <v>union all  select item=308, shipno='PON', richan=''</v>
      </c>
      <c r="E303" t="str">
        <f t="shared" si="9"/>
        <v>union all  select item=308, shipno='', richan=''</v>
      </c>
    </row>
    <row r="304" spans="1:5" x14ac:dyDescent="0.25">
      <c r="A304" s="12">
        <v>309</v>
      </c>
      <c r="D304" t="str">
        <f t="shared" si="8"/>
        <v>union all  select item=309, shipno='PON', richan=''</v>
      </c>
      <c r="E304" t="str">
        <f t="shared" si="9"/>
        <v>union all  select item=309, shipno='', richan=''</v>
      </c>
    </row>
    <row r="305" spans="1:5" x14ac:dyDescent="0.25">
      <c r="A305" s="12">
        <v>310</v>
      </c>
      <c r="D305" t="str">
        <f t="shared" si="8"/>
        <v>union all  select item=310, shipno='PON', richan=''</v>
      </c>
      <c r="E305" t="str">
        <f t="shared" si="9"/>
        <v>union all  select item=310, shipno='', richan=''</v>
      </c>
    </row>
    <row r="306" spans="1:5" x14ac:dyDescent="0.25">
      <c r="A306" s="12">
        <v>311</v>
      </c>
      <c r="D306" t="str">
        <f t="shared" si="8"/>
        <v>union all  select item=311, shipno='PON', richan=''</v>
      </c>
      <c r="E306" t="str">
        <f t="shared" si="9"/>
        <v>union all  select item=311, shipno='', richan=''</v>
      </c>
    </row>
    <row r="307" spans="1:5" x14ac:dyDescent="0.25">
      <c r="A307" s="12">
        <v>312</v>
      </c>
      <c r="D307" t="str">
        <f t="shared" si="8"/>
        <v>union all  select item=312, shipno='PON', richan=''</v>
      </c>
      <c r="E307" t="str">
        <f t="shared" si="9"/>
        <v>union all  select item=312, shipno='', richan=''</v>
      </c>
    </row>
    <row r="308" spans="1:5" x14ac:dyDescent="0.25">
      <c r="A308" s="12">
        <v>313</v>
      </c>
      <c r="D308" t="str">
        <f t="shared" si="8"/>
        <v>union all  select item=313, shipno='PON', richan=''</v>
      </c>
      <c r="E308" t="str">
        <f t="shared" si="9"/>
        <v>union all  select item=313, shipno='', richan=''</v>
      </c>
    </row>
    <row r="309" spans="1:5" x14ac:dyDescent="0.25">
      <c r="A309" s="12">
        <v>314</v>
      </c>
      <c r="E309" t="str">
        <f t="shared" si="9"/>
        <v>union all  select item=314, shipno='', richan=''</v>
      </c>
    </row>
    <row r="310" spans="1:5" x14ac:dyDescent="0.25">
      <c r="A310" s="12">
        <v>315</v>
      </c>
      <c r="E310" t="str">
        <f t="shared" si="9"/>
        <v>union all  select item=315, shipno='', richan=''</v>
      </c>
    </row>
    <row r="311" spans="1:5" x14ac:dyDescent="0.25">
      <c r="A311" s="12">
        <v>316</v>
      </c>
      <c r="E311" t="str">
        <f t="shared" si="9"/>
        <v>union all  select item=316, shipno='', richan=''</v>
      </c>
    </row>
    <row r="312" spans="1:5" x14ac:dyDescent="0.25">
      <c r="A312" s="12">
        <v>317</v>
      </c>
      <c r="E312" t="str">
        <f t="shared" si="9"/>
        <v>union all  select item=317, shipno='', richan=''</v>
      </c>
    </row>
    <row r="313" spans="1:5" x14ac:dyDescent="0.25">
      <c r="A313" s="12">
        <v>318</v>
      </c>
      <c r="E313" t="str">
        <f t="shared" si="9"/>
        <v>union all  select item=318, shipno='', richan=''</v>
      </c>
    </row>
    <row r="314" spans="1:5" x14ac:dyDescent="0.25">
      <c r="A314" s="12">
        <v>319</v>
      </c>
      <c r="E314" t="str">
        <f t="shared" si="9"/>
        <v>union all  select item=319, shipno='', richan=''</v>
      </c>
    </row>
    <row r="315" spans="1:5" x14ac:dyDescent="0.25">
      <c r="A315" s="12">
        <v>320</v>
      </c>
      <c r="E315" t="str">
        <f t="shared" si="9"/>
        <v>union all  select item=320, shipno='', richan=''</v>
      </c>
    </row>
    <row r="316" spans="1:5" x14ac:dyDescent="0.25">
      <c r="A316" s="12">
        <v>321</v>
      </c>
      <c r="E316" t="str">
        <f t="shared" si="9"/>
        <v>union all  select item=321, shipno='', richan=''</v>
      </c>
    </row>
    <row r="317" spans="1:5" x14ac:dyDescent="0.25">
      <c r="A317" s="12">
        <v>322</v>
      </c>
      <c r="E317" t="str">
        <f t="shared" si="9"/>
        <v>union all  select item=322, shipno='', richan=''</v>
      </c>
    </row>
    <row r="318" spans="1:5" x14ac:dyDescent="0.25">
      <c r="A318" s="12">
        <v>323</v>
      </c>
      <c r="E318" t="str">
        <f t="shared" si="9"/>
        <v>union all  select item=323, shipno='', richan=''</v>
      </c>
    </row>
    <row r="319" spans="1:5" x14ac:dyDescent="0.25">
      <c r="A319" s="12">
        <v>324</v>
      </c>
      <c r="E319" t="str">
        <f t="shared" si="9"/>
        <v>union all  select item=324, shipno='', richan=''</v>
      </c>
    </row>
    <row r="320" spans="1:5" x14ac:dyDescent="0.25">
      <c r="A320" s="12">
        <v>325</v>
      </c>
      <c r="E320" t="str">
        <f t="shared" si="9"/>
        <v>union all  select item=325, shipno='', richan=''</v>
      </c>
    </row>
    <row r="321" spans="1:5" x14ac:dyDescent="0.25">
      <c r="A321" s="12">
        <v>326</v>
      </c>
      <c r="E321" t="str">
        <f t="shared" si="9"/>
        <v>union all  select item=326, shipno='', richan=''</v>
      </c>
    </row>
    <row r="322" spans="1:5" x14ac:dyDescent="0.25">
      <c r="A322" s="12">
        <v>327</v>
      </c>
      <c r="E322" t="str">
        <f t="shared" si="9"/>
        <v>union all  select item=327, shipno='', richan=''</v>
      </c>
    </row>
    <row r="323" spans="1:5" x14ac:dyDescent="0.25">
      <c r="A323" s="12">
        <v>328</v>
      </c>
      <c r="E323" t="str">
        <f t="shared" si="9"/>
        <v>union all  select item=328, shipno='', richan=''</v>
      </c>
    </row>
    <row r="324" spans="1:5" x14ac:dyDescent="0.25">
      <c r="A324" s="12">
        <v>329</v>
      </c>
      <c r="E324" t="str">
        <f t="shared" si="9"/>
        <v>union all  select item=329, shipno='', richan=''</v>
      </c>
    </row>
    <row r="325" spans="1:5" x14ac:dyDescent="0.25">
      <c r="A325" s="12">
        <v>330</v>
      </c>
      <c r="E325" t="str">
        <f t="shared" si="9"/>
        <v>union all  select item=330, shipno='', richan=''</v>
      </c>
    </row>
    <row r="326" spans="1:5" x14ac:dyDescent="0.25">
      <c r="A326" s="12">
        <v>331</v>
      </c>
      <c r="E326" t="str">
        <f t="shared" ref="E326:E335" si="10">"union all  select item=" &amp; A326 &amp; ", shipno='" &amp; B326 &amp; "', richan='" &amp; C326 &amp; "'"</f>
        <v>union all  select item=331, shipno='', richan=''</v>
      </c>
    </row>
    <row r="327" spans="1:5" x14ac:dyDescent="0.25">
      <c r="A327" s="12">
        <v>332</v>
      </c>
      <c r="E327" t="str">
        <f t="shared" si="10"/>
        <v>union all  select item=332, shipno='', richan=''</v>
      </c>
    </row>
    <row r="328" spans="1:5" x14ac:dyDescent="0.25">
      <c r="A328" s="12">
        <v>333</v>
      </c>
      <c r="E328" t="str">
        <f t="shared" si="10"/>
        <v>union all  select item=333, shipno='', richan=''</v>
      </c>
    </row>
    <row r="329" spans="1:5" x14ac:dyDescent="0.25">
      <c r="A329" s="12">
        <v>334</v>
      </c>
      <c r="E329" t="str">
        <f t="shared" si="10"/>
        <v>union all  select item=334, shipno='', richan=''</v>
      </c>
    </row>
    <row r="330" spans="1:5" x14ac:dyDescent="0.25">
      <c r="A330" s="12">
        <v>335</v>
      </c>
      <c r="E330" t="str">
        <f t="shared" si="10"/>
        <v>union all  select item=335, shipno='', richan=''</v>
      </c>
    </row>
    <row r="331" spans="1:5" x14ac:dyDescent="0.25">
      <c r="A331" s="12">
        <v>336</v>
      </c>
      <c r="E331" t="str">
        <f t="shared" si="10"/>
        <v>union all  select item=336, shipno='', richan=''</v>
      </c>
    </row>
    <row r="332" spans="1:5" x14ac:dyDescent="0.25">
      <c r="A332" s="12">
        <v>337</v>
      </c>
      <c r="E332" t="str">
        <f t="shared" si="10"/>
        <v>union all  select item=337, shipno='', richan=''</v>
      </c>
    </row>
    <row r="333" spans="1:5" x14ac:dyDescent="0.25">
      <c r="A333" s="12">
        <v>338</v>
      </c>
      <c r="E333" t="str">
        <f t="shared" si="10"/>
        <v>union all  select item=338, shipno='', richan=''</v>
      </c>
    </row>
    <row r="334" spans="1:5" x14ac:dyDescent="0.25">
      <c r="A334" s="12">
        <v>339</v>
      </c>
      <c r="E334" t="str">
        <f t="shared" si="10"/>
        <v>union all  select item=339, shipno='', richan=''</v>
      </c>
    </row>
    <row r="335" spans="1:5" x14ac:dyDescent="0.25">
      <c r="A335" s="12">
        <v>340</v>
      </c>
      <c r="E335" t="str">
        <f t="shared" si="10"/>
        <v>union all  select item=340, shipno='', richan=''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規格-裕隆</vt:lpstr>
      <vt:lpstr>規格-裕器CPM</vt:lpstr>
      <vt:lpstr>規格-裕器</vt:lpstr>
      <vt:lpstr>Datas-裕隆</vt:lpstr>
      <vt:lpstr>Datas-裕器</vt:lpstr>
      <vt:lpstr>SQL-裕隆</vt:lpstr>
      <vt:lpstr>SQL-裕器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2015-02-09T08:41:04Z</dcterms:modified>
</cp:coreProperties>
</file>