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規格" sheetId="1" r:id="rId1"/>
    <sheet name="Datas" sheetId="3" r:id="rId2"/>
    <sheet name="SQL" sheetId="4" r:id="rId3"/>
  </sheets>
  <functionGroups builtInGroupCount="18"/>
  <calcPr calcId="152511"/>
</workbook>
</file>

<file path=xl/calcChain.xml><?xml version="1.0" encoding="utf-8"?>
<calcChain xmlns="http://schemas.openxmlformats.org/spreadsheetml/2006/main">
  <c r="AP2" i="3" l="1"/>
  <c r="C4" i="4" l="1"/>
  <c r="C161" i="4" l="1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150" i="4"/>
  <c r="C151" i="4"/>
  <c r="C152" i="4"/>
  <c r="C153" i="4"/>
  <c r="C154" i="4"/>
  <c r="C155" i="4"/>
  <c r="C156" i="4"/>
  <c r="C157" i="4"/>
  <c r="C158" i="4"/>
  <c r="C159" i="4"/>
  <c r="C160" i="4"/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2" i="1"/>
  <c r="J3" i="1" l="1"/>
  <c r="J4" i="1"/>
  <c r="J5" i="1"/>
  <c r="J6" i="1"/>
  <c r="J7" i="1"/>
  <c r="J8" i="1"/>
  <c r="J9" i="1"/>
  <c r="J10" i="1"/>
  <c r="J11" i="1"/>
  <c r="J12" i="1"/>
  <c r="J13" i="1"/>
  <c r="J32" i="1"/>
  <c r="J14" i="1"/>
  <c r="J15" i="1"/>
  <c r="J16" i="1"/>
  <c r="J17" i="1"/>
  <c r="J18" i="1"/>
  <c r="J19" i="1"/>
  <c r="J20" i="1"/>
  <c r="J21" i="1"/>
  <c r="J22" i="1"/>
  <c r="J23" i="1"/>
  <c r="J33" i="1"/>
  <c r="J24" i="1"/>
  <c r="J25" i="1"/>
  <c r="J26" i="1"/>
  <c r="J27" i="1"/>
  <c r="J28" i="1"/>
  <c r="J29" i="1"/>
  <c r="J30" i="1"/>
  <c r="J2" i="1"/>
  <c r="F33" i="1" l="1"/>
  <c r="F3" i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32" i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3" i="1"/>
  <c r="L23" i="1" s="1"/>
  <c r="F24" i="1"/>
  <c r="L24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2" i="1"/>
  <c r="L2" i="1" s="1"/>
  <c r="K30" i="1" l="1"/>
  <c r="K26" i="1"/>
  <c r="K22" i="1"/>
  <c r="K14" i="1"/>
  <c r="K15" i="1"/>
  <c r="K11" i="1"/>
  <c r="K7" i="1"/>
  <c r="K3" i="1"/>
  <c r="K29" i="1"/>
  <c r="K25" i="1"/>
  <c r="K21" i="1"/>
  <c r="K18" i="1"/>
  <c r="L32" i="1"/>
  <c r="K32" i="1"/>
  <c r="K10" i="1"/>
  <c r="K6" i="1"/>
  <c r="L33" i="1"/>
  <c r="K33" i="1"/>
  <c r="K28" i="1"/>
  <c r="K24" i="1"/>
  <c r="K20" i="1"/>
  <c r="K17" i="1"/>
  <c r="K13" i="1"/>
  <c r="K9" i="1"/>
  <c r="K5" i="1"/>
  <c r="K2" i="1"/>
  <c r="K27" i="1"/>
  <c r="K23" i="1"/>
  <c r="K19" i="1"/>
  <c r="K16" i="1"/>
  <c r="K12" i="1"/>
  <c r="K8" i="1"/>
  <c r="K4" i="1"/>
</calcChain>
</file>

<file path=xl/comments1.xml><?xml version="1.0" encoding="utf-8"?>
<comments xmlns="http://schemas.openxmlformats.org/spreadsheetml/2006/main">
  <authors>
    <author>作者</author>
  </authors>
  <commentList>
    <comment ref="C18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後三碼為小數點以下</t>
        </r>
      </text>
    </comment>
  </commentList>
</comments>
</file>

<file path=xl/sharedStrings.xml><?xml version="1.0" encoding="utf-8"?>
<sst xmlns="http://schemas.openxmlformats.org/spreadsheetml/2006/main" count="5182" uniqueCount="702">
  <si>
    <t>C:       [42 to 43]</t>
  </si>
  <si>
    <r>
      <t>應付外包件金額</t>
    </r>
    <r>
      <rPr>
        <sz val="11"/>
        <color theme="1"/>
        <rFont val="Times New Roman"/>
        <family val="1"/>
      </rPr>
      <t xml:space="preserve">:[76 to 85] </t>
    </r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</si>
  <si>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:[93 to 102]</t>
    </r>
  </si>
  <si>
    <r>
      <t>其他扣款額</t>
    </r>
    <r>
      <rPr>
        <sz val="11"/>
        <color theme="1"/>
        <rFont val="Times New Roman"/>
        <family val="1"/>
      </rPr>
      <t>:[102 to 111]</t>
    </r>
  </si>
  <si>
    <r>
      <t>實付金額</t>
    </r>
    <r>
      <rPr>
        <sz val="11"/>
        <color theme="1"/>
        <rFont val="Times New Roman"/>
        <family val="1"/>
      </rPr>
      <t>:[111 to 120]</t>
    </r>
  </si>
  <si>
    <r>
      <t>首字為</t>
    </r>
    <r>
      <rPr>
        <sz val="11"/>
        <color theme="1"/>
        <rFont val="Times New Roman"/>
        <family val="1"/>
      </rPr>
      <t>1 (</t>
    </r>
    <r>
      <rPr>
        <sz val="11"/>
        <color theme="1"/>
        <rFont val="新細明體"/>
        <family val="1"/>
        <charset val="136"/>
      </rPr>
      <t>表頭</t>
    </r>
    <r>
      <rPr>
        <sz val="11"/>
        <color theme="1"/>
        <rFont val="Times New Roman"/>
        <family val="1"/>
      </rPr>
      <t>)</t>
    </r>
    <phoneticPr fontId="3" type="noConversion"/>
  </si>
  <si>
    <t>表頭</t>
  </si>
  <si>
    <r>
      <t>廠商代碼</t>
    </r>
    <r>
      <rPr>
        <sz val="11"/>
        <color theme="1"/>
        <rFont val="Times New Roman"/>
        <family val="1"/>
      </rPr>
      <t>: [11 t0 15]</t>
    </r>
    <phoneticPr fontId="3" type="noConversion"/>
  </si>
  <si>
    <t>廠商代碼</t>
  </si>
  <si>
    <r>
      <t>入帳日期</t>
    </r>
    <r>
      <rPr>
        <sz val="11"/>
        <color theme="1"/>
        <rFont val="Times New Roman"/>
        <family val="1"/>
      </rPr>
      <t xml:space="preserve">: </t>
    </r>
    <r>
      <rPr>
        <sz val="11"/>
        <color theme="1"/>
        <rFont val="新細明體"/>
        <family val="1"/>
        <charset val="136"/>
      </rPr>
      <t>入帳日起</t>
    </r>
    <r>
      <rPr>
        <sz val="11"/>
        <color theme="1"/>
        <rFont val="Times New Roman"/>
        <family val="1"/>
      </rPr>
      <t xml:space="preserve">[16 to 22] </t>
    </r>
    <r>
      <rPr>
        <sz val="11"/>
        <color theme="1"/>
        <rFont val="新細明體"/>
        <family val="1"/>
        <charset val="136"/>
      </rPr>
      <t>入帳日迄</t>
    </r>
    <r>
      <rPr>
        <sz val="11"/>
        <color theme="1"/>
        <rFont val="Times New Roman"/>
        <family val="1"/>
      </rPr>
      <t>[22 to 28]</t>
    </r>
    <phoneticPr fontId="3" type="noConversion"/>
  </si>
  <si>
    <t>入帳日起</t>
  </si>
  <si>
    <t>入帳日迄</t>
  </si>
  <si>
    <r>
      <t>首字為</t>
    </r>
    <r>
      <rPr>
        <sz val="11"/>
        <color theme="1"/>
        <rFont val="Times New Roman"/>
        <family val="1"/>
      </rPr>
      <t>2 (</t>
    </r>
    <r>
      <rPr>
        <sz val="11"/>
        <color theme="1"/>
        <rFont val="新細明體"/>
        <family val="1"/>
        <charset val="136"/>
      </rPr>
      <t>表身</t>
    </r>
    <r>
      <rPr>
        <sz val="11"/>
        <color theme="1"/>
        <rFont val="Times New Roman"/>
        <family val="1"/>
      </rPr>
      <t>)</t>
    </r>
    <phoneticPr fontId="3" type="noConversion"/>
  </si>
  <si>
    <t>表身</t>
  </si>
  <si>
    <r>
      <t>憑單編號</t>
    </r>
    <r>
      <rPr>
        <sz val="11"/>
        <color theme="1"/>
        <rFont val="Times New Roman"/>
        <family val="1"/>
      </rPr>
      <t>:[2 to 9]</t>
    </r>
    <phoneticPr fontId="3" type="noConversion"/>
  </si>
  <si>
    <t>憑單編號</t>
  </si>
  <si>
    <r>
      <t>序號</t>
    </r>
    <r>
      <rPr>
        <sz val="11"/>
        <color theme="1"/>
        <rFont val="Times New Roman"/>
        <family val="1"/>
      </rPr>
      <t>:    [9 to 11]</t>
    </r>
    <phoneticPr fontId="3" type="noConversion"/>
  </si>
  <si>
    <t>序號</t>
  </si>
  <si>
    <r>
      <t>單別</t>
    </r>
    <r>
      <rPr>
        <sz val="11"/>
        <color theme="1"/>
        <rFont val="Times New Roman"/>
        <family val="1"/>
      </rPr>
      <t>:    [11 to 13]</t>
    </r>
    <phoneticPr fontId="3" type="noConversion"/>
  </si>
  <si>
    <t>單別</t>
  </si>
  <si>
    <t>I1</t>
    <phoneticPr fontId="3" type="noConversion"/>
  </si>
  <si>
    <r>
      <t>合約號</t>
    </r>
    <r>
      <rPr>
        <sz val="11"/>
        <color theme="1"/>
        <rFont val="Times New Roman"/>
        <family val="1"/>
      </rPr>
      <t>:  [13 to 20]</t>
    </r>
    <phoneticPr fontId="3" type="noConversion"/>
  </si>
  <si>
    <t>合約號</t>
  </si>
  <si>
    <r>
      <t>交貨指示</t>
    </r>
    <r>
      <rPr>
        <sz val="11"/>
        <color theme="1"/>
        <rFont val="Times New Roman"/>
        <family val="1"/>
      </rPr>
      <t>:[20 to 30]</t>
    </r>
    <phoneticPr fontId="3" type="noConversion"/>
  </si>
  <si>
    <r>
      <t>類別</t>
    </r>
    <r>
      <rPr>
        <sz val="11"/>
        <color theme="1"/>
        <rFont val="Times New Roman"/>
        <family val="1"/>
      </rPr>
      <t>:    [30 t0 32]</t>
    </r>
    <phoneticPr fontId="3" type="noConversion"/>
  </si>
  <si>
    <t>類別</t>
  </si>
  <si>
    <r>
      <t>料號</t>
    </r>
    <r>
      <rPr>
        <sz val="11"/>
        <color theme="1"/>
        <rFont val="Times New Roman"/>
        <family val="1"/>
      </rPr>
      <t>:    [32 to 42]</t>
    </r>
    <phoneticPr fontId="3" type="noConversion"/>
  </si>
  <si>
    <r>
      <t>交貨量</t>
    </r>
    <r>
      <rPr>
        <sz val="11"/>
        <color theme="1"/>
        <rFont val="Times New Roman"/>
        <family val="1"/>
      </rPr>
      <t>:  [43 to 52]</t>
    </r>
    <phoneticPr fontId="3" type="noConversion"/>
  </si>
  <si>
    <t>交貨量</t>
  </si>
  <si>
    <r>
      <t>單位</t>
    </r>
    <r>
      <rPr>
        <sz val="11"/>
        <color theme="1"/>
        <rFont val="Times New Roman"/>
        <family val="1"/>
      </rPr>
      <t>:    [61 to 63]</t>
    </r>
    <phoneticPr fontId="3" type="noConversion"/>
  </si>
  <si>
    <t>單位</t>
  </si>
  <si>
    <r>
      <t>首字為</t>
    </r>
    <r>
      <rPr>
        <sz val="11"/>
        <color theme="1"/>
        <rFont val="Times New Roman"/>
        <family val="1"/>
      </rPr>
      <t>3 (</t>
    </r>
    <r>
      <rPr>
        <sz val="11"/>
        <color theme="1"/>
        <rFont val="新細明體"/>
        <family val="1"/>
        <charset val="136"/>
      </rPr>
      <t>表尾，總計</t>
    </r>
    <r>
      <rPr>
        <sz val="11"/>
        <color theme="1"/>
        <rFont val="Times New Roman"/>
        <family val="1"/>
      </rPr>
      <t>)</t>
    </r>
    <phoneticPr fontId="3" type="noConversion"/>
  </si>
  <si>
    <t>表尾</t>
  </si>
  <si>
    <r>
      <t>應付外包件金額</t>
    </r>
    <r>
      <rPr>
        <sz val="11"/>
        <color theme="1"/>
        <rFont val="Times New Roman"/>
        <family val="1"/>
      </rPr>
      <t>:[2 to 10]</t>
    </r>
    <phoneticPr fontId="3" type="noConversion"/>
  </si>
  <si>
    <t>應付外包件金額</t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</si>
  <si>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:[10 to 20]</t>
    </r>
    <phoneticPr fontId="3" type="noConversion"/>
  </si>
  <si>
    <t>00扣款</t>
  </si>
  <si>
    <r>
      <t>其他扣款額</t>
    </r>
    <r>
      <rPr>
        <sz val="11"/>
        <color theme="1"/>
        <rFont val="Times New Roman"/>
        <family val="1"/>
      </rPr>
      <t>:[20 to 29]</t>
    </r>
    <phoneticPr fontId="3" type="noConversion"/>
  </si>
  <si>
    <t>其他扣款額</t>
  </si>
  <si>
    <r>
      <t>實付金額</t>
    </r>
    <r>
      <rPr>
        <sz val="11"/>
        <color theme="1"/>
        <rFont val="Times New Roman"/>
        <family val="1"/>
      </rPr>
      <t>:[29 to 38]</t>
    </r>
    <phoneticPr fontId="3" type="noConversion"/>
  </si>
  <si>
    <t>實付金額</t>
  </si>
  <si>
    <r>
      <t>開票期間</t>
    </r>
    <r>
      <rPr>
        <sz val="11"/>
        <color theme="1"/>
        <rFont val="Times New Roman"/>
        <family val="1"/>
      </rPr>
      <t>:[121 to 122]</t>
    </r>
    <phoneticPr fontId="3" type="noConversion"/>
  </si>
  <si>
    <t>開票期間</t>
  </si>
  <si>
    <r>
      <t>紀錄代號</t>
    </r>
    <r>
      <rPr>
        <sz val="11"/>
        <color theme="1"/>
        <rFont val="Times New Roman"/>
        <family val="1"/>
      </rPr>
      <t>:[122 to 123]</t>
    </r>
    <phoneticPr fontId="3" type="noConversion"/>
  </si>
  <si>
    <t>紀錄代號</t>
  </si>
  <si>
    <t>交貨指示編號</t>
    <phoneticPr fontId="3" type="noConversion"/>
  </si>
  <si>
    <t>3</t>
    <phoneticPr fontId="3" type="noConversion"/>
  </si>
  <si>
    <r>
      <t>付款單價</t>
    </r>
    <r>
      <rPr>
        <sz val="11"/>
        <color theme="1"/>
        <rFont val="Times New Roman"/>
        <family val="1"/>
      </rPr>
      <t>:[64 to 76](</t>
    </r>
    <r>
      <rPr>
        <sz val="11"/>
        <color theme="1"/>
        <rFont val="新細明體"/>
        <family val="1"/>
        <charset val="136"/>
      </rPr>
      <t>後三碼為小數點以下</t>
    </r>
    <r>
      <rPr>
        <sz val="11"/>
        <color theme="1"/>
        <rFont val="Times New Roman"/>
        <family val="1"/>
      </rPr>
      <t>)</t>
    </r>
    <phoneticPr fontId="3" type="noConversion"/>
  </si>
  <si>
    <t>H3</t>
    <phoneticPr fontId="3" type="noConversion"/>
  </si>
  <si>
    <t>9</t>
    <phoneticPr fontId="3" type="noConversion"/>
  </si>
  <si>
    <t>實收及格數量</t>
    <phoneticPr fontId="3" type="noConversion"/>
  </si>
  <si>
    <r>
      <t>檢驗品質</t>
    </r>
    <r>
      <rPr>
        <sz val="11"/>
        <color theme="1"/>
        <rFont val="Times New Roman"/>
        <family val="1"/>
      </rPr>
      <t>:[42 to 43]</t>
    </r>
    <phoneticPr fontId="3" type="noConversion"/>
  </si>
  <si>
    <t>檢驗品質</t>
  </si>
  <si>
    <t>付款單價</t>
  </si>
  <si>
    <r>
      <t>交貨日期</t>
    </r>
    <r>
      <rPr>
        <sz val="11"/>
        <color theme="1"/>
        <rFont val="Times New Roman"/>
        <family val="1"/>
      </rPr>
      <t>:[85 to 93]</t>
    </r>
    <phoneticPr fontId="3" type="noConversion"/>
  </si>
  <si>
    <t>交貨日期</t>
  </si>
  <si>
    <t>Y</t>
    <phoneticPr fontId="3" type="noConversion"/>
  </si>
  <si>
    <t>A</t>
    <phoneticPr fontId="3" type="noConversion"/>
  </si>
  <si>
    <t>C</t>
    <phoneticPr fontId="3" type="noConversion"/>
  </si>
  <si>
    <t>欄位</t>
    <phoneticPr fontId="3" type="noConversion"/>
  </si>
  <si>
    <t>起位</t>
    <phoneticPr fontId="3" type="noConversion"/>
  </si>
  <si>
    <t>迄位</t>
    <phoneticPr fontId="3" type="noConversion"/>
  </si>
  <si>
    <t>字數</t>
    <phoneticPr fontId="3" type="noConversion"/>
  </si>
  <si>
    <t>預設值</t>
    <phoneticPr fontId="3" type="noConversion"/>
  </si>
  <si>
    <t>日產原料號</t>
    <phoneticPr fontId="3" type="noConversion"/>
  </si>
  <si>
    <t>檔案路徑：</t>
    <phoneticPr fontId="3" type="noConversion"/>
  </si>
  <si>
    <t>檔案名稱：</t>
    <phoneticPr fontId="3" type="noConversion"/>
  </si>
  <si>
    <t>tag</t>
    <phoneticPr fontId="3" type="noConversion"/>
  </si>
  <si>
    <t>CuNo</t>
    <phoneticPr fontId="3" type="noConversion"/>
  </si>
  <si>
    <t>AccBd</t>
    <phoneticPr fontId="3" type="noConversion"/>
  </si>
  <si>
    <t>AccEd</t>
    <phoneticPr fontId="3" type="noConversion"/>
  </si>
  <si>
    <t>ListNo</t>
    <phoneticPr fontId="3" type="noConversion"/>
  </si>
  <si>
    <t>ListSeq</t>
    <phoneticPr fontId="3" type="noConversion"/>
  </si>
  <si>
    <t>ListType</t>
    <phoneticPr fontId="3" type="noConversion"/>
  </si>
  <si>
    <t>Contract</t>
    <phoneticPr fontId="3" type="noConversion"/>
  </si>
  <si>
    <t>ShipNote</t>
    <phoneticPr fontId="3" type="noConversion"/>
  </si>
  <si>
    <t>Class</t>
    <phoneticPr fontId="3" type="noConversion"/>
  </si>
  <si>
    <t>c</t>
    <phoneticPr fontId="3" type="noConversion"/>
  </si>
  <si>
    <t>Quality</t>
    <phoneticPr fontId="3" type="noConversion"/>
  </si>
  <si>
    <t>Qty</t>
    <phoneticPr fontId="3" type="noConversion"/>
  </si>
  <si>
    <t>QtyOK</t>
    <phoneticPr fontId="3" type="noConversion"/>
  </si>
  <si>
    <t>Unit</t>
    <phoneticPr fontId="3" type="noConversion"/>
  </si>
  <si>
    <t>Price</t>
    <phoneticPr fontId="3" type="noConversion"/>
  </si>
  <si>
    <t>DevD</t>
    <phoneticPr fontId="3" type="noConversion"/>
  </si>
  <si>
    <t>Amt00</t>
    <phoneticPr fontId="3" type="noConversion"/>
  </si>
  <si>
    <t>Amt01</t>
    <phoneticPr fontId="3" type="noConversion"/>
  </si>
  <si>
    <t>cc</t>
    <phoneticPr fontId="3" type="noConversion"/>
  </si>
  <si>
    <t>Check</t>
    <phoneticPr fontId="3" type="noConversion"/>
  </si>
  <si>
    <t>Rec</t>
    <phoneticPr fontId="3" type="noConversion"/>
  </si>
  <si>
    <t>Amt11</t>
    <phoneticPr fontId="3" type="noConversion"/>
  </si>
  <si>
    <t>Amt12</t>
    <phoneticPr fontId="3" type="noConversion"/>
  </si>
  <si>
    <t>KouKan01</t>
    <phoneticPr fontId="3" type="noConversion"/>
  </si>
  <si>
    <t>KouKan02</t>
    <phoneticPr fontId="3" type="noConversion"/>
  </si>
  <si>
    <t>KouKan11</t>
    <phoneticPr fontId="3" type="noConversion"/>
  </si>
  <si>
    <t>KouKan12</t>
    <phoneticPr fontId="3" type="noConversion"/>
  </si>
  <si>
    <t>OrgElNo</t>
    <phoneticPr fontId="3" type="noConversion"/>
  </si>
  <si>
    <t>Cols</t>
    <phoneticPr fontId="3" type="noConversion"/>
  </si>
  <si>
    <t>Ary</t>
    <phoneticPr fontId="3" type="noConversion"/>
  </si>
  <si>
    <t>D:\GitHub\YuLong_SCM</t>
    <phoneticPr fontId="3" type="noConversion"/>
  </si>
  <si>
    <t>C524B</t>
  </si>
  <si>
    <t>I1</t>
  </si>
  <si>
    <t>H3</t>
  </si>
  <si>
    <t>24012KN100</t>
  </si>
  <si>
    <t xml:space="preserve">PC </t>
  </si>
  <si>
    <t>Y</t>
  </si>
  <si>
    <t>A</t>
  </si>
  <si>
    <t>24012KN109</t>
  </si>
  <si>
    <t>CL02564</t>
  </si>
  <si>
    <t>24012KN103</t>
  </si>
  <si>
    <t>24012KN102</t>
  </si>
  <si>
    <t>24012KN105</t>
  </si>
  <si>
    <t>24012KN108</t>
  </si>
  <si>
    <t>DL01965</t>
  </si>
  <si>
    <t>24080SN100</t>
  </si>
  <si>
    <t>24080SN102</t>
  </si>
  <si>
    <t>2590AKN300</t>
  </si>
  <si>
    <t>2590AMA200</t>
  </si>
  <si>
    <t>AL02884</t>
  </si>
  <si>
    <t>28216MA105</t>
  </si>
  <si>
    <t>28216MA113</t>
  </si>
  <si>
    <t>28216SA123</t>
  </si>
  <si>
    <t>28216SA124</t>
  </si>
  <si>
    <t>28360SN100</t>
  </si>
  <si>
    <t xml:space="preserve">          </t>
  </si>
  <si>
    <t xml:space="preserve">   </t>
  </si>
  <si>
    <t xml:space="preserve">  </t>
  </si>
  <si>
    <t xml:space="preserve"> </t>
  </si>
  <si>
    <t>序號</t>
    <phoneticPr fontId="3" type="noConversion"/>
  </si>
  <si>
    <t>客戶代號</t>
    <phoneticPr fontId="3" type="noConversion"/>
  </si>
  <si>
    <t>S訂單</t>
    <phoneticPr fontId="3" type="noConversion"/>
  </si>
  <si>
    <t>批號</t>
    <phoneticPr fontId="3" type="noConversion"/>
  </si>
  <si>
    <t>數量</t>
    <phoneticPr fontId="3" type="noConversion"/>
  </si>
  <si>
    <t>單價</t>
    <phoneticPr fontId="3" type="noConversion"/>
  </si>
  <si>
    <t>料號</t>
    <phoneticPr fontId="3" type="noConversion"/>
  </si>
  <si>
    <t>版本</t>
    <phoneticPr fontId="3" type="noConversion"/>
  </si>
  <si>
    <t>處理代號</t>
    <phoneticPr fontId="3" type="noConversion"/>
  </si>
  <si>
    <t>客戶料號</t>
    <phoneticPr fontId="3" type="noConversion"/>
  </si>
  <si>
    <t>原客戶PO</t>
    <phoneticPr fontId="3" type="noConversion"/>
  </si>
  <si>
    <t>1</t>
  </si>
  <si>
    <t>2</t>
  </si>
  <si>
    <t>對帳單文字檔_區間20141101-20141130_201412.txt</t>
    <phoneticPr fontId="3" type="noConversion"/>
  </si>
  <si>
    <t>CL02319</t>
  </si>
  <si>
    <t>CL02976</t>
  </si>
  <si>
    <t>AL03132</t>
  </si>
  <si>
    <t>28216KN316</t>
  </si>
  <si>
    <t>CL02786</t>
  </si>
  <si>
    <t>對帳單文字檔_區間20150101-20150131_201502.txt</t>
    <phoneticPr fontId="3" type="noConversion"/>
  </si>
  <si>
    <t>BD03802201</t>
  </si>
  <si>
    <t>BD03749901</t>
  </si>
  <si>
    <t>BD03750001</t>
  </si>
  <si>
    <t>28216SA206</t>
  </si>
  <si>
    <t>BE00097901</t>
  </si>
  <si>
    <t>CL02885</t>
  </si>
  <si>
    <t>BE00098001</t>
  </si>
  <si>
    <t>2590ASN300</t>
  </si>
  <si>
    <t>BE00098101</t>
  </si>
  <si>
    <t>24012SN262</t>
  </si>
  <si>
    <t>24012SN264</t>
  </si>
  <si>
    <t>24012SN266</t>
  </si>
  <si>
    <t>28216MA123</t>
  </si>
  <si>
    <t>NULL</t>
  </si>
  <si>
    <t>A554E</t>
  </si>
  <si>
    <t>PWHAZ2S8900A111BA554</t>
  </si>
  <si>
    <t>58</t>
  </si>
  <si>
    <t>00</t>
  </si>
  <si>
    <t>24012-KN100</t>
  </si>
  <si>
    <t>PWHAZ2S8900A113BA554</t>
  </si>
  <si>
    <t>24012-KN102</t>
  </si>
  <si>
    <t>PWHAZ2S8900A114BA554</t>
  </si>
  <si>
    <t>24012-KN103</t>
  </si>
  <si>
    <t>PWHAZ2BC900A111BA554</t>
  </si>
  <si>
    <t>24012-KN105</t>
  </si>
  <si>
    <t>PWHAA2S5900A00PBA554</t>
  </si>
  <si>
    <t>24012-KN108</t>
  </si>
  <si>
    <t>PWHAA2S5900A00QBA554</t>
  </si>
  <si>
    <t>24012-KN109</t>
  </si>
  <si>
    <t>12</t>
  </si>
  <si>
    <t>PWHAZ2SA900A00FBA554</t>
  </si>
  <si>
    <t>24012-SN262</t>
  </si>
  <si>
    <t>PWHAZ2SA900A00HBA554</t>
  </si>
  <si>
    <t>24012-SN264</t>
  </si>
  <si>
    <t>PWHAZ2SA900A00JBA554</t>
  </si>
  <si>
    <t>24012-SN266</t>
  </si>
  <si>
    <t>PWHA3282800Z102BA554</t>
  </si>
  <si>
    <t>A1</t>
  </si>
  <si>
    <t>24080-SN100</t>
  </si>
  <si>
    <t>PWHA33X2P00A101BA554</t>
  </si>
  <si>
    <t>24080-SN102</t>
  </si>
  <si>
    <t>A554EE16</t>
  </si>
  <si>
    <t>PVAAN000000ZG08BA554</t>
  </si>
  <si>
    <t>B4</t>
  </si>
  <si>
    <t>2590A-KN300</t>
  </si>
  <si>
    <t>PVAAN000000ZG07BA554</t>
  </si>
  <si>
    <t>B2</t>
  </si>
  <si>
    <t>2590A-SN300</t>
  </si>
  <si>
    <t>PWHA22G1N00A101BA554</t>
  </si>
  <si>
    <t>A3</t>
  </si>
  <si>
    <t>28360-SN100</t>
  </si>
  <si>
    <t>06</t>
  </si>
  <si>
    <t>細項金額</t>
    <phoneticPr fontId="3" type="noConversion"/>
  </si>
  <si>
    <t>040101</t>
  </si>
  <si>
    <t>040131</t>
  </si>
  <si>
    <t>H500051</t>
  </si>
  <si>
    <t>24010KN103</t>
  </si>
  <si>
    <t>CL02477</t>
  </si>
  <si>
    <t>H502064</t>
  </si>
  <si>
    <t>H500668</t>
  </si>
  <si>
    <t>AL03351</t>
  </si>
  <si>
    <t>24010KN10C</t>
  </si>
  <si>
    <t>H500669</t>
  </si>
  <si>
    <t>24010KN10D</t>
  </si>
  <si>
    <t>H500670</t>
  </si>
  <si>
    <t>H500671</t>
  </si>
  <si>
    <t>H500672</t>
  </si>
  <si>
    <t>H500673</t>
  </si>
  <si>
    <t>24012SN261</t>
  </si>
  <si>
    <t>24012SN263</t>
  </si>
  <si>
    <t>H500674</t>
  </si>
  <si>
    <t>H500675</t>
  </si>
  <si>
    <t>CL02648</t>
  </si>
  <si>
    <t>AL03378</t>
  </si>
  <si>
    <t>2590AMA230</t>
  </si>
  <si>
    <t>2590ASA230</t>
  </si>
  <si>
    <t>BL02884</t>
  </si>
  <si>
    <t>28216MA313</t>
  </si>
  <si>
    <t>CL02594</t>
  </si>
  <si>
    <t>BL03131</t>
  </si>
  <si>
    <t>28216SN304</t>
  </si>
  <si>
    <t>28216SN306</t>
  </si>
  <si>
    <t>H500676</t>
  </si>
  <si>
    <t>H500678</t>
  </si>
  <si>
    <t>E001285</t>
  </si>
  <si>
    <t>E001286</t>
  </si>
  <si>
    <t>24010KN104</t>
  </si>
  <si>
    <t>H502409</t>
  </si>
  <si>
    <t>H502410</t>
  </si>
  <si>
    <t>24012KN572</t>
  </si>
  <si>
    <t>24012KN573</t>
  </si>
  <si>
    <t>H502411</t>
  </si>
  <si>
    <t>24080SN105</t>
  </si>
  <si>
    <t>H502412</t>
  </si>
  <si>
    <t>1075347501</t>
  </si>
  <si>
    <t>1074230001</t>
  </si>
  <si>
    <t>1073013601</t>
  </si>
  <si>
    <t>1072877401</t>
  </si>
  <si>
    <t>1063942701</t>
  </si>
  <si>
    <t>1064526201</t>
  </si>
  <si>
    <t>1064400101</t>
  </si>
  <si>
    <t>1065094901</t>
  </si>
  <si>
    <t>3030357601</t>
  </si>
  <si>
    <t>1075718101</t>
  </si>
  <si>
    <t>1076439001</t>
  </si>
  <si>
    <t>1076212901</t>
  </si>
  <si>
    <t>1076978001</t>
  </si>
  <si>
    <t>1066201801</t>
  </si>
  <si>
    <t>1066738401</t>
  </si>
  <si>
    <t>1066611701</t>
  </si>
  <si>
    <t>1067373201</t>
  </si>
  <si>
    <t>1067066501</t>
  </si>
  <si>
    <t>1061360801</t>
  </si>
  <si>
    <t>A554</t>
  </si>
  <si>
    <t>S14F1943</t>
  </si>
  <si>
    <t>L05821</t>
  </si>
  <si>
    <t>PWHAA2B5900A00QBA554</t>
  </si>
  <si>
    <t>57</t>
  </si>
  <si>
    <t>20</t>
  </si>
  <si>
    <t>24010-KN10C</t>
  </si>
  <si>
    <t>1064789701</t>
  </si>
  <si>
    <t>1067063201</t>
  </si>
  <si>
    <t>1064076401</t>
  </si>
  <si>
    <t>1068685101</t>
  </si>
  <si>
    <t>1068856501</t>
  </si>
  <si>
    <t>1068205901</t>
  </si>
  <si>
    <t>1067725501</t>
  </si>
  <si>
    <t>1065511301</t>
  </si>
  <si>
    <t>1065382901</t>
  </si>
  <si>
    <t>1065928401</t>
  </si>
  <si>
    <t>1065795101</t>
  </si>
  <si>
    <t>1066320001</t>
  </si>
  <si>
    <t>1076802801</t>
  </si>
  <si>
    <t>1077628901</t>
  </si>
  <si>
    <t>1077489001</t>
  </si>
  <si>
    <t>1078145001</t>
  </si>
  <si>
    <t>1077845801</t>
  </si>
  <si>
    <t>1072369901</t>
  </si>
  <si>
    <t>1072498701</t>
  </si>
  <si>
    <t>1075173601</t>
  </si>
  <si>
    <t>1073891101</t>
  </si>
  <si>
    <t>1074489901</t>
  </si>
  <si>
    <t>1072017201</t>
  </si>
  <si>
    <t>1072372301</t>
  </si>
  <si>
    <t>1077971301</t>
  </si>
  <si>
    <t>1077486401</t>
  </si>
  <si>
    <t>1076803201</t>
  </si>
  <si>
    <t>1076214601</t>
  </si>
  <si>
    <t>1068859001</t>
  </si>
  <si>
    <t>1069405201</t>
  </si>
  <si>
    <t>1070038601</t>
  </si>
  <si>
    <t>1070438501</t>
  </si>
  <si>
    <t>1070836901</t>
  </si>
  <si>
    <t>1071622001</t>
  </si>
  <si>
    <t>1071143801</t>
  </si>
  <si>
    <t>1070684701</t>
  </si>
  <si>
    <t>1070186801</t>
  </si>
  <si>
    <t>1069652401</t>
  </si>
  <si>
    <t>1069154101</t>
  </si>
  <si>
    <t>1068208301</t>
  </si>
  <si>
    <t>1068419001</t>
  </si>
  <si>
    <t>1063943301</t>
  </si>
  <si>
    <t>1064526301</t>
  </si>
  <si>
    <t>1065097301</t>
  </si>
  <si>
    <t>1065385001</t>
  </si>
  <si>
    <t>1064074601</t>
  </si>
  <si>
    <t>1061892701</t>
  </si>
  <si>
    <t>1072507601</t>
  </si>
  <si>
    <t>1073500501</t>
  </si>
  <si>
    <t>1073221801</t>
  </si>
  <si>
    <t>1074018801</t>
  </si>
  <si>
    <t>1074810801</t>
  </si>
  <si>
    <t>1075350101</t>
  </si>
  <si>
    <t>1075886401</t>
  </si>
  <si>
    <t>1076435901</t>
  </si>
  <si>
    <t>1076974601</t>
  </si>
  <si>
    <t>1077647001</t>
  </si>
  <si>
    <t>1078146001</t>
  </si>
  <si>
    <t>1074489801</t>
  </si>
  <si>
    <t>1071814201</t>
  </si>
  <si>
    <t>S15A0090</t>
  </si>
  <si>
    <t>L78073</t>
  </si>
  <si>
    <t>1077403601</t>
  </si>
  <si>
    <t>S15A1663</t>
  </si>
  <si>
    <t>L85680</t>
  </si>
  <si>
    <t>1075076001</t>
  </si>
  <si>
    <t>S15A1656</t>
  </si>
  <si>
    <t>L85673</t>
  </si>
  <si>
    <t>1072759201</t>
  </si>
  <si>
    <t>S15A1651</t>
  </si>
  <si>
    <t>L85668</t>
  </si>
  <si>
    <t>1076698601</t>
  </si>
  <si>
    <t>S15A1661</t>
  </si>
  <si>
    <t>L85678</t>
  </si>
  <si>
    <t>1075616501</t>
  </si>
  <si>
    <t>S15A1657</t>
  </si>
  <si>
    <t>L85674</t>
  </si>
  <si>
    <t>1072265901</t>
  </si>
  <si>
    <t>S15A1650</t>
  </si>
  <si>
    <t>L85667</t>
  </si>
  <si>
    <t>1071814101</t>
  </si>
  <si>
    <t>S15A0089</t>
  </si>
  <si>
    <t>L78072</t>
  </si>
  <si>
    <t>1075616801</t>
  </si>
  <si>
    <t>S15A1658</t>
  </si>
  <si>
    <t>L85675</t>
  </si>
  <si>
    <t>1073792401</t>
  </si>
  <si>
    <t>S15A1653</t>
  </si>
  <si>
    <t>L85670</t>
  </si>
  <si>
    <t>1072265401</t>
  </si>
  <si>
    <t>S15A1649</t>
  </si>
  <si>
    <t>L85666</t>
  </si>
  <si>
    <t>1072760101</t>
  </si>
  <si>
    <t>S15A1652</t>
  </si>
  <si>
    <t>L85669</t>
  </si>
  <si>
    <t>1076698501</t>
  </si>
  <si>
    <t>S15A1660</t>
  </si>
  <si>
    <t>L85677</t>
  </si>
  <si>
    <t>1077403401</t>
  </si>
  <si>
    <t>S15A1662</t>
  </si>
  <si>
    <t>L85679</t>
  </si>
  <si>
    <t>1071046601</t>
  </si>
  <si>
    <t>S15A0083</t>
  </si>
  <si>
    <t>L78066</t>
  </si>
  <si>
    <t>1076138401</t>
  </si>
  <si>
    <t>S15A1659</t>
  </si>
  <si>
    <t>L85676</t>
  </si>
  <si>
    <t>1074548001</t>
  </si>
  <si>
    <t>S15A1654</t>
  </si>
  <si>
    <t>L85671</t>
  </si>
  <si>
    <t>1075075501</t>
  </si>
  <si>
    <t>S15A1655</t>
  </si>
  <si>
    <t>L85672</t>
  </si>
  <si>
    <t>1073270401</t>
  </si>
  <si>
    <t>S15A1722</t>
  </si>
  <si>
    <t>L86322</t>
  </si>
  <si>
    <t>1075075601</t>
  </si>
  <si>
    <t>S15A1723</t>
  </si>
  <si>
    <t>L86323</t>
  </si>
  <si>
    <t>1072265801</t>
  </si>
  <si>
    <t>S15A1724</t>
  </si>
  <si>
    <t>L86324</t>
  </si>
  <si>
    <t>1072759501</t>
  </si>
  <si>
    <t>S15A1725</t>
  </si>
  <si>
    <t>L86325</t>
  </si>
  <si>
    <t>1073270601</t>
  </si>
  <si>
    <t>S15A1726</t>
  </si>
  <si>
    <t>L86326</t>
  </si>
  <si>
    <t>1075616601</t>
  </si>
  <si>
    <t>S15A1727</t>
  </si>
  <si>
    <t>L86327</t>
  </si>
  <si>
    <t>1071046101</t>
  </si>
  <si>
    <t>S15A0078</t>
  </si>
  <si>
    <t>L78061</t>
  </si>
  <si>
    <t>1076698701</t>
  </si>
  <si>
    <t>S15A1735</t>
  </si>
  <si>
    <t>L86335</t>
  </si>
  <si>
    <t>1072759601</t>
  </si>
  <si>
    <t>S15A1729</t>
  </si>
  <si>
    <t>L86329</t>
  </si>
  <si>
    <t>1076138201</t>
  </si>
  <si>
    <t>S15A1734</t>
  </si>
  <si>
    <t>L86334</t>
  </si>
  <si>
    <t>1075076101</t>
  </si>
  <si>
    <t>S15A1732</t>
  </si>
  <si>
    <t>L86332</t>
  </si>
  <si>
    <t>1073270501</t>
  </si>
  <si>
    <t>S15A1730</t>
  </si>
  <si>
    <t>L86330</t>
  </si>
  <si>
    <t>1072265301</t>
  </si>
  <si>
    <t>S15A1728</t>
  </si>
  <si>
    <t>L86328</t>
  </si>
  <si>
    <t>1073792201</t>
  </si>
  <si>
    <t>S15A1731</t>
  </si>
  <si>
    <t>L86331</t>
  </si>
  <si>
    <t>1075616701</t>
  </si>
  <si>
    <t>S15A1733</t>
  </si>
  <si>
    <t>L86333</t>
  </si>
  <si>
    <t>1071813501</t>
  </si>
  <si>
    <t>S15A0085</t>
  </si>
  <si>
    <t>L78068</t>
  </si>
  <si>
    <t>PWHAZ2SA900A00EBA554</t>
  </si>
  <si>
    <t>24012-SN261</t>
  </si>
  <si>
    <t>1075616901</t>
  </si>
  <si>
    <t>S15A1751</t>
  </si>
  <si>
    <t>L86352</t>
  </si>
  <si>
    <t>1073271001</t>
  </si>
  <si>
    <t>S15A1743</t>
  </si>
  <si>
    <t>L86344</t>
  </si>
  <si>
    <t>1072265501</t>
  </si>
  <si>
    <t>S15A1739</t>
  </si>
  <si>
    <t>L86339</t>
  </si>
  <si>
    <t>1071046401</t>
  </si>
  <si>
    <t>S15A0081</t>
  </si>
  <si>
    <t>L78064</t>
  </si>
  <si>
    <t>1075617101</t>
  </si>
  <si>
    <t>S14I1888</t>
  </si>
  <si>
    <t>L38595</t>
  </si>
  <si>
    <t>14</t>
  </si>
  <si>
    <t>S15A1752</t>
  </si>
  <si>
    <t>L86353</t>
  </si>
  <si>
    <t>17</t>
  </si>
  <si>
    <t>1072760001</t>
  </si>
  <si>
    <t>S15A1741</t>
  </si>
  <si>
    <t>L86342</t>
  </si>
  <si>
    <t>1075075701</t>
  </si>
  <si>
    <t>S15A1749</t>
  </si>
  <si>
    <t>L86350</t>
  </si>
  <si>
    <t>1071813701</t>
  </si>
  <si>
    <t>S15A0086</t>
  </si>
  <si>
    <t>L78069</t>
  </si>
  <si>
    <t>1074547901</t>
  </si>
  <si>
    <t>S15A1748</t>
  </si>
  <si>
    <t>L86349</t>
  </si>
  <si>
    <t>1072759901</t>
  </si>
  <si>
    <t>S15A1740</t>
  </si>
  <si>
    <t>L86340</t>
  </si>
  <si>
    <t>PWHAZ2SA900A00GBA554</t>
  </si>
  <si>
    <t>24012-SN263</t>
  </si>
  <si>
    <t>L86341</t>
  </si>
  <si>
    <t>S15A1737</t>
  </si>
  <si>
    <t>L86337</t>
  </si>
  <si>
    <t>PWHAA2S5900A01BBA554</t>
  </si>
  <si>
    <t>67</t>
  </si>
  <si>
    <t>24012-KN117</t>
  </si>
  <si>
    <t>1073792301</t>
  </si>
  <si>
    <t>S15A1744</t>
  </si>
  <si>
    <t>L86345</t>
  </si>
  <si>
    <t>1075075801</t>
  </si>
  <si>
    <t>S15A1750</t>
  </si>
  <si>
    <t>L86351</t>
  </si>
  <si>
    <t>1073270901</t>
  </si>
  <si>
    <t>S15A1742</t>
  </si>
  <si>
    <t>L86343</t>
  </si>
  <si>
    <t>1074547801</t>
  </si>
  <si>
    <t>S15A1747</t>
  </si>
  <si>
    <t>L86348</t>
  </si>
  <si>
    <t>1074547701</t>
  </si>
  <si>
    <t>S15A1746</t>
  </si>
  <si>
    <t>L86347</t>
  </si>
  <si>
    <t>1075617201</t>
  </si>
  <si>
    <t>S15A1753</t>
  </si>
  <si>
    <t>L86354</t>
  </si>
  <si>
    <t>L86355</t>
  </si>
  <si>
    <t>1071046301</t>
  </si>
  <si>
    <t>S15A0080</t>
  </si>
  <si>
    <t>L78063</t>
  </si>
  <si>
    <t>1074547601</t>
  </si>
  <si>
    <t>S15A1745</t>
  </si>
  <si>
    <t>L86346</t>
  </si>
  <si>
    <t>1071813801</t>
  </si>
  <si>
    <t>S15A0087</t>
  </si>
  <si>
    <t>L78070</t>
  </si>
  <si>
    <t>1071046201</t>
  </si>
  <si>
    <t>S15A0079</t>
  </si>
  <si>
    <t>L78062</t>
  </si>
  <si>
    <t>1075617401</t>
  </si>
  <si>
    <t>S15A1763</t>
  </si>
  <si>
    <t>L86365</t>
  </si>
  <si>
    <t>1074547501</t>
  </si>
  <si>
    <t>S15A1758</t>
  </si>
  <si>
    <t>L86360</t>
  </si>
  <si>
    <t>1072759401</t>
  </si>
  <si>
    <t>S15A1756</t>
  </si>
  <si>
    <t>L86358</t>
  </si>
  <si>
    <t>1071813901</t>
  </si>
  <si>
    <t>S15A0088</t>
  </si>
  <si>
    <t>L78071</t>
  </si>
  <si>
    <t>1072759301</t>
  </si>
  <si>
    <t>S15A1755</t>
  </si>
  <si>
    <t>L86357</t>
  </si>
  <si>
    <t>1075076201</t>
  </si>
  <si>
    <t>S15A1761</t>
  </si>
  <si>
    <t>L86363</t>
  </si>
  <si>
    <t>1077403701</t>
  </si>
  <si>
    <t>S15A1767</t>
  </si>
  <si>
    <t>L86369</t>
  </si>
  <si>
    <t>1074548101</t>
  </si>
  <si>
    <t>S15A1759</t>
  </si>
  <si>
    <t>L86361</t>
  </si>
  <si>
    <t>1076698801</t>
  </si>
  <si>
    <t>S15A1765</t>
  </si>
  <si>
    <t>L86367</t>
  </si>
  <si>
    <t>1071046501</t>
  </si>
  <si>
    <t>S15A0082</t>
  </si>
  <si>
    <t>L78065</t>
  </si>
  <si>
    <t>1073270701</t>
  </si>
  <si>
    <t>S15A1757</t>
  </si>
  <si>
    <t>L86359</t>
  </si>
  <si>
    <t>1075075901</t>
  </si>
  <si>
    <t>S15A1760</t>
  </si>
  <si>
    <t>L86362</t>
  </si>
  <si>
    <t>1072265601</t>
  </si>
  <si>
    <t>S15A1754</t>
  </si>
  <si>
    <t>L86356</t>
  </si>
  <si>
    <t>1077403501</t>
  </si>
  <si>
    <t>S15A1766</t>
  </si>
  <si>
    <t>L86368</t>
  </si>
  <si>
    <t>1076138301</t>
  </si>
  <si>
    <t>S15A1764</t>
  </si>
  <si>
    <t>L86366</t>
  </si>
  <si>
    <t>1075617301</t>
  </si>
  <si>
    <t>S15A1762</t>
  </si>
  <si>
    <t>L86364</t>
  </si>
  <si>
    <t>1071813601</t>
  </si>
  <si>
    <t>S15A0092</t>
  </si>
  <si>
    <t>L78075</t>
  </si>
  <si>
    <t>1075617501</t>
  </si>
  <si>
    <t>S15A1778</t>
  </si>
  <si>
    <t>L86380</t>
  </si>
  <si>
    <t>1072759101</t>
  </si>
  <si>
    <t>S15A1776</t>
  </si>
  <si>
    <t>L86378</t>
  </si>
  <si>
    <t>1072265701</t>
  </si>
  <si>
    <t>S15A1775</t>
  </si>
  <si>
    <t>L86377</t>
  </si>
  <si>
    <t>1075076301</t>
  </si>
  <si>
    <t>S15A1777</t>
  </si>
  <si>
    <t>L86379</t>
  </si>
  <si>
    <t>1076698901</t>
  </si>
  <si>
    <t>S15A1779</t>
  </si>
  <si>
    <t>L86381</t>
  </si>
  <si>
    <t>1077403801</t>
  </si>
  <si>
    <t>S15A1780</t>
  </si>
  <si>
    <t>L86382</t>
  </si>
  <si>
    <t>1073270801</t>
  </si>
  <si>
    <t>1075076401</t>
  </si>
  <si>
    <t>1073792001</t>
  </si>
  <si>
    <t>1000138801</t>
  </si>
  <si>
    <t>1000138901</t>
  </si>
  <si>
    <t>1071814001</t>
  </si>
  <si>
    <t>S15A0093</t>
  </si>
  <si>
    <t>L78076</t>
  </si>
  <si>
    <t>1075617701</t>
  </si>
  <si>
    <t>1073792101</t>
  </si>
  <si>
    <t>1072266001</t>
  </si>
  <si>
    <t>1075617901</t>
  </si>
  <si>
    <t>1075617801</t>
  </si>
  <si>
    <t>1076138501</t>
  </si>
  <si>
    <t>1067227301</t>
  </si>
  <si>
    <t>1034396501</t>
  </si>
  <si>
    <t>A554B</t>
  </si>
  <si>
    <t>S14E1093</t>
  </si>
  <si>
    <t>L40217</t>
  </si>
  <si>
    <t>PCASKU04Z0EZD03BA554</t>
  </si>
  <si>
    <t>02</t>
  </si>
  <si>
    <t>28216-MA313</t>
  </si>
  <si>
    <t>1000167701</t>
  </si>
  <si>
    <t>1071326001</t>
  </si>
  <si>
    <t>1071326101</t>
  </si>
  <si>
    <t>1071326201</t>
  </si>
  <si>
    <t>1071326301</t>
  </si>
  <si>
    <t>1072504101</t>
  </si>
  <si>
    <t>1072504201</t>
  </si>
  <si>
    <t>1072759701</t>
  </si>
  <si>
    <t>S15A1769</t>
  </si>
  <si>
    <t>L86371</t>
  </si>
  <si>
    <t>1075617601</t>
  </si>
  <si>
    <t>S15A1772</t>
  </si>
  <si>
    <t>L86374</t>
  </si>
  <si>
    <t>1077403901</t>
  </si>
  <si>
    <t>S15A1773</t>
  </si>
  <si>
    <t>L86375</t>
  </si>
  <si>
    <t>1072759801</t>
  </si>
  <si>
    <t>S15A1770</t>
  </si>
  <si>
    <t>L86372</t>
  </si>
  <si>
    <t>1075617001</t>
  </si>
  <si>
    <t>S15A1771</t>
  </si>
  <si>
    <t>L86373</t>
  </si>
  <si>
    <t>C031</t>
  </si>
  <si>
    <t>S04H301</t>
  </si>
  <si>
    <t>A13317</t>
  </si>
  <si>
    <t>PCAAFF02901Z103CC031</t>
  </si>
  <si>
    <t>A5</t>
  </si>
  <si>
    <t>030ES034-F</t>
  </si>
  <si>
    <t>1078488501</t>
  </si>
  <si>
    <t>1080261801</t>
  </si>
  <si>
    <t>1079423401</t>
  </si>
  <si>
    <t>1080882401</t>
  </si>
  <si>
    <t>1079911401</t>
  </si>
  <si>
    <t>1078654701</t>
  </si>
  <si>
    <t>1078958701</t>
  </si>
  <si>
    <t>1081178801</t>
  </si>
  <si>
    <t>1081633201</t>
  </si>
  <si>
    <t>1081334201</t>
  </si>
  <si>
    <t>1078488601</t>
  </si>
  <si>
    <t>1077885901</t>
  </si>
  <si>
    <t>S15A1664</t>
  </si>
  <si>
    <t>L85681</t>
  </si>
  <si>
    <t>1080138201</t>
  </si>
  <si>
    <t>1081097811</t>
  </si>
  <si>
    <t>1080655801</t>
  </si>
  <si>
    <t>1079346901</t>
  </si>
  <si>
    <t>1081549401</t>
  </si>
  <si>
    <t>1078886301</t>
  </si>
  <si>
    <t>1078405101</t>
  </si>
  <si>
    <t>1080185701</t>
  </si>
  <si>
    <t>1079346501</t>
  </si>
  <si>
    <t>1081549901</t>
  </si>
  <si>
    <t>1081097901</t>
  </si>
  <si>
    <t>1080185301</t>
  </si>
  <si>
    <t>1080655301</t>
  </si>
  <si>
    <t>1081549801</t>
  </si>
  <si>
    <t>1078405001</t>
  </si>
  <si>
    <t>1081549201</t>
  </si>
  <si>
    <t>1080655601</t>
  </si>
  <si>
    <t>1081097711</t>
  </si>
  <si>
    <t>1076369201</t>
  </si>
  <si>
    <t>1071616001</t>
  </si>
  <si>
    <t>1076369301</t>
  </si>
  <si>
    <t>1071605401</t>
  </si>
  <si>
    <t>1077886001</t>
  </si>
  <si>
    <t>S15A1768</t>
  </si>
  <si>
    <t>L86370</t>
  </si>
  <si>
    <t>1080185601</t>
  </si>
  <si>
    <t>1081097611</t>
  </si>
  <si>
    <t>1078886201</t>
  </si>
  <si>
    <t>1079346701</t>
  </si>
  <si>
    <t>1080655401</t>
  </si>
  <si>
    <t>1081549601</t>
  </si>
  <si>
    <t>1080185501</t>
  </si>
  <si>
    <t>1081549701</t>
  </si>
  <si>
    <t>1080655201</t>
  </si>
  <si>
    <t>1076360701</t>
  </si>
  <si>
    <t>1070428001</t>
  </si>
  <si>
    <t>S14L2638</t>
  </si>
  <si>
    <t>L76543</t>
  </si>
  <si>
    <t>PWHA3141B00A103BA554</t>
  </si>
  <si>
    <t>24080-SN105</t>
  </si>
  <si>
    <t>1078405201</t>
  </si>
  <si>
    <t>1081055901</t>
  </si>
  <si>
    <t>1079346601</t>
  </si>
  <si>
    <t>1077885801</t>
  </si>
  <si>
    <t>S15A1781</t>
  </si>
  <si>
    <t>L86383</t>
  </si>
  <si>
    <t>1078886101</t>
  </si>
  <si>
    <t>1081055301</t>
  </si>
  <si>
    <t>1081055101</t>
  </si>
  <si>
    <t>1081549301</t>
  </si>
  <si>
    <t>1081549101</t>
  </si>
  <si>
    <t>1081055201</t>
  </si>
  <si>
    <t>1079346801</t>
  </si>
  <si>
    <t>1080655501</t>
  </si>
  <si>
    <t>1075798101</t>
  </si>
  <si>
    <t>1080655701</t>
  </si>
  <si>
    <t>1078886001</t>
  </si>
  <si>
    <t>1078140901</t>
  </si>
  <si>
    <t>1077154001</t>
  </si>
  <si>
    <t>1077154101</t>
  </si>
  <si>
    <t>1079346401</t>
  </si>
  <si>
    <t>1081097501</t>
  </si>
  <si>
    <t>1081549501</t>
  </si>
  <si>
    <t>1080185401</t>
  </si>
  <si>
    <t>select a.*, c.cu_no, b.od_serno, b.od_no, b.mu_qty, b.mu_price, b.el_no, b.el_ver, b.cr_code, b.cu_elnoold, b.cu_po_no1 from (</t>
    <phoneticPr fontId="3" type="noConversion"/>
  </si>
  <si>
    <t>) a left join (select cu_no, od_serno, od_no, mu_qty, mu_price, el_no, el_ver, cr_code, cu_elnoold, cu_po_no1 from ieod01d1 (nolock)) b on a.shipno=b.cu_po_no1 left join ieod01h c (nolock) on b.od_serno=c.od_serno order by a.item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</si>
</sst>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10" x14ac:knownFonts="1">
    <font>
      <sz val="12"/>
      <color theme="1"/>
      <name val="新細明體"/>
      <family val="2"/>
      <scheme val="minor"/>
    </font>
    <font>
      <sz val="11"/>
      <color theme="1"/>
      <name val="新細明體"/>
      <family val="1"/>
      <charset val="136"/>
    </font>
    <font>
      <sz val="11"/>
      <color theme="1"/>
      <name val="Times New Roman"/>
      <family val="1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theme="1"/>
      <name val="新細明體"/>
      <family val="1"/>
      <charset val="136"/>
      <scheme val="minor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2" fillId="2" borderId="0" xfId="0" applyFont="1" applyFill="1" applyAlignment="1">
      <alignment vertical="center"/>
    </xf>
    <xf numFmtId="0" fontId="0" fillId="2" borderId="0" xfId="0" applyFill="1"/>
    <xf numFmtId="49" fontId="0" fillId="2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0" fontId="4" fillId="0" borderId="0" xfId="0" applyFont="1"/>
    <xf numFmtId="0" fontId="0" fillId="0" borderId="0" xfId="0" applyFont="1"/>
    <xf numFmtId="0" fontId="1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vertical="center"/>
    </xf>
    <xf numFmtId="0" fontId="4" fillId="4" borderId="0" xfId="0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0" fontId="4" fillId="6" borderId="0" xfId="0" applyFont="1" applyFill="1"/>
    <xf numFmtId="49" fontId="4" fillId="6" borderId="0" xfId="0" applyNumberFormat="1" applyFont="1" applyFill="1"/>
    <xf numFmtId="176" fontId="0" fillId="0" borderId="0" xfId="0" applyNumberFormat="1" applyFont="1"/>
    <xf numFmtId="176" fontId="4" fillId="0" borderId="0" xfId="0" applyNumberFormat="1" applyFont="1"/>
    <xf numFmtId="176" fontId="0" fillId="0" borderId="0" xfId="0" applyNumberFormat="1"/>
    <xf numFmtId="0" fontId="0" fillId="0" borderId="1" xfId="0" applyNumberFormat="1" applyBorder="1" applyAlignment="1">
      <alignment horizontal="center"/>
    </xf>
    <xf numFmtId="176" fontId="0" fillId="0" borderId="0" xfId="0" applyNumberFormat="1" applyAlignment="1">
      <alignment horizontal="center"/>
    </xf>
    <xf numFmtId="176" fontId="4" fillId="6" borderId="0" xfId="0" applyNumberFormat="1" applyFont="1" applyFill="1"/>
    <xf numFmtId="49" fontId="0" fillId="4" borderId="1" xfId="0" applyNumberForma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4" fillId="4" borderId="0" xfId="0" applyNumberFormat="1" applyFont="1" applyFill="1"/>
    <xf numFmtId="49" fontId="4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0" fontId="0" fillId="5" borderId="0" xfId="0" applyFill="1"/>
    <xf numFmtId="49" fontId="9" fillId="0" borderId="0" xfId="0" applyNumberFormat="1" applyFont="1"/>
    <xf numFmtId="0" fontId="4" fillId="0" borderId="0" xfId="0" applyFont="1" applyAlignment="1">
      <alignment horizontal="center"/>
    </xf>
    <xf numFmtId="49" fontId="0" fillId="5" borderId="0" xfId="0" applyNumberFormat="1" applyFill="1"/>
    <xf numFmtId="176" fontId="0" fillId="5" borderId="0" xfId="0" applyNumberFormat="1" applyFill="1"/>
    <xf numFmtId="49" fontId="0" fillId="5" borderId="2" xfId="0" applyNumberFormat="1" applyFont="1" applyFill="1" applyBorder="1" applyAlignment="1"/>
    <xf numFmtId="0" fontId="0" fillId="5" borderId="2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0</xdr:row>
          <xdr:rowOff>0</xdr:rowOff>
        </xdr:from>
        <xdr:to>
          <xdr:col>20</xdr:col>
          <xdr:colOff>247650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小計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0</xdr:row>
          <xdr:rowOff>0</xdr:rowOff>
        </xdr:from>
        <xdr:to>
          <xdr:col>21</xdr:col>
          <xdr:colOff>285750</xdr:colOff>
          <xdr:row>0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清除小計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pageSetUpPr fitToPage="1"/>
  </sheetPr>
  <dimension ref="A1:M33"/>
  <sheetViews>
    <sheetView topLeftCell="A4" workbookViewId="0">
      <selection activeCell="H18" sqref="H18"/>
    </sheetView>
  </sheetViews>
  <sheetFormatPr defaultRowHeight="16.5" x14ac:dyDescent="0.25"/>
  <cols>
    <col min="1" max="1" width="23.75" customWidth="1"/>
    <col min="2" max="2" width="5.875" hidden="1" customWidth="1"/>
    <col min="3" max="3" width="16.125" bestFit="1" customWidth="1"/>
    <col min="7" max="7" width="9" style="3"/>
    <col min="8" max="8" width="7.125" style="3" customWidth="1"/>
    <col min="9" max="9" width="7.5" style="12" customWidth="1"/>
    <col min="10" max="10" width="7" hidden="1" customWidth="1"/>
    <col min="11" max="11" width="7.125" hidden="1" customWidth="1"/>
    <col min="12" max="12" width="27.625" customWidth="1"/>
    <col min="13" max="13" width="29.125" customWidth="1"/>
  </cols>
  <sheetData>
    <row r="1" spans="1:13" x14ac:dyDescent="0.25">
      <c r="C1" t="s">
        <v>59</v>
      </c>
      <c r="D1" t="s">
        <v>60</v>
      </c>
      <c r="E1" t="s">
        <v>61</v>
      </c>
      <c r="F1" t="s">
        <v>62</v>
      </c>
      <c r="G1" s="3" t="s">
        <v>63</v>
      </c>
      <c r="H1" s="3" t="s">
        <v>96</v>
      </c>
      <c r="I1" s="12" t="s">
        <v>97</v>
      </c>
    </row>
    <row r="2" spans="1:13" x14ac:dyDescent="0.25">
      <c r="A2" s="1" t="s">
        <v>5</v>
      </c>
      <c r="B2" s="1" t="s">
        <v>67</v>
      </c>
      <c r="C2" t="s">
        <v>6</v>
      </c>
      <c r="D2">
        <v>1</v>
      </c>
      <c r="E2">
        <v>1</v>
      </c>
      <c r="F2">
        <f>E2-D2+1</f>
        <v>1</v>
      </c>
      <c r="G2" s="7">
        <v>1</v>
      </c>
      <c r="H2" s="12">
        <v>1</v>
      </c>
      <c r="I2" s="19">
        <v>1</v>
      </c>
      <c r="J2" t="str">
        <f>"Dim " &amp; B2 &amp; " as string"</f>
        <v>Dim tag as string</v>
      </c>
      <c r="K2" t="str">
        <f>B2 &amp; " = " &amp; "Mid(InputStr, " &amp; D2 &amp; ", " &amp; F2 &amp; ")"</f>
        <v>tag = Mid(InputStr, 1, 1)</v>
      </c>
      <c r="L2" t="str">
        <f>"strAry(" &amp; I2 &amp; ") = " &amp; "Mid(pStr, " &amp; D2 &amp; ", " &amp; F2 &amp; ")"</f>
        <v>strAry(1) = Mid(pStr, 1, 1)</v>
      </c>
      <c r="M2" t="str">
        <f>"Cells(pPos, " &amp; H2 &amp; ")=strAry(" &amp; I2 &amp; ")"</f>
        <v>Cells(pPos, 1)=strAry(1)</v>
      </c>
    </row>
    <row r="3" spans="1:13" x14ac:dyDescent="0.25">
      <c r="A3" s="1" t="s">
        <v>7</v>
      </c>
      <c r="B3" s="1" t="s">
        <v>68</v>
      </c>
      <c r="C3" t="s">
        <v>8</v>
      </c>
      <c r="D3">
        <v>11</v>
      </c>
      <c r="E3">
        <v>15</v>
      </c>
      <c r="F3">
        <f t="shared" ref="F3:F30" si="0">E3-D3+1</f>
        <v>5</v>
      </c>
      <c r="H3" s="12">
        <v>2</v>
      </c>
      <c r="I3" s="19">
        <v>2</v>
      </c>
      <c r="J3" t="str">
        <f t="shared" ref="J3:J30" si="1">"Dim " &amp; B3 &amp; " as string"</f>
        <v>Dim CuNo as string</v>
      </c>
      <c r="K3" t="str">
        <f t="shared" ref="K3:K30" si="2">B3 &amp; " = " &amp; "Mid(InputStr, " &amp; D3 &amp; ", " &amp; F3 &amp; ")"</f>
        <v>CuNo = Mid(InputStr, 11, 5)</v>
      </c>
      <c r="L3" t="str">
        <f t="shared" ref="L3:L30" si="3">"strAry(" &amp; I3 &amp; ") = " &amp; "Mid(pStr, " &amp; D3 &amp; ", " &amp; F3 &amp; ")"</f>
        <v>strAry(2) = Mid(pStr, 11, 5)</v>
      </c>
      <c r="M3" t="str">
        <f t="shared" ref="M3:M30" si="4">"Cells(pPos, " &amp; H3 &amp; ")=strAry(" &amp; I3 &amp; ")"</f>
        <v>Cells(pPos, 2)=strAry(2)</v>
      </c>
    </row>
    <row r="4" spans="1:13" x14ac:dyDescent="0.25">
      <c r="A4" s="1" t="s">
        <v>9</v>
      </c>
      <c r="B4" s="1" t="s">
        <v>69</v>
      </c>
      <c r="C4" t="s">
        <v>10</v>
      </c>
      <c r="D4">
        <v>16</v>
      </c>
      <c r="E4">
        <v>21</v>
      </c>
      <c r="F4">
        <f t="shared" si="0"/>
        <v>6</v>
      </c>
      <c r="H4" s="12">
        <v>3</v>
      </c>
      <c r="I4" s="19">
        <v>3</v>
      </c>
      <c r="J4" t="str">
        <f t="shared" si="1"/>
        <v>Dim AccBd as string</v>
      </c>
      <c r="K4" t="str">
        <f t="shared" si="2"/>
        <v>AccBd = Mid(InputStr, 16, 6)</v>
      </c>
      <c r="L4" t="str">
        <f t="shared" si="3"/>
        <v>strAry(3) = Mid(pStr, 16, 6)</v>
      </c>
      <c r="M4" t="str">
        <f t="shared" si="4"/>
        <v>Cells(pPos, 3)=strAry(3)</v>
      </c>
    </row>
    <row r="5" spans="1:13" x14ac:dyDescent="0.25">
      <c r="B5" s="1" t="s">
        <v>70</v>
      </c>
      <c r="C5" t="s">
        <v>11</v>
      </c>
      <c r="D5">
        <v>22</v>
      </c>
      <c r="E5">
        <v>27</v>
      </c>
      <c r="F5">
        <f t="shared" si="0"/>
        <v>6</v>
      </c>
      <c r="H5" s="12">
        <v>4</v>
      </c>
      <c r="I5" s="19">
        <v>4</v>
      </c>
      <c r="J5" t="str">
        <f t="shared" si="1"/>
        <v>Dim AccEd as string</v>
      </c>
      <c r="K5" t="str">
        <f t="shared" si="2"/>
        <v>AccEd = Mid(InputStr, 22, 6)</v>
      </c>
      <c r="L5" t="str">
        <f t="shared" si="3"/>
        <v>strAry(4) = Mid(pStr, 22, 6)</v>
      </c>
      <c r="M5" t="str">
        <f t="shared" si="4"/>
        <v>Cells(pPos, 4)=strAry(4)</v>
      </c>
    </row>
    <row r="6" spans="1:13" x14ac:dyDescent="0.25">
      <c r="A6" s="1" t="s">
        <v>12</v>
      </c>
      <c r="B6" s="1" t="s">
        <v>67</v>
      </c>
      <c r="C6" t="s">
        <v>13</v>
      </c>
      <c r="D6">
        <v>1</v>
      </c>
      <c r="E6">
        <v>1</v>
      </c>
      <c r="F6">
        <f t="shared" si="0"/>
        <v>1</v>
      </c>
      <c r="G6" s="7">
        <v>2</v>
      </c>
      <c r="H6" s="12">
        <v>5</v>
      </c>
      <c r="I6" s="12">
        <v>1</v>
      </c>
      <c r="J6" t="str">
        <f t="shared" si="1"/>
        <v>Dim tag as string</v>
      </c>
      <c r="K6" t="str">
        <f t="shared" si="2"/>
        <v>tag = Mid(InputStr, 1, 1)</v>
      </c>
      <c r="L6" t="str">
        <f t="shared" si="3"/>
        <v>strAry(1) = Mid(pStr, 1, 1)</v>
      </c>
      <c r="M6" t="str">
        <f t="shared" si="4"/>
        <v>Cells(pPos, 5)=strAry(1)</v>
      </c>
    </row>
    <row r="7" spans="1:13" x14ac:dyDescent="0.25">
      <c r="A7" s="1" t="s">
        <v>14</v>
      </c>
      <c r="B7" s="1" t="s">
        <v>71</v>
      </c>
      <c r="C7" t="s">
        <v>15</v>
      </c>
      <c r="D7">
        <v>2</v>
      </c>
      <c r="E7">
        <v>8</v>
      </c>
      <c r="F7">
        <f t="shared" si="0"/>
        <v>7</v>
      </c>
      <c r="H7" s="12">
        <v>6</v>
      </c>
      <c r="I7" s="12">
        <v>2</v>
      </c>
      <c r="J7" t="str">
        <f t="shared" si="1"/>
        <v>Dim ListNo as string</v>
      </c>
      <c r="K7" t="str">
        <f t="shared" si="2"/>
        <v>ListNo = Mid(InputStr, 2, 7)</v>
      </c>
      <c r="L7" t="str">
        <f t="shared" si="3"/>
        <v>strAry(2) = Mid(pStr, 2, 7)</v>
      </c>
      <c r="M7" t="str">
        <f t="shared" si="4"/>
        <v>Cells(pPos, 6)=strAry(2)</v>
      </c>
    </row>
    <row r="8" spans="1:13" x14ac:dyDescent="0.25">
      <c r="A8" s="1" t="s">
        <v>16</v>
      </c>
      <c r="B8" s="1" t="s">
        <v>72</v>
      </c>
      <c r="C8" t="s">
        <v>17</v>
      </c>
      <c r="D8">
        <v>9</v>
      </c>
      <c r="E8">
        <v>10</v>
      </c>
      <c r="F8">
        <f t="shared" si="0"/>
        <v>2</v>
      </c>
      <c r="H8" s="12">
        <v>7</v>
      </c>
      <c r="I8" s="12">
        <v>3</v>
      </c>
      <c r="J8" t="str">
        <f t="shared" si="1"/>
        <v>Dim ListSeq as string</v>
      </c>
      <c r="K8" t="str">
        <f t="shared" si="2"/>
        <v>ListSeq = Mid(InputStr, 9, 2)</v>
      </c>
      <c r="L8" t="str">
        <f t="shared" si="3"/>
        <v>strAry(3) = Mid(pStr, 9, 2)</v>
      </c>
      <c r="M8" t="str">
        <f t="shared" si="4"/>
        <v>Cells(pPos, 7)=strAry(3)</v>
      </c>
    </row>
    <row r="9" spans="1:13" x14ac:dyDescent="0.25">
      <c r="A9" s="1" t="s">
        <v>18</v>
      </c>
      <c r="B9" s="1" t="s">
        <v>73</v>
      </c>
      <c r="C9" t="s">
        <v>19</v>
      </c>
      <c r="D9">
        <v>11</v>
      </c>
      <c r="E9">
        <v>12</v>
      </c>
      <c r="F9">
        <f t="shared" si="0"/>
        <v>2</v>
      </c>
      <c r="G9" s="3" t="s">
        <v>20</v>
      </c>
      <c r="H9" s="12">
        <v>8</v>
      </c>
      <c r="I9" s="12">
        <v>4</v>
      </c>
      <c r="J9" t="str">
        <f t="shared" si="1"/>
        <v>Dim ListType as string</v>
      </c>
      <c r="K9" t="str">
        <f t="shared" si="2"/>
        <v>ListType = Mid(InputStr, 11, 2)</v>
      </c>
      <c r="L9" t="str">
        <f t="shared" si="3"/>
        <v>strAry(4) = Mid(pStr, 11, 2)</v>
      </c>
      <c r="M9" t="str">
        <f t="shared" si="4"/>
        <v>Cells(pPos, 8)=strAry(4)</v>
      </c>
    </row>
    <row r="10" spans="1:13" x14ac:dyDescent="0.25">
      <c r="A10" s="1" t="s">
        <v>21</v>
      </c>
      <c r="B10" s="1" t="s">
        <v>74</v>
      </c>
      <c r="C10" t="s">
        <v>22</v>
      </c>
      <c r="D10">
        <v>13</v>
      </c>
      <c r="E10">
        <v>19</v>
      </c>
      <c r="F10">
        <f t="shared" si="0"/>
        <v>7</v>
      </c>
      <c r="H10" s="12">
        <v>9</v>
      </c>
      <c r="I10" s="12">
        <v>5</v>
      </c>
      <c r="J10" t="str">
        <f t="shared" si="1"/>
        <v>Dim Contract as string</v>
      </c>
      <c r="K10" t="str">
        <f t="shared" si="2"/>
        <v>Contract = Mid(InputStr, 13, 7)</v>
      </c>
      <c r="L10" t="str">
        <f t="shared" si="3"/>
        <v>strAry(5) = Mid(pStr, 13, 7)</v>
      </c>
      <c r="M10" t="str">
        <f t="shared" si="4"/>
        <v>Cells(pPos, 9)=strAry(5)</v>
      </c>
    </row>
    <row r="11" spans="1:13" x14ac:dyDescent="0.25">
      <c r="A11" s="1" t="s">
        <v>23</v>
      </c>
      <c r="B11" s="1" t="s">
        <v>75</v>
      </c>
      <c r="C11" t="s">
        <v>45</v>
      </c>
      <c r="D11">
        <v>20</v>
      </c>
      <c r="E11">
        <v>29</v>
      </c>
      <c r="F11">
        <f t="shared" si="0"/>
        <v>10</v>
      </c>
      <c r="H11" s="12">
        <v>10</v>
      </c>
      <c r="I11" s="12">
        <v>6</v>
      </c>
      <c r="J11" t="str">
        <f t="shared" si="1"/>
        <v>Dim ShipNote as string</v>
      </c>
      <c r="K11" t="str">
        <f t="shared" si="2"/>
        <v>ShipNote = Mid(InputStr, 20, 10)</v>
      </c>
      <c r="L11" t="str">
        <f t="shared" si="3"/>
        <v>strAry(6) = Mid(pStr, 20, 10)</v>
      </c>
      <c r="M11" t="str">
        <f t="shared" si="4"/>
        <v>Cells(pPos, 10)=strAry(6)</v>
      </c>
    </row>
    <row r="12" spans="1:13" x14ac:dyDescent="0.25">
      <c r="A12" s="1" t="s">
        <v>24</v>
      </c>
      <c r="B12" s="1" t="s">
        <v>76</v>
      </c>
      <c r="C12" t="s">
        <v>25</v>
      </c>
      <c r="D12">
        <v>30</v>
      </c>
      <c r="E12">
        <v>31</v>
      </c>
      <c r="F12">
        <f t="shared" si="0"/>
        <v>2</v>
      </c>
      <c r="G12" s="3" t="s">
        <v>48</v>
      </c>
      <c r="H12" s="12">
        <v>11</v>
      </c>
      <c r="I12" s="12">
        <v>7</v>
      </c>
      <c r="J12" t="str">
        <f t="shared" si="1"/>
        <v>Dim Class as string</v>
      </c>
      <c r="K12" t="str">
        <f t="shared" si="2"/>
        <v>Class = Mid(InputStr, 30, 2)</v>
      </c>
      <c r="L12" t="str">
        <f t="shared" si="3"/>
        <v>strAry(7) = Mid(pStr, 30, 2)</v>
      </c>
      <c r="M12" t="str">
        <f t="shared" si="4"/>
        <v>Cells(pPos, 11)=strAry(7)</v>
      </c>
    </row>
    <row r="13" spans="1:13" x14ac:dyDescent="0.25">
      <c r="A13" s="1" t="s">
        <v>26</v>
      </c>
      <c r="B13" s="1" t="s">
        <v>95</v>
      </c>
      <c r="C13" t="s">
        <v>64</v>
      </c>
      <c r="D13">
        <v>32</v>
      </c>
      <c r="E13">
        <v>41</v>
      </c>
      <c r="F13">
        <f t="shared" si="0"/>
        <v>10</v>
      </c>
      <c r="H13" s="12">
        <v>12</v>
      </c>
      <c r="I13" s="12">
        <v>8</v>
      </c>
      <c r="J13" t="str">
        <f t="shared" si="1"/>
        <v>Dim OrgElNo as string</v>
      </c>
      <c r="K13" t="str">
        <f t="shared" si="2"/>
        <v>OrgElNo = Mid(InputStr, 32, 10)</v>
      </c>
      <c r="L13" t="str">
        <f t="shared" si="3"/>
        <v>strAry(8) = Mid(pStr, 32, 10)</v>
      </c>
      <c r="M13" t="str">
        <f t="shared" si="4"/>
        <v>Cells(pPos, 12)=strAry(8)</v>
      </c>
    </row>
    <row r="14" spans="1:13" x14ac:dyDescent="0.25">
      <c r="A14" s="1" t="s">
        <v>51</v>
      </c>
      <c r="B14" s="1" t="s">
        <v>78</v>
      </c>
      <c r="C14" t="s">
        <v>52</v>
      </c>
      <c r="D14">
        <v>42</v>
      </c>
      <c r="E14">
        <v>42</v>
      </c>
      <c r="F14">
        <f>E14-D14+1</f>
        <v>1</v>
      </c>
      <c r="G14" s="3" t="s">
        <v>49</v>
      </c>
      <c r="H14" s="12">
        <v>13</v>
      </c>
      <c r="I14" s="12">
        <v>10</v>
      </c>
      <c r="J14" t="str">
        <f t="shared" si="1"/>
        <v>Dim Quality as string</v>
      </c>
      <c r="K14" t="str">
        <f t="shared" si="2"/>
        <v>Quality = Mid(InputStr, 42, 1)</v>
      </c>
      <c r="L14" t="str">
        <f t="shared" si="3"/>
        <v>strAry(10) = Mid(pStr, 42, 1)</v>
      </c>
      <c r="M14" t="str">
        <f t="shared" si="4"/>
        <v>Cells(pPos, 13)=strAry(10)</v>
      </c>
    </row>
    <row r="15" spans="1:13" x14ac:dyDescent="0.25">
      <c r="A15" s="1" t="s">
        <v>27</v>
      </c>
      <c r="B15" s="1" t="s">
        <v>79</v>
      </c>
      <c r="C15" t="s">
        <v>28</v>
      </c>
      <c r="D15">
        <v>43</v>
      </c>
      <c r="E15">
        <v>51</v>
      </c>
      <c r="F15">
        <f t="shared" si="0"/>
        <v>9</v>
      </c>
      <c r="H15" s="12">
        <v>14</v>
      </c>
      <c r="I15" s="12">
        <v>11</v>
      </c>
      <c r="J15" t="str">
        <f t="shared" si="1"/>
        <v>Dim Qty as string</v>
      </c>
      <c r="K15" t="str">
        <f t="shared" si="2"/>
        <v>Qty = Mid(InputStr, 43, 9)</v>
      </c>
      <c r="L15" t="str">
        <f t="shared" si="3"/>
        <v>strAry(11) = Mid(pStr, 43, 9)</v>
      </c>
      <c r="M15" t="str">
        <f t="shared" si="4"/>
        <v>Cells(pPos, 14)=strAry(11)</v>
      </c>
    </row>
    <row r="16" spans="1:13" x14ac:dyDescent="0.25">
      <c r="A16" s="10"/>
      <c r="B16" s="10" t="s">
        <v>80</v>
      </c>
      <c r="C16" t="s">
        <v>50</v>
      </c>
      <c r="D16">
        <v>52</v>
      </c>
      <c r="E16">
        <v>60</v>
      </c>
      <c r="F16">
        <f t="shared" si="0"/>
        <v>9</v>
      </c>
      <c r="H16" s="12">
        <v>15</v>
      </c>
      <c r="I16" s="12">
        <v>12</v>
      </c>
      <c r="J16" t="str">
        <f t="shared" si="1"/>
        <v>Dim QtyOK as string</v>
      </c>
      <c r="K16" t="str">
        <f t="shared" si="2"/>
        <v>QtyOK = Mid(InputStr, 52, 9)</v>
      </c>
      <c r="L16" t="str">
        <f t="shared" si="3"/>
        <v>strAry(12) = Mid(pStr, 52, 9)</v>
      </c>
      <c r="M16" t="str">
        <f t="shared" si="4"/>
        <v>Cells(pPos, 15)=strAry(12)</v>
      </c>
    </row>
    <row r="17" spans="1:13" x14ac:dyDescent="0.25">
      <c r="A17" s="1" t="s">
        <v>29</v>
      </c>
      <c r="B17" s="1" t="s">
        <v>81</v>
      </c>
      <c r="C17" t="s">
        <v>30</v>
      </c>
      <c r="D17">
        <v>61</v>
      </c>
      <c r="E17">
        <v>63</v>
      </c>
      <c r="F17">
        <f t="shared" si="0"/>
        <v>3</v>
      </c>
      <c r="H17" s="12">
        <v>16</v>
      </c>
      <c r="I17" s="12">
        <v>13</v>
      </c>
      <c r="J17" t="str">
        <f t="shared" si="1"/>
        <v>Dim Unit as string</v>
      </c>
      <c r="K17" t="str">
        <f t="shared" si="2"/>
        <v>Unit = Mid(InputStr, 61, 3)</v>
      </c>
      <c r="L17" t="str">
        <f t="shared" si="3"/>
        <v>strAry(13) = Mid(pStr, 61, 3)</v>
      </c>
      <c r="M17" t="str">
        <f t="shared" si="4"/>
        <v>Cells(pPos, 16)=strAry(13)</v>
      </c>
    </row>
    <row r="18" spans="1:13" x14ac:dyDescent="0.25">
      <c r="A18" s="1" t="s">
        <v>47</v>
      </c>
      <c r="B18" s="1" t="s">
        <v>82</v>
      </c>
      <c r="C18" t="s">
        <v>53</v>
      </c>
      <c r="D18">
        <v>64</v>
      </c>
      <c r="E18">
        <v>75</v>
      </c>
      <c r="F18">
        <f t="shared" si="0"/>
        <v>12</v>
      </c>
      <c r="H18" s="12">
        <v>17</v>
      </c>
      <c r="I18" s="12">
        <v>14</v>
      </c>
      <c r="J18" t="str">
        <f t="shared" si="1"/>
        <v>Dim Price as string</v>
      </c>
      <c r="K18" t="str">
        <f t="shared" si="2"/>
        <v>Price = Mid(InputStr, 64, 12)</v>
      </c>
      <c r="L18" t="str">
        <f t="shared" si="3"/>
        <v>strAry(14) = Mid(pStr, 64, 12)</v>
      </c>
      <c r="M18" t="str">
        <f t="shared" si="4"/>
        <v>Cells(pPos, 17)=strAry(14)</v>
      </c>
    </row>
    <row r="19" spans="1:13" x14ac:dyDescent="0.25">
      <c r="A19" s="1" t="s">
        <v>1</v>
      </c>
      <c r="B19" s="1" t="s">
        <v>84</v>
      </c>
      <c r="C19" t="s">
        <v>34</v>
      </c>
      <c r="D19">
        <v>76</v>
      </c>
      <c r="E19">
        <v>84</v>
      </c>
      <c r="F19">
        <f t="shared" si="0"/>
        <v>9</v>
      </c>
      <c r="H19" s="12">
        <v>18</v>
      </c>
      <c r="I19" s="12">
        <v>15</v>
      </c>
      <c r="J19" t="str">
        <f t="shared" si="1"/>
        <v>Dim Amt00 as string</v>
      </c>
      <c r="K19" t="str">
        <f t="shared" si="2"/>
        <v>Amt00 = Mid(InputStr, 76, 9)</v>
      </c>
      <c r="L19" t="str">
        <f t="shared" si="3"/>
        <v>strAry(15) = Mid(pStr, 76, 9)</v>
      </c>
      <c r="M19" t="str">
        <f t="shared" si="4"/>
        <v>Cells(pPos, 18)=strAry(15)</v>
      </c>
    </row>
    <row r="20" spans="1:13" x14ac:dyDescent="0.25">
      <c r="A20" s="1" t="s">
        <v>54</v>
      </c>
      <c r="B20" s="1" t="s">
        <v>83</v>
      </c>
      <c r="C20" t="s">
        <v>55</v>
      </c>
      <c r="D20">
        <v>85</v>
      </c>
      <c r="E20">
        <v>92</v>
      </c>
      <c r="F20">
        <f t="shared" si="0"/>
        <v>8</v>
      </c>
      <c r="H20" s="12">
        <v>19</v>
      </c>
      <c r="I20" s="12">
        <v>16</v>
      </c>
      <c r="J20" t="str">
        <f t="shared" si="1"/>
        <v>Dim DevD as string</v>
      </c>
      <c r="K20" t="str">
        <f t="shared" si="2"/>
        <v>DevD = Mid(InputStr, 85, 8)</v>
      </c>
      <c r="L20" t="str">
        <f t="shared" si="3"/>
        <v>strAry(16) = Mid(pStr, 85, 8)</v>
      </c>
      <c r="M20" t="str">
        <f t="shared" si="4"/>
        <v>Cells(pPos, 19)=strAry(16)</v>
      </c>
    </row>
    <row r="21" spans="1:13" x14ac:dyDescent="0.25">
      <c r="A21" s="2" t="s">
        <v>2</v>
      </c>
      <c r="B21" s="11" t="s">
        <v>91</v>
      </c>
      <c r="C21" t="s">
        <v>36</v>
      </c>
      <c r="D21">
        <v>93</v>
      </c>
      <c r="E21">
        <v>101</v>
      </c>
      <c r="F21">
        <f t="shared" si="0"/>
        <v>9</v>
      </c>
      <c r="H21" s="12">
        <v>20</v>
      </c>
      <c r="I21" s="12">
        <v>17</v>
      </c>
      <c r="J21" t="str">
        <f t="shared" si="1"/>
        <v>Dim KouKan01 as string</v>
      </c>
      <c r="K21" t="str">
        <f t="shared" si="2"/>
        <v>KouKan01 = Mid(InputStr, 93, 9)</v>
      </c>
      <c r="L21" t="str">
        <f t="shared" si="3"/>
        <v>strAry(17) = Mid(pStr, 93, 9)</v>
      </c>
      <c r="M21" t="str">
        <f t="shared" si="4"/>
        <v>Cells(pPos, 20)=strAry(17)</v>
      </c>
    </row>
    <row r="22" spans="1:13" x14ac:dyDescent="0.25">
      <c r="A22" s="1" t="s">
        <v>3</v>
      </c>
      <c r="B22" s="1" t="s">
        <v>92</v>
      </c>
      <c r="C22" t="s">
        <v>38</v>
      </c>
      <c r="D22">
        <v>102</v>
      </c>
      <c r="E22">
        <v>110</v>
      </c>
      <c r="F22">
        <f t="shared" si="0"/>
        <v>9</v>
      </c>
      <c r="H22" s="12">
        <v>21</v>
      </c>
      <c r="I22" s="12">
        <v>18</v>
      </c>
      <c r="J22" t="str">
        <f t="shared" si="1"/>
        <v>Dim KouKan02 as string</v>
      </c>
      <c r="K22" t="str">
        <f t="shared" si="2"/>
        <v>KouKan02 = Mid(InputStr, 102, 9)</v>
      </c>
      <c r="L22" t="str">
        <f t="shared" si="3"/>
        <v>strAry(18) = Mid(pStr, 102, 9)</v>
      </c>
      <c r="M22" t="str">
        <f t="shared" si="4"/>
        <v>Cells(pPos, 21)=strAry(18)</v>
      </c>
    </row>
    <row r="23" spans="1:13" x14ac:dyDescent="0.25">
      <c r="A23" s="1" t="s">
        <v>4</v>
      </c>
      <c r="B23" s="1" t="s">
        <v>85</v>
      </c>
      <c r="C23" t="s">
        <v>40</v>
      </c>
      <c r="D23">
        <v>111</v>
      </c>
      <c r="E23">
        <v>119</v>
      </c>
      <c r="F23">
        <f t="shared" si="0"/>
        <v>9</v>
      </c>
      <c r="H23" s="12">
        <v>22</v>
      </c>
      <c r="I23" s="12">
        <v>19</v>
      </c>
      <c r="J23" t="str">
        <f t="shared" si="1"/>
        <v>Dim Amt01 as string</v>
      </c>
      <c r="K23" t="str">
        <f t="shared" si="2"/>
        <v>Amt01 = Mid(InputStr, 111, 9)</v>
      </c>
      <c r="L23" t="str">
        <f t="shared" si="3"/>
        <v>strAry(19) = Mid(pStr, 111, 9)</v>
      </c>
      <c r="M23" t="str">
        <f t="shared" si="4"/>
        <v>Cells(pPos, 22)=strAry(19)</v>
      </c>
    </row>
    <row r="24" spans="1:13" x14ac:dyDescent="0.25">
      <c r="A24" s="1" t="s">
        <v>41</v>
      </c>
      <c r="B24" s="1" t="s">
        <v>87</v>
      </c>
      <c r="C24" t="s">
        <v>42</v>
      </c>
      <c r="D24">
        <v>121</v>
      </c>
      <c r="E24">
        <v>121</v>
      </c>
      <c r="F24">
        <f t="shared" si="0"/>
        <v>1</v>
      </c>
      <c r="G24" s="3" t="s">
        <v>56</v>
      </c>
      <c r="H24" s="12">
        <v>23</v>
      </c>
      <c r="I24" s="12">
        <v>21</v>
      </c>
      <c r="J24" t="str">
        <f t="shared" si="1"/>
        <v>Dim Check as string</v>
      </c>
      <c r="K24" t="str">
        <f t="shared" si="2"/>
        <v>Check = Mid(InputStr, 121, 1)</v>
      </c>
      <c r="L24" t="str">
        <f t="shared" si="3"/>
        <v>strAry(21) = Mid(pStr, 121, 1)</v>
      </c>
      <c r="M24" t="str">
        <f t="shared" si="4"/>
        <v>Cells(pPos, 23)=strAry(21)</v>
      </c>
    </row>
    <row r="25" spans="1:13" x14ac:dyDescent="0.25">
      <c r="A25" s="1" t="s">
        <v>43</v>
      </c>
      <c r="B25" s="1" t="s">
        <v>88</v>
      </c>
      <c r="C25" t="s">
        <v>44</v>
      </c>
      <c r="D25">
        <v>122</v>
      </c>
      <c r="E25">
        <v>122</v>
      </c>
      <c r="F25">
        <f t="shared" si="0"/>
        <v>1</v>
      </c>
      <c r="G25" s="3" t="s">
        <v>57</v>
      </c>
      <c r="H25" s="12">
        <v>24</v>
      </c>
      <c r="I25" s="12">
        <v>22</v>
      </c>
      <c r="J25" t="str">
        <f t="shared" si="1"/>
        <v>Dim Rec as string</v>
      </c>
      <c r="K25" t="str">
        <f t="shared" si="2"/>
        <v>Rec = Mid(InputStr, 122, 1)</v>
      </c>
      <c r="L25" t="str">
        <f t="shared" si="3"/>
        <v>strAry(22) = Mid(pStr, 122, 1)</v>
      </c>
      <c r="M25" t="str">
        <f t="shared" si="4"/>
        <v>Cells(pPos, 24)=strAry(22)</v>
      </c>
    </row>
    <row r="26" spans="1:13" x14ac:dyDescent="0.25">
      <c r="A26" s="1" t="s">
        <v>31</v>
      </c>
      <c r="B26" s="1" t="s">
        <v>67</v>
      </c>
      <c r="C26" t="s">
        <v>32</v>
      </c>
      <c r="D26">
        <v>1</v>
      </c>
      <c r="E26">
        <v>1</v>
      </c>
      <c r="F26">
        <f t="shared" si="0"/>
        <v>1</v>
      </c>
      <c r="G26" s="7" t="s">
        <v>46</v>
      </c>
      <c r="H26" s="12">
        <v>25</v>
      </c>
      <c r="I26" s="19">
        <v>1</v>
      </c>
      <c r="J26" t="str">
        <f t="shared" si="1"/>
        <v>Dim tag as string</v>
      </c>
      <c r="K26" t="str">
        <f t="shared" si="2"/>
        <v>tag = Mid(InputStr, 1, 1)</v>
      </c>
      <c r="L26" t="str">
        <f t="shared" si="3"/>
        <v>strAry(1) = Mid(pStr, 1, 1)</v>
      </c>
      <c r="M26" t="str">
        <f t="shared" si="4"/>
        <v>Cells(pPos, 25)=strAry(1)</v>
      </c>
    </row>
    <row r="27" spans="1:13" x14ac:dyDescent="0.25">
      <c r="A27" s="1" t="s">
        <v>33</v>
      </c>
      <c r="B27" s="1" t="s">
        <v>89</v>
      </c>
      <c r="C27" t="s">
        <v>34</v>
      </c>
      <c r="D27">
        <v>2</v>
      </c>
      <c r="E27">
        <v>10</v>
      </c>
      <c r="F27">
        <f t="shared" si="0"/>
        <v>9</v>
      </c>
      <c r="H27" s="12">
        <v>26</v>
      </c>
      <c r="I27" s="19">
        <v>2</v>
      </c>
      <c r="J27" t="str">
        <f t="shared" si="1"/>
        <v>Dim Amt11 as string</v>
      </c>
      <c r="K27" t="str">
        <f t="shared" si="2"/>
        <v>Amt11 = Mid(InputStr, 2, 9)</v>
      </c>
      <c r="L27" t="str">
        <f t="shared" si="3"/>
        <v>strAry(2) = Mid(pStr, 2, 9)</v>
      </c>
      <c r="M27" t="str">
        <f t="shared" si="4"/>
        <v>Cells(pPos, 26)=strAry(2)</v>
      </c>
    </row>
    <row r="28" spans="1:13" x14ac:dyDescent="0.25">
      <c r="A28" s="2" t="s">
        <v>35</v>
      </c>
      <c r="B28" s="11" t="s">
        <v>93</v>
      </c>
      <c r="C28" t="s">
        <v>36</v>
      </c>
      <c r="D28">
        <v>11</v>
      </c>
      <c r="E28">
        <v>19</v>
      </c>
      <c r="F28">
        <f t="shared" si="0"/>
        <v>9</v>
      </c>
      <c r="H28" s="12">
        <v>27</v>
      </c>
      <c r="I28" s="19">
        <v>3</v>
      </c>
      <c r="J28" t="str">
        <f t="shared" si="1"/>
        <v>Dim KouKan11 as string</v>
      </c>
      <c r="K28" t="str">
        <f t="shared" si="2"/>
        <v>KouKan11 = Mid(InputStr, 11, 9)</v>
      </c>
      <c r="L28" t="str">
        <f t="shared" si="3"/>
        <v>strAry(3) = Mid(pStr, 11, 9)</v>
      </c>
      <c r="M28" t="str">
        <f t="shared" si="4"/>
        <v>Cells(pPos, 27)=strAry(3)</v>
      </c>
    </row>
    <row r="29" spans="1:13" x14ac:dyDescent="0.25">
      <c r="A29" s="1" t="s">
        <v>37</v>
      </c>
      <c r="B29" s="1" t="s">
        <v>94</v>
      </c>
      <c r="C29" t="s">
        <v>38</v>
      </c>
      <c r="D29">
        <v>20</v>
      </c>
      <c r="E29">
        <v>28</v>
      </c>
      <c r="F29">
        <f t="shared" si="0"/>
        <v>9</v>
      </c>
      <c r="H29" s="12">
        <v>28</v>
      </c>
      <c r="I29" s="19">
        <v>4</v>
      </c>
      <c r="J29" t="str">
        <f t="shared" si="1"/>
        <v>Dim KouKan12 as string</v>
      </c>
      <c r="K29" t="str">
        <f t="shared" si="2"/>
        <v>KouKan12 = Mid(InputStr, 20, 9)</v>
      </c>
      <c r="L29" t="str">
        <f t="shared" si="3"/>
        <v>strAry(4) = Mid(pStr, 20, 9)</v>
      </c>
      <c r="M29" t="str">
        <f t="shared" si="4"/>
        <v>Cells(pPos, 28)=strAry(4)</v>
      </c>
    </row>
    <row r="30" spans="1:13" x14ac:dyDescent="0.25">
      <c r="A30" s="1" t="s">
        <v>39</v>
      </c>
      <c r="B30" s="1" t="s">
        <v>90</v>
      </c>
      <c r="C30" t="s">
        <v>40</v>
      </c>
      <c r="D30">
        <v>29</v>
      </c>
      <c r="E30">
        <v>37</v>
      </c>
      <c r="F30">
        <f t="shared" si="0"/>
        <v>9</v>
      </c>
      <c r="H30" s="12">
        <v>29</v>
      </c>
      <c r="I30" s="19">
        <v>5</v>
      </c>
      <c r="J30" t="str">
        <f t="shared" si="1"/>
        <v>Dim Amt12 as string</v>
      </c>
      <c r="K30" t="str">
        <f t="shared" si="2"/>
        <v>Amt12 = Mid(InputStr, 29, 9)</v>
      </c>
      <c r="L30" t="str">
        <f t="shared" si="3"/>
        <v>strAry(5) = Mid(pStr, 29, 9)</v>
      </c>
      <c r="M30" t="str">
        <f t="shared" si="4"/>
        <v>Cells(pPos, 29)=strAry(5)</v>
      </c>
    </row>
    <row r="32" spans="1:13" s="15" customFormat="1" x14ac:dyDescent="0.25">
      <c r="A32" s="4" t="s">
        <v>0</v>
      </c>
      <c r="B32" s="4" t="s">
        <v>77</v>
      </c>
      <c r="C32" s="5"/>
      <c r="D32" s="5">
        <v>42</v>
      </c>
      <c r="E32" s="5">
        <v>42</v>
      </c>
      <c r="F32" s="5">
        <f>E32-D32+1</f>
        <v>1</v>
      </c>
      <c r="G32" s="6" t="s">
        <v>49</v>
      </c>
      <c r="H32" s="12">
        <v>13</v>
      </c>
      <c r="I32" s="16">
        <v>9</v>
      </c>
      <c r="J32" s="15" t="str">
        <f>"Dim " &amp; B32 &amp; " as string"</f>
        <v>Dim c as string</v>
      </c>
      <c r="K32" s="15" t="str">
        <f>B32 &amp; " = " &amp; "Mid(InputStr, " &amp; D32 &amp; ", " &amp; F32 &amp; ")"</f>
        <v>c = Mid(InputStr, 42, 1)</v>
      </c>
      <c r="L32" s="15" t="str">
        <f>"strAry(" &amp; I32 &amp; ") = " &amp; "Mid(InputStr, " &amp; D32 &amp; ", " &amp; F32 &amp; ")"</f>
        <v>strAry(9) = Mid(InputStr, 42, 1)</v>
      </c>
    </row>
    <row r="33" spans="1:12" x14ac:dyDescent="0.25">
      <c r="A33" s="13"/>
      <c r="B33" s="13" t="s">
        <v>86</v>
      </c>
      <c r="C33" s="5"/>
      <c r="D33" s="5">
        <v>120</v>
      </c>
      <c r="E33" s="5">
        <v>120</v>
      </c>
      <c r="F33" s="5">
        <f>E33-D33+1</f>
        <v>1</v>
      </c>
      <c r="G33" s="6" t="s">
        <v>58</v>
      </c>
      <c r="H33" s="12">
        <v>24</v>
      </c>
      <c r="I33" s="12">
        <v>20</v>
      </c>
      <c r="J33" t="str">
        <f>"Dim " &amp; B33 &amp; " as string"</f>
        <v>Dim cc as string</v>
      </c>
      <c r="K33" t="str">
        <f>B33 &amp; " = " &amp; "Mid(InputStr, " &amp; D33 &amp; ", " &amp; F33 &amp; ")"</f>
        <v>cc = Mid(InputStr, 120, 1)</v>
      </c>
      <c r="L33" t="str">
        <f>"strAry(" &amp; I33 &amp; ") = " &amp; "Mid(InputStr, " &amp; D33 &amp; ", " &amp; F33 &amp; ")"</f>
        <v>strAry(20) = Mid(InputStr, 120, 1)</v>
      </c>
    </row>
  </sheetData>
  <phoneticPr fontId="3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P511"/>
  <sheetViews>
    <sheetView topLeftCell="Y1" workbookViewId="0">
      <pane ySplit="3" topLeftCell="A232" activePane="bottomLeft" state="frozen"/>
      <selection pane="bottomLeft" activeCell="AH203" sqref="AH203"/>
    </sheetView>
  </sheetViews>
  <sheetFormatPr defaultRowHeight="16.5" x14ac:dyDescent="0.25"/>
  <cols>
    <col min="1" max="1" width="4.625" style="24" customWidth="1"/>
    <col min="2" max="2" width="8.375" style="24" customWidth="1"/>
    <col min="3" max="3" width="7.625" style="24" customWidth="1"/>
    <col min="4" max="4" width="7.125" style="24" customWidth="1"/>
    <col min="5" max="5" width="4.125" style="24" customWidth="1"/>
    <col min="6" max="6" width="8.625" style="24" customWidth="1"/>
    <col min="7" max="7" width="4" customWidth="1"/>
    <col min="8" max="8" width="3.625" customWidth="1"/>
    <col min="9" max="9" width="8.75" style="22" customWidth="1"/>
    <col min="10" max="10" width="12.625" style="22" customWidth="1"/>
    <col min="11" max="11" width="3.5" customWidth="1"/>
    <col min="12" max="12" width="12.75" customWidth="1"/>
    <col min="13" max="13" width="6.75" customWidth="1"/>
    <col min="14" max="14" width="6.375" bestFit="1" customWidth="1"/>
    <col min="15" max="15" width="7.75" customWidth="1"/>
    <col min="16" max="16" width="4.125" customWidth="1"/>
    <col min="17" max="17" width="11.25" style="29" customWidth="1"/>
    <col min="20" max="20" width="6.25" bestFit="1" customWidth="1"/>
    <col min="23" max="23" width="7.25" customWidth="1"/>
    <col min="24" max="24" width="7" customWidth="1"/>
    <col min="25" max="25" width="4.75" bestFit="1" customWidth="1"/>
    <col min="26" max="26" width="10.75" customWidth="1"/>
    <col min="30" max="30" width="5.625" customWidth="1"/>
    <col min="31" max="31" width="10.875" style="24" customWidth="1"/>
    <col min="32" max="32" width="10.25" style="24" customWidth="1"/>
    <col min="33" max="34" width="9" style="24"/>
    <col min="36" max="36" width="10.5" style="29" bestFit="1" customWidth="1"/>
    <col min="37" max="37" width="9" style="24"/>
    <col min="38" max="38" width="6.5" style="24" customWidth="1"/>
    <col min="39" max="39" width="7.375" style="24" customWidth="1"/>
    <col min="40" max="40" width="12.75" style="24" customWidth="1"/>
    <col min="41" max="41" width="11.375" style="24" customWidth="1"/>
    <col min="42" max="42" width="5.25" customWidth="1"/>
    <col min="43" max="43" width="9" customWidth="1"/>
  </cols>
  <sheetData>
    <row r="1" spans="1:42" s="9" customFormat="1" ht="21.75" customHeight="1" x14ac:dyDescent="0.25">
      <c r="A1" s="23" t="s">
        <v>65</v>
      </c>
      <c r="B1" s="23"/>
      <c r="C1" s="44" t="s">
        <v>98</v>
      </c>
      <c r="D1" s="44"/>
      <c r="E1" s="44"/>
      <c r="F1" s="44"/>
      <c r="H1" s="9" t="s">
        <v>66</v>
      </c>
      <c r="I1" s="20"/>
      <c r="J1" s="45" t="s">
        <v>146</v>
      </c>
      <c r="K1" s="45"/>
      <c r="L1" s="45"/>
      <c r="M1" s="45"/>
      <c r="N1" s="45"/>
      <c r="O1" s="45"/>
      <c r="Q1" s="27"/>
      <c r="AE1" s="23"/>
      <c r="AF1" s="23"/>
      <c r="AG1" s="23"/>
      <c r="AH1" s="23"/>
      <c r="AJ1" s="27"/>
      <c r="AK1" s="23"/>
      <c r="AL1" s="23"/>
      <c r="AM1" s="23"/>
      <c r="AN1" s="23"/>
      <c r="AO1" s="23"/>
      <c r="AP1" s="8"/>
    </row>
    <row r="2" spans="1:42" s="12" customFormat="1" x14ac:dyDescent="0.25">
      <c r="A2" s="33">
        <v>1</v>
      </c>
      <c r="B2" s="33">
        <v>2</v>
      </c>
      <c r="C2" s="33">
        <v>3</v>
      </c>
      <c r="D2" s="33">
        <v>4</v>
      </c>
      <c r="E2" s="34">
        <v>1</v>
      </c>
      <c r="F2" s="34">
        <v>2</v>
      </c>
      <c r="G2" s="18">
        <v>3</v>
      </c>
      <c r="H2" s="18">
        <v>4</v>
      </c>
      <c r="I2" s="18">
        <v>5</v>
      </c>
      <c r="J2" s="18">
        <v>6</v>
      </c>
      <c r="K2" s="18">
        <v>7</v>
      </c>
      <c r="L2" s="18">
        <v>8</v>
      </c>
      <c r="M2" s="18">
        <v>10</v>
      </c>
      <c r="N2" s="18">
        <v>11</v>
      </c>
      <c r="O2" s="18">
        <v>12</v>
      </c>
      <c r="P2" s="18">
        <v>13</v>
      </c>
      <c r="Q2" s="30">
        <v>14</v>
      </c>
      <c r="R2" s="18">
        <v>15</v>
      </c>
      <c r="S2" s="18">
        <v>16</v>
      </c>
      <c r="T2" s="18">
        <v>17</v>
      </c>
      <c r="U2" s="18">
        <v>18</v>
      </c>
      <c r="V2" s="18">
        <v>19</v>
      </c>
      <c r="W2" s="18">
        <v>21</v>
      </c>
      <c r="X2" s="18">
        <v>22</v>
      </c>
      <c r="Y2" s="17">
        <v>1</v>
      </c>
      <c r="Z2" s="17">
        <v>2</v>
      </c>
      <c r="AA2" s="17">
        <v>3</v>
      </c>
      <c r="AB2" s="17">
        <v>4</v>
      </c>
      <c r="AC2" s="17">
        <v>5</v>
      </c>
      <c r="AE2" s="3"/>
      <c r="AF2" s="3"/>
      <c r="AG2" s="3"/>
      <c r="AH2" s="3"/>
      <c r="AJ2" s="31"/>
      <c r="AK2" s="3"/>
      <c r="AL2" s="3"/>
      <c r="AM2" s="3"/>
      <c r="AN2" s="3"/>
      <c r="AO2" s="3"/>
      <c r="AP2">
        <f>V2-ROUND(O2*Q2,0)</f>
        <v>-149</v>
      </c>
    </row>
    <row r="3" spans="1:42" s="8" customFormat="1" ht="14.25" x14ac:dyDescent="0.25">
      <c r="A3" s="35" t="s">
        <v>6</v>
      </c>
      <c r="B3" s="36" t="s">
        <v>8</v>
      </c>
      <c r="C3" s="36" t="s">
        <v>10</v>
      </c>
      <c r="D3" s="36" t="s">
        <v>11</v>
      </c>
      <c r="E3" s="35" t="s">
        <v>13</v>
      </c>
      <c r="F3" s="36" t="s">
        <v>15</v>
      </c>
      <c r="G3" s="8" t="s">
        <v>17</v>
      </c>
      <c r="H3" s="8" t="s">
        <v>19</v>
      </c>
      <c r="I3" s="21" t="s">
        <v>22</v>
      </c>
      <c r="J3" s="21" t="s">
        <v>45</v>
      </c>
      <c r="K3" s="8" t="s">
        <v>25</v>
      </c>
      <c r="L3" s="8" t="s">
        <v>64</v>
      </c>
      <c r="M3" s="8" t="s">
        <v>52</v>
      </c>
      <c r="N3" s="8" t="s">
        <v>28</v>
      </c>
      <c r="O3" s="8" t="s">
        <v>50</v>
      </c>
      <c r="P3" s="8" t="s">
        <v>30</v>
      </c>
      <c r="Q3" s="28" t="s">
        <v>53</v>
      </c>
      <c r="R3" s="8" t="s">
        <v>34</v>
      </c>
      <c r="S3" s="8" t="s">
        <v>55</v>
      </c>
      <c r="T3" s="8" t="s">
        <v>36</v>
      </c>
      <c r="U3" s="8" t="s">
        <v>38</v>
      </c>
      <c r="V3" s="8" t="s">
        <v>40</v>
      </c>
      <c r="W3" s="8" t="s">
        <v>42</v>
      </c>
      <c r="X3" s="8" t="s">
        <v>44</v>
      </c>
      <c r="Y3" s="14" t="s">
        <v>32</v>
      </c>
      <c r="Z3" s="8" t="s">
        <v>34</v>
      </c>
      <c r="AA3" s="8" t="s">
        <v>36</v>
      </c>
      <c r="AB3" s="8" t="s">
        <v>38</v>
      </c>
      <c r="AC3" s="8" t="s">
        <v>40</v>
      </c>
      <c r="AD3" s="25" t="s">
        <v>127</v>
      </c>
      <c r="AE3" s="25" t="s">
        <v>45</v>
      </c>
      <c r="AF3" s="26" t="s">
        <v>128</v>
      </c>
      <c r="AG3" s="26" t="s">
        <v>129</v>
      </c>
      <c r="AH3" s="26" t="s">
        <v>130</v>
      </c>
      <c r="AI3" s="25" t="s">
        <v>131</v>
      </c>
      <c r="AJ3" s="32" t="s">
        <v>132</v>
      </c>
      <c r="AK3" s="26" t="s">
        <v>133</v>
      </c>
      <c r="AL3" s="25" t="s">
        <v>134</v>
      </c>
      <c r="AM3" s="25" t="s">
        <v>135</v>
      </c>
      <c r="AN3" s="26" t="s">
        <v>136</v>
      </c>
      <c r="AO3" s="26" t="s">
        <v>137</v>
      </c>
      <c r="AP3" s="8" t="s">
        <v>199</v>
      </c>
    </row>
    <row r="4" spans="1:42" x14ac:dyDescent="0.25">
      <c r="A4" s="24" t="s">
        <v>138</v>
      </c>
      <c r="B4" s="24" t="s">
        <v>99</v>
      </c>
      <c r="C4" s="24" t="s">
        <v>200</v>
      </c>
      <c r="D4" s="24" t="s">
        <v>201</v>
      </c>
      <c r="E4" s="24" t="s">
        <v>139</v>
      </c>
      <c r="F4" s="24" t="s">
        <v>202</v>
      </c>
      <c r="G4">
        <v>1</v>
      </c>
      <c r="H4" t="s">
        <v>100</v>
      </c>
      <c r="I4" s="22" t="s">
        <v>141</v>
      </c>
      <c r="J4" s="22" t="s">
        <v>147</v>
      </c>
      <c r="K4" t="s">
        <v>101</v>
      </c>
      <c r="L4" t="s">
        <v>203</v>
      </c>
      <c r="M4">
        <v>9</v>
      </c>
      <c r="N4">
        <v>3</v>
      </c>
      <c r="O4">
        <v>3</v>
      </c>
      <c r="P4" t="s">
        <v>103</v>
      </c>
      <c r="Q4" s="29">
        <v>5272.6</v>
      </c>
      <c r="R4">
        <v>15818</v>
      </c>
      <c r="S4">
        <v>20150119</v>
      </c>
      <c r="T4">
        <v>0</v>
      </c>
      <c r="U4">
        <v>0</v>
      </c>
      <c r="V4">
        <v>15818</v>
      </c>
      <c r="W4" t="s">
        <v>104</v>
      </c>
      <c r="X4" t="s">
        <v>105</v>
      </c>
      <c r="Y4">
        <v>3</v>
      </c>
      <c r="Z4">
        <v>21287</v>
      </c>
      <c r="AA4">
        <v>0</v>
      </c>
      <c r="AB4">
        <v>0</v>
      </c>
      <c r="AC4">
        <v>21287</v>
      </c>
      <c r="AD4">
        <v>1</v>
      </c>
      <c r="AE4" s="24" t="s">
        <v>147</v>
      </c>
      <c r="AF4" s="24" t="s">
        <v>160</v>
      </c>
      <c r="AG4" s="24" t="s">
        <v>160</v>
      </c>
      <c r="AH4" s="24" t="s">
        <v>160</v>
      </c>
      <c r="AI4" t="s">
        <v>160</v>
      </c>
      <c r="AJ4" s="29" t="s">
        <v>160</v>
      </c>
      <c r="AK4" s="24" t="s">
        <v>160</v>
      </c>
      <c r="AL4" s="24" t="s">
        <v>160</v>
      </c>
      <c r="AM4" s="24" t="s">
        <v>160</v>
      </c>
      <c r="AN4" s="24" t="s">
        <v>160</v>
      </c>
      <c r="AO4" s="24" t="s">
        <v>160</v>
      </c>
      <c r="AP4" s="41"/>
    </row>
    <row r="5" spans="1:42" x14ac:dyDescent="0.25">
      <c r="E5" s="24" t="s">
        <v>139</v>
      </c>
      <c r="F5" s="24" t="s">
        <v>202</v>
      </c>
      <c r="G5">
        <v>2</v>
      </c>
      <c r="H5" t="s">
        <v>100</v>
      </c>
      <c r="I5" s="22" t="s">
        <v>145</v>
      </c>
      <c r="J5" s="22" t="s">
        <v>148</v>
      </c>
      <c r="K5" t="s">
        <v>101</v>
      </c>
      <c r="L5" t="s">
        <v>115</v>
      </c>
      <c r="M5">
        <v>9</v>
      </c>
      <c r="N5">
        <v>2</v>
      </c>
      <c r="O5">
        <v>2</v>
      </c>
      <c r="P5" t="s">
        <v>103</v>
      </c>
      <c r="Q5" s="29">
        <v>2659.05</v>
      </c>
      <c r="R5">
        <v>5318</v>
      </c>
      <c r="S5">
        <v>20150113</v>
      </c>
      <c r="T5">
        <v>0</v>
      </c>
      <c r="U5">
        <v>0</v>
      </c>
      <c r="V5">
        <v>5318</v>
      </c>
      <c r="W5" t="s">
        <v>104</v>
      </c>
      <c r="X5" t="s">
        <v>105</v>
      </c>
      <c r="AD5">
        <v>2</v>
      </c>
      <c r="AE5" s="24" t="s">
        <v>148</v>
      </c>
      <c r="AF5" s="24" t="s">
        <v>160</v>
      </c>
      <c r="AG5" s="24" t="s">
        <v>160</v>
      </c>
      <c r="AH5" s="24" t="s">
        <v>160</v>
      </c>
      <c r="AI5" t="s">
        <v>160</v>
      </c>
      <c r="AJ5" s="29" t="s">
        <v>160</v>
      </c>
      <c r="AK5" s="24" t="s">
        <v>160</v>
      </c>
      <c r="AL5" s="24" t="s">
        <v>160</v>
      </c>
      <c r="AM5" s="24" t="s">
        <v>160</v>
      </c>
      <c r="AN5" s="24" t="s">
        <v>160</v>
      </c>
      <c r="AO5" s="24" t="s">
        <v>160</v>
      </c>
      <c r="AP5" s="41"/>
    </row>
    <row r="6" spans="1:42" x14ac:dyDescent="0.25">
      <c r="E6" s="24" t="s">
        <v>139</v>
      </c>
      <c r="F6" s="24" t="s">
        <v>202</v>
      </c>
      <c r="G6">
        <v>3</v>
      </c>
      <c r="H6" t="s">
        <v>100</v>
      </c>
      <c r="I6" s="22" t="s">
        <v>204</v>
      </c>
      <c r="J6" s="22" t="s">
        <v>149</v>
      </c>
      <c r="K6" t="s">
        <v>101</v>
      </c>
      <c r="L6" t="s">
        <v>150</v>
      </c>
      <c r="M6">
        <v>9</v>
      </c>
      <c r="N6">
        <v>20</v>
      </c>
      <c r="O6">
        <v>20</v>
      </c>
      <c r="P6" t="s">
        <v>103</v>
      </c>
      <c r="Q6" s="29">
        <v>7.53</v>
      </c>
      <c r="R6">
        <v>151</v>
      </c>
      <c r="S6">
        <v>20150113</v>
      </c>
      <c r="T6">
        <v>0</v>
      </c>
      <c r="U6">
        <v>0</v>
      </c>
      <c r="V6">
        <v>151</v>
      </c>
      <c r="W6" t="s">
        <v>104</v>
      </c>
      <c r="X6" t="s">
        <v>105</v>
      </c>
      <c r="AD6">
        <v>3</v>
      </c>
      <c r="AE6" s="24" t="s">
        <v>149</v>
      </c>
      <c r="AF6" s="24" t="s">
        <v>160</v>
      </c>
      <c r="AG6" s="24" t="s">
        <v>160</v>
      </c>
      <c r="AH6" s="24" t="s">
        <v>160</v>
      </c>
      <c r="AI6" t="s">
        <v>160</v>
      </c>
      <c r="AJ6" s="29" t="s">
        <v>160</v>
      </c>
      <c r="AK6" s="24" t="s">
        <v>160</v>
      </c>
      <c r="AL6" s="24" t="s">
        <v>160</v>
      </c>
      <c r="AM6" s="24" t="s">
        <v>160</v>
      </c>
      <c r="AN6" s="24" t="s">
        <v>160</v>
      </c>
      <c r="AO6" s="24" t="s">
        <v>160</v>
      </c>
      <c r="AP6" s="41"/>
    </row>
    <row r="7" spans="1:42" x14ac:dyDescent="0.25">
      <c r="E7" s="24" t="s">
        <v>139</v>
      </c>
      <c r="F7" s="24" t="s">
        <v>205</v>
      </c>
      <c r="G7">
        <v>1</v>
      </c>
      <c r="H7" t="s">
        <v>100</v>
      </c>
      <c r="I7" s="22" t="s">
        <v>112</v>
      </c>
      <c r="J7" s="22" t="s">
        <v>151</v>
      </c>
      <c r="K7" t="s">
        <v>101</v>
      </c>
      <c r="L7" t="s">
        <v>114</v>
      </c>
      <c r="M7">
        <v>9</v>
      </c>
      <c r="N7">
        <v>10</v>
      </c>
      <c r="O7">
        <v>10</v>
      </c>
      <c r="P7" t="s">
        <v>103</v>
      </c>
      <c r="Q7" s="29">
        <v>99.88</v>
      </c>
      <c r="R7">
        <v>999</v>
      </c>
      <c r="S7">
        <v>20150127</v>
      </c>
      <c r="T7">
        <v>0</v>
      </c>
      <c r="U7">
        <v>0</v>
      </c>
      <c r="V7">
        <v>999</v>
      </c>
      <c r="W7" t="s">
        <v>104</v>
      </c>
      <c r="X7" t="s">
        <v>105</v>
      </c>
      <c r="Y7">
        <v>3</v>
      </c>
      <c r="Z7">
        <v>6519</v>
      </c>
      <c r="AA7">
        <v>0</v>
      </c>
      <c r="AB7">
        <v>0</v>
      </c>
      <c r="AC7">
        <v>6519</v>
      </c>
      <c r="AD7">
        <v>4</v>
      </c>
      <c r="AE7" s="24" t="s">
        <v>151</v>
      </c>
      <c r="AF7" s="24" t="s">
        <v>160</v>
      </c>
      <c r="AG7" s="24" t="s">
        <v>160</v>
      </c>
      <c r="AH7" s="24" t="s">
        <v>160</v>
      </c>
      <c r="AI7" t="s">
        <v>160</v>
      </c>
      <c r="AJ7" s="29" t="s">
        <v>160</v>
      </c>
      <c r="AK7" s="24" t="s">
        <v>160</v>
      </c>
      <c r="AL7" s="24" t="s">
        <v>160</v>
      </c>
      <c r="AM7" s="24" t="s">
        <v>160</v>
      </c>
      <c r="AN7" s="24" t="s">
        <v>160</v>
      </c>
      <c r="AO7" s="24" t="s">
        <v>160</v>
      </c>
      <c r="AP7" s="41"/>
    </row>
    <row r="8" spans="1:42" x14ac:dyDescent="0.25">
      <c r="E8" s="24" t="s">
        <v>139</v>
      </c>
      <c r="F8" s="24" t="s">
        <v>205</v>
      </c>
      <c r="G8">
        <v>2</v>
      </c>
      <c r="H8" t="s">
        <v>100</v>
      </c>
      <c r="I8" s="22" t="s">
        <v>152</v>
      </c>
      <c r="J8" s="22" t="s">
        <v>153</v>
      </c>
      <c r="K8" t="s">
        <v>101</v>
      </c>
      <c r="L8" t="s">
        <v>154</v>
      </c>
      <c r="M8">
        <v>9</v>
      </c>
      <c r="N8">
        <v>2</v>
      </c>
      <c r="O8">
        <v>2</v>
      </c>
      <c r="P8" t="s">
        <v>103</v>
      </c>
      <c r="Q8" s="29">
        <v>2712.81</v>
      </c>
      <c r="R8">
        <v>5426</v>
      </c>
      <c r="S8">
        <v>20150127</v>
      </c>
      <c r="T8">
        <v>0</v>
      </c>
      <c r="U8">
        <v>0</v>
      </c>
      <c r="V8">
        <v>5426</v>
      </c>
      <c r="W8" t="s">
        <v>104</v>
      </c>
      <c r="X8" t="s">
        <v>105</v>
      </c>
      <c r="AD8">
        <v>5</v>
      </c>
      <c r="AE8" s="24" t="s">
        <v>153</v>
      </c>
      <c r="AF8" s="24" t="s">
        <v>160</v>
      </c>
      <c r="AG8" s="24" t="s">
        <v>160</v>
      </c>
      <c r="AH8" s="24" t="s">
        <v>160</v>
      </c>
      <c r="AI8" t="s">
        <v>160</v>
      </c>
      <c r="AJ8" s="29" t="s">
        <v>160</v>
      </c>
      <c r="AK8" s="24" t="s">
        <v>160</v>
      </c>
      <c r="AL8" s="24" t="s">
        <v>160</v>
      </c>
      <c r="AM8" s="24" t="s">
        <v>160</v>
      </c>
      <c r="AN8" s="24" t="s">
        <v>160</v>
      </c>
      <c r="AO8" s="24" t="s">
        <v>160</v>
      </c>
      <c r="AP8" s="41"/>
    </row>
    <row r="9" spans="1:42" x14ac:dyDescent="0.25">
      <c r="E9" s="24" t="s">
        <v>139</v>
      </c>
      <c r="F9" s="24" t="s">
        <v>205</v>
      </c>
      <c r="G9">
        <v>3</v>
      </c>
      <c r="H9" t="s">
        <v>100</v>
      </c>
      <c r="I9" s="22" t="s">
        <v>112</v>
      </c>
      <c r="J9" s="22" t="s">
        <v>155</v>
      </c>
      <c r="K9" t="s">
        <v>101</v>
      </c>
      <c r="L9" t="s">
        <v>122</v>
      </c>
      <c r="M9">
        <v>9</v>
      </c>
      <c r="N9">
        <v>5</v>
      </c>
      <c r="O9">
        <v>5</v>
      </c>
      <c r="P9" t="s">
        <v>103</v>
      </c>
      <c r="Q9" s="29">
        <v>18.739999999999998</v>
      </c>
      <c r="R9">
        <v>94</v>
      </c>
      <c r="S9">
        <v>20150127</v>
      </c>
      <c r="T9">
        <v>0</v>
      </c>
      <c r="U9">
        <v>0</v>
      </c>
      <c r="V9">
        <v>94</v>
      </c>
      <c r="W9" t="s">
        <v>104</v>
      </c>
      <c r="X9" t="s">
        <v>105</v>
      </c>
      <c r="AD9">
        <v>6</v>
      </c>
      <c r="AE9" s="24" t="s">
        <v>155</v>
      </c>
      <c r="AF9" s="24" t="s">
        <v>160</v>
      </c>
      <c r="AG9" s="24" t="s">
        <v>160</v>
      </c>
      <c r="AH9" s="24" t="s">
        <v>160</v>
      </c>
      <c r="AI9" t="s">
        <v>160</v>
      </c>
      <c r="AJ9" s="29" t="s">
        <v>160</v>
      </c>
      <c r="AK9" s="24" t="s">
        <v>160</v>
      </c>
      <c r="AL9" s="24" t="s">
        <v>160</v>
      </c>
      <c r="AM9" s="24" t="s">
        <v>160</v>
      </c>
      <c r="AN9" s="24" t="s">
        <v>160</v>
      </c>
      <c r="AO9" s="24" t="s">
        <v>160</v>
      </c>
      <c r="AP9" s="41"/>
    </row>
    <row r="10" spans="1:42" x14ac:dyDescent="0.25">
      <c r="A10" s="24" t="s">
        <v>138</v>
      </c>
      <c r="B10" s="24" t="s">
        <v>99</v>
      </c>
      <c r="C10" s="24" t="s">
        <v>200</v>
      </c>
      <c r="D10" s="24" t="s">
        <v>201</v>
      </c>
      <c r="E10" s="24" t="s">
        <v>139</v>
      </c>
      <c r="F10" s="24" t="s">
        <v>206</v>
      </c>
      <c r="G10">
        <v>1</v>
      </c>
      <c r="H10" t="s">
        <v>100</v>
      </c>
      <c r="I10" s="22" t="s">
        <v>207</v>
      </c>
      <c r="J10" s="22">
        <v>1075347501</v>
      </c>
      <c r="K10" t="s">
        <v>101</v>
      </c>
      <c r="L10" t="s">
        <v>208</v>
      </c>
      <c r="M10">
        <v>9</v>
      </c>
      <c r="N10">
        <v>5</v>
      </c>
      <c r="O10">
        <v>5</v>
      </c>
      <c r="P10" t="s">
        <v>103</v>
      </c>
      <c r="Q10" s="29">
        <v>5305.56</v>
      </c>
      <c r="R10">
        <v>26528</v>
      </c>
      <c r="S10">
        <v>20150113</v>
      </c>
      <c r="T10">
        <v>0</v>
      </c>
      <c r="U10">
        <v>0</v>
      </c>
      <c r="V10">
        <v>26528</v>
      </c>
      <c r="W10" t="s">
        <v>104</v>
      </c>
      <c r="X10" t="s">
        <v>105</v>
      </c>
      <c r="Y10">
        <v>3</v>
      </c>
      <c r="Z10">
        <v>1172528</v>
      </c>
      <c r="AA10">
        <v>0</v>
      </c>
      <c r="AB10">
        <v>0</v>
      </c>
      <c r="AC10">
        <v>1172528</v>
      </c>
      <c r="AD10">
        <v>7</v>
      </c>
      <c r="AE10" s="24" t="s">
        <v>241</v>
      </c>
      <c r="AF10" s="24" t="s">
        <v>160</v>
      </c>
      <c r="AG10" s="24" t="s">
        <v>160</v>
      </c>
      <c r="AH10" s="24" t="s">
        <v>160</v>
      </c>
      <c r="AI10" t="s">
        <v>160</v>
      </c>
      <c r="AJ10" s="29" t="s">
        <v>160</v>
      </c>
      <c r="AK10" s="24" t="s">
        <v>160</v>
      </c>
      <c r="AL10" s="24" t="s">
        <v>160</v>
      </c>
      <c r="AM10" s="24" t="s">
        <v>160</v>
      </c>
      <c r="AN10" s="24" t="s">
        <v>160</v>
      </c>
      <c r="AO10" s="24" t="s">
        <v>160</v>
      </c>
      <c r="AP10" s="41"/>
    </row>
    <row r="11" spans="1:42" x14ac:dyDescent="0.25">
      <c r="E11" s="24" t="s">
        <v>139</v>
      </c>
      <c r="F11" s="24" t="s">
        <v>206</v>
      </c>
      <c r="G11">
        <v>2</v>
      </c>
      <c r="H11" t="s">
        <v>100</v>
      </c>
      <c r="I11" s="22" t="s">
        <v>207</v>
      </c>
      <c r="J11" s="22">
        <v>1074230001</v>
      </c>
      <c r="K11" t="s">
        <v>101</v>
      </c>
      <c r="L11" t="s">
        <v>208</v>
      </c>
      <c r="M11">
        <v>9</v>
      </c>
      <c r="N11">
        <v>9</v>
      </c>
      <c r="O11">
        <v>9</v>
      </c>
      <c r="P11" t="s">
        <v>103</v>
      </c>
      <c r="Q11" s="29">
        <v>5305.56</v>
      </c>
      <c r="R11">
        <v>47750</v>
      </c>
      <c r="S11">
        <v>20150109</v>
      </c>
      <c r="T11">
        <v>0</v>
      </c>
      <c r="U11">
        <v>0</v>
      </c>
      <c r="V11">
        <v>47750</v>
      </c>
      <c r="W11" t="s">
        <v>104</v>
      </c>
      <c r="X11" t="s">
        <v>105</v>
      </c>
      <c r="Y11" s="15"/>
      <c r="Z11" s="15"/>
      <c r="AA11" s="15"/>
      <c r="AB11" s="15"/>
      <c r="AC11" s="15"/>
      <c r="AD11">
        <v>8</v>
      </c>
      <c r="AE11" s="24" t="s">
        <v>242</v>
      </c>
      <c r="AF11" s="24" t="s">
        <v>160</v>
      </c>
      <c r="AG11" s="24" t="s">
        <v>160</v>
      </c>
      <c r="AH11" s="24" t="s">
        <v>160</v>
      </c>
      <c r="AI11" t="s">
        <v>160</v>
      </c>
      <c r="AJ11" s="29" t="s">
        <v>160</v>
      </c>
      <c r="AK11" s="24" t="s">
        <v>160</v>
      </c>
      <c r="AL11" s="24" t="s">
        <v>160</v>
      </c>
      <c r="AM11" s="24" t="s">
        <v>160</v>
      </c>
      <c r="AN11" s="24" t="s">
        <v>160</v>
      </c>
      <c r="AO11" s="24" t="s">
        <v>160</v>
      </c>
      <c r="AP11" s="41"/>
    </row>
    <row r="12" spans="1:42" x14ac:dyDescent="0.25">
      <c r="E12" s="24" t="s">
        <v>139</v>
      </c>
      <c r="F12" s="24" t="s">
        <v>206</v>
      </c>
      <c r="G12">
        <v>3</v>
      </c>
      <c r="H12" t="s">
        <v>100</v>
      </c>
      <c r="I12" s="22" t="s">
        <v>207</v>
      </c>
      <c r="J12" s="22">
        <v>1073013601</v>
      </c>
      <c r="K12" t="s">
        <v>101</v>
      </c>
      <c r="L12" t="s">
        <v>208</v>
      </c>
      <c r="M12">
        <v>9</v>
      </c>
      <c r="N12">
        <v>4</v>
      </c>
      <c r="O12">
        <v>4</v>
      </c>
      <c r="P12" t="s">
        <v>103</v>
      </c>
      <c r="Q12" s="29">
        <v>5305.56</v>
      </c>
      <c r="R12">
        <v>21222</v>
      </c>
      <c r="S12">
        <v>20150107</v>
      </c>
      <c r="T12">
        <v>0</v>
      </c>
      <c r="U12">
        <v>0</v>
      </c>
      <c r="V12">
        <v>21222</v>
      </c>
      <c r="W12" t="s">
        <v>104</v>
      </c>
      <c r="X12" t="s">
        <v>105</v>
      </c>
      <c r="AD12">
        <v>9</v>
      </c>
      <c r="AE12" s="24" t="s">
        <v>243</v>
      </c>
      <c r="AF12" s="24" t="s">
        <v>160</v>
      </c>
      <c r="AG12" s="24" t="s">
        <v>160</v>
      </c>
      <c r="AH12" s="24" t="s">
        <v>160</v>
      </c>
      <c r="AI12" t="s">
        <v>160</v>
      </c>
      <c r="AJ12" s="29" t="s">
        <v>160</v>
      </c>
      <c r="AK12" s="24" t="s">
        <v>160</v>
      </c>
      <c r="AL12" s="24" t="s">
        <v>160</v>
      </c>
      <c r="AM12" s="24" t="s">
        <v>160</v>
      </c>
      <c r="AN12" s="24" t="s">
        <v>160</v>
      </c>
      <c r="AO12" s="24" t="s">
        <v>160</v>
      </c>
      <c r="AP12" s="41"/>
    </row>
    <row r="13" spans="1:42" x14ac:dyDescent="0.25">
      <c r="A13" s="37"/>
      <c r="B13" s="37"/>
      <c r="C13" s="37"/>
      <c r="D13" s="37"/>
      <c r="E13" s="24" t="s">
        <v>139</v>
      </c>
      <c r="F13" s="24" t="s">
        <v>206</v>
      </c>
      <c r="G13">
        <v>4</v>
      </c>
      <c r="H13" t="s">
        <v>100</v>
      </c>
      <c r="I13" s="22" t="s">
        <v>207</v>
      </c>
      <c r="J13" s="22">
        <v>1072877401</v>
      </c>
      <c r="K13" t="s">
        <v>101</v>
      </c>
      <c r="L13" t="s">
        <v>208</v>
      </c>
      <c r="M13">
        <v>9</v>
      </c>
      <c r="N13">
        <v>14</v>
      </c>
      <c r="O13">
        <v>14</v>
      </c>
      <c r="P13" t="s">
        <v>103</v>
      </c>
      <c r="Q13" s="29">
        <v>5305.56</v>
      </c>
      <c r="R13">
        <v>74278</v>
      </c>
      <c r="S13">
        <v>20150107</v>
      </c>
      <c r="T13">
        <v>0</v>
      </c>
      <c r="U13">
        <v>0</v>
      </c>
      <c r="V13">
        <v>74278</v>
      </c>
      <c r="W13" t="s">
        <v>104</v>
      </c>
      <c r="X13" t="s">
        <v>105</v>
      </c>
      <c r="AD13">
        <v>10</v>
      </c>
      <c r="AE13" s="24" t="s">
        <v>244</v>
      </c>
      <c r="AF13" s="24" t="s">
        <v>160</v>
      </c>
      <c r="AG13" s="24" t="s">
        <v>160</v>
      </c>
      <c r="AH13" s="24" t="s">
        <v>160</v>
      </c>
      <c r="AI13" t="s">
        <v>160</v>
      </c>
      <c r="AJ13" s="29" t="s">
        <v>160</v>
      </c>
      <c r="AK13" s="24" t="s">
        <v>160</v>
      </c>
      <c r="AL13" s="24" t="s">
        <v>160</v>
      </c>
      <c r="AM13" s="24" t="s">
        <v>160</v>
      </c>
      <c r="AN13" s="24" t="s">
        <v>160</v>
      </c>
      <c r="AO13" s="24" t="s">
        <v>160</v>
      </c>
      <c r="AP13" s="41"/>
    </row>
    <row r="14" spans="1:42" x14ac:dyDescent="0.25">
      <c r="E14" s="24" t="s">
        <v>139</v>
      </c>
      <c r="F14" s="24" t="s">
        <v>206</v>
      </c>
      <c r="G14">
        <v>5</v>
      </c>
      <c r="H14" t="s">
        <v>100</v>
      </c>
      <c r="I14" s="22" t="s">
        <v>207</v>
      </c>
      <c r="J14" s="22">
        <v>1063942701</v>
      </c>
      <c r="K14" t="s">
        <v>101</v>
      </c>
      <c r="L14" t="s">
        <v>208</v>
      </c>
      <c r="M14">
        <v>9</v>
      </c>
      <c r="N14">
        <v>13</v>
      </c>
      <c r="O14">
        <v>13</v>
      </c>
      <c r="P14" t="s">
        <v>103</v>
      </c>
      <c r="Q14" s="29">
        <v>5305.56</v>
      </c>
      <c r="R14">
        <v>68972</v>
      </c>
      <c r="S14">
        <v>20141210</v>
      </c>
      <c r="T14">
        <v>0</v>
      </c>
      <c r="U14">
        <v>0</v>
      </c>
      <c r="V14">
        <v>68972</v>
      </c>
      <c r="W14" t="s">
        <v>104</v>
      </c>
      <c r="X14" t="s">
        <v>105</v>
      </c>
      <c r="AD14">
        <v>11</v>
      </c>
      <c r="AE14" s="24" t="s">
        <v>245</v>
      </c>
      <c r="AF14" s="24" t="s">
        <v>160</v>
      </c>
      <c r="AG14" s="24" t="s">
        <v>160</v>
      </c>
      <c r="AH14" s="24" t="s">
        <v>160</v>
      </c>
      <c r="AI14" t="s">
        <v>160</v>
      </c>
      <c r="AJ14" s="29" t="s">
        <v>160</v>
      </c>
      <c r="AK14" s="24" t="s">
        <v>160</v>
      </c>
      <c r="AL14" s="24" t="s">
        <v>160</v>
      </c>
      <c r="AM14" s="24" t="s">
        <v>160</v>
      </c>
      <c r="AN14" s="24" t="s">
        <v>160</v>
      </c>
      <c r="AO14" s="24" t="s">
        <v>160</v>
      </c>
      <c r="AP14" s="41"/>
    </row>
    <row r="15" spans="1:42" x14ac:dyDescent="0.25">
      <c r="E15" s="24" t="s">
        <v>139</v>
      </c>
      <c r="F15" s="24" t="s">
        <v>206</v>
      </c>
      <c r="G15">
        <v>6</v>
      </c>
      <c r="H15" t="s">
        <v>100</v>
      </c>
      <c r="I15" s="22" t="s">
        <v>207</v>
      </c>
      <c r="J15" s="22">
        <v>1064526201</v>
      </c>
      <c r="K15" t="s">
        <v>101</v>
      </c>
      <c r="L15" t="s">
        <v>208</v>
      </c>
      <c r="M15">
        <v>9</v>
      </c>
      <c r="N15">
        <v>11</v>
      </c>
      <c r="O15">
        <v>11</v>
      </c>
      <c r="P15" t="s">
        <v>103</v>
      </c>
      <c r="Q15" s="29">
        <v>5305.56</v>
      </c>
      <c r="R15">
        <v>58361</v>
      </c>
      <c r="S15">
        <v>20141211</v>
      </c>
      <c r="T15">
        <v>0</v>
      </c>
      <c r="U15">
        <v>0</v>
      </c>
      <c r="V15">
        <v>58361</v>
      </c>
      <c r="W15" t="s">
        <v>104</v>
      </c>
      <c r="X15" t="s">
        <v>105</v>
      </c>
      <c r="AD15">
        <v>12</v>
      </c>
      <c r="AE15" s="24" t="s">
        <v>246</v>
      </c>
      <c r="AF15" s="24" t="s">
        <v>160</v>
      </c>
      <c r="AG15" s="24" t="s">
        <v>160</v>
      </c>
      <c r="AH15" s="24" t="s">
        <v>160</v>
      </c>
      <c r="AI15" t="s">
        <v>160</v>
      </c>
      <c r="AJ15" s="29" t="s">
        <v>160</v>
      </c>
      <c r="AK15" s="24" t="s">
        <v>160</v>
      </c>
      <c r="AL15" s="24" t="s">
        <v>160</v>
      </c>
      <c r="AM15" s="24" t="s">
        <v>160</v>
      </c>
      <c r="AN15" s="24" t="s">
        <v>160</v>
      </c>
      <c r="AO15" s="24" t="s">
        <v>160</v>
      </c>
      <c r="AP15" s="41"/>
    </row>
    <row r="16" spans="1:42" x14ac:dyDescent="0.25">
      <c r="E16" s="24" t="s">
        <v>139</v>
      </c>
      <c r="F16" s="24" t="s">
        <v>206</v>
      </c>
      <c r="G16">
        <v>7</v>
      </c>
      <c r="H16" t="s">
        <v>100</v>
      </c>
      <c r="I16" s="22" t="s">
        <v>207</v>
      </c>
      <c r="J16" s="22">
        <v>1064400101</v>
      </c>
      <c r="K16" t="s">
        <v>101</v>
      </c>
      <c r="L16" t="s">
        <v>208</v>
      </c>
      <c r="M16">
        <v>9</v>
      </c>
      <c r="N16">
        <v>15</v>
      </c>
      <c r="O16">
        <v>15</v>
      </c>
      <c r="P16" t="s">
        <v>103</v>
      </c>
      <c r="Q16" s="29">
        <v>5305.56</v>
      </c>
      <c r="R16">
        <v>79583</v>
      </c>
      <c r="S16">
        <v>20141211</v>
      </c>
      <c r="T16">
        <v>0</v>
      </c>
      <c r="U16">
        <v>0</v>
      </c>
      <c r="V16">
        <v>79583</v>
      </c>
      <c r="W16" t="s">
        <v>104</v>
      </c>
      <c r="X16" t="s">
        <v>105</v>
      </c>
      <c r="AD16">
        <v>13</v>
      </c>
      <c r="AE16" s="24" t="s">
        <v>247</v>
      </c>
      <c r="AF16" s="24" t="s">
        <v>160</v>
      </c>
      <c r="AG16" s="24" t="s">
        <v>160</v>
      </c>
      <c r="AH16" s="24" t="s">
        <v>160</v>
      </c>
      <c r="AI16" t="s">
        <v>160</v>
      </c>
      <c r="AJ16" s="29" t="s">
        <v>160</v>
      </c>
      <c r="AK16" s="24" t="s">
        <v>160</v>
      </c>
      <c r="AL16" s="24" t="s">
        <v>160</v>
      </c>
      <c r="AM16" s="24" t="s">
        <v>160</v>
      </c>
      <c r="AN16" s="24" t="s">
        <v>160</v>
      </c>
      <c r="AO16" s="24" t="s">
        <v>160</v>
      </c>
      <c r="AP16" s="41"/>
    </row>
    <row r="17" spans="5:42" x14ac:dyDescent="0.25">
      <c r="E17" s="24" t="s">
        <v>139</v>
      </c>
      <c r="F17" s="24" t="s">
        <v>206</v>
      </c>
      <c r="G17">
        <v>8</v>
      </c>
      <c r="H17" t="s">
        <v>100</v>
      </c>
      <c r="I17" s="22" t="s">
        <v>207</v>
      </c>
      <c r="J17" s="22">
        <v>1065094901</v>
      </c>
      <c r="K17" t="s">
        <v>101</v>
      </c>
      <c r="L17" t="s">
        <v>208</v>
      </c>
      <c r="M17">
        <v>9</v>
      </c>
      <c r="N17">
        <v>12</v>
      </c>
      <c r="O17">
        <v>12</v>
      </c>
      <c r="P17" t="s">
        <v>103</v>
      </c>
      <c r="Q17" s="29">
        <v>5305.56</v>
      </c>
      <c r="R17">
        <v>63667</v>
      </c>
      <c r="S17">
        <v>20141212</v>
      </c>
      <c r="T17">
        <v>0</v>
      </c>
      <c r="U17">
        <v>0</v>
      </c>
      <c r="V17">
        <v>63667</v>
      </c>
      <c r="W17" t="s">
        <v>104</v>
      </c>
      <c r="X17" t="s">
        <v>105</v>
      </c>
      <c r="AD17">
        <v>14</v>
      </c>
      <c r="AE17" s="24" t="s">
        <v>248</v>
      </c>
      <c r="AF17" s="24" t="s">
        <v>160</v>
      </c>
      <c r="AG17" s="24" t="s">
        <v>160</v>
      </c>
      <c r="AH17" s="24" t="s">
        <v>160</v>
      </c>
      <c r="AI17" t="s">
        <v>160</v>
      </c>
      <c r="AJ17" s="29" t="s">
        <v>160</v>
      </c>
      <c r="AK17" s="24" t="s">
        <v>160</v>
      </c>
      <c r="AL17" s="24" t="s">
        <v>160</v>
      </c>
      <c r="AM17" s="24" t="s">
        <v>160</v>
      </c>
      <c r="AN17" s="24" t="s">
        <v>160</v>
      </c>
      <c r="AO17" s="24" t="s">
        <v>160</v>
      </c>
      <c r="AP17" s="41"/>
    </row>
    <row r="18" spans="5:42" x14ac:dyDescent="0.25">
      <c r="E18" s="24" t="s">
        <v>139</v>
      </c>
      <c r="F18" s="24" t="s">
        <v>206</v>
      </c>
      <c r="G18">
        <v>9</v>
      </c>
      <c r="H18" t="s">
        <v>100</v>
      </c>
      <c r="I18" s="22" t="s">
        <v>207</v>
      </c>
      <c r="J18" s="22">
        <v>3030357601</v>
      </c>
      <c r="K18" t="s">
        <v>101</v>
      </c>
      <c r="L18" t="s">
        <v>208</v>
      </c>
      <c r="M18">
        <v>9</v>
      </c>
      <c r="N18">
        <v>5</v>
      </c>
      <c r="O18">
        <v>5</v>
      </c>
      <c r="P18" t="s">
        <v>103</v>
      </c>
      <c r="Q18" s="29">
        <v>5305.56</v>
      </c>
      <c r="R18">
        <v>26528</v>
      </c>
      <c r="S18">
        <v>20140714</v>
      </c>
      <c r="T18">
        <v>0</v>
      </c>
      <c r="U18">
        <v>0</v>
      </c>
      <c r="V18">
        <v>26528</v>
      </c>
      <c r="W18" t="s">
        <v>104</v>
      </c>
      <c r="X18" t="s">
        <v>105</v>
      </c>
      <c r="AD18">
        <v>15</v>
      </c>
      <c r="AE18" s="24" t="s">
        <v>249</v>
      </c>
      <c r="AF18" s="24" t="s">
        <v>160</v>
      </c>
      <c r="AG18" s="24" t="s">
        <v>160</v>
      </c>
      <c r="AH18" s="24" t="s">
        <v>160</v>
      </c>
      <c r="AI18" t="s">
        <v>160</v>
      </c>
      <c r="AJ18" s="29" t="s">
        <v>160</v>
      </c>
      <c r="AK18" s="24" t="s">
        <v>160</v>
      </c>
      <c r="AL18" s="24" t="s">
        <v>160</v>
      </c>
      <c r="AM18" s="24" t="s">
        <v>160</v>
      </c>
      <c r="AN18" s="24" t="s">
        <v>160</v>
      </c>
      <c r="AO18" s="24" t="s">
        <v>160</v>
      </c>
      <c r="AP18" s="41"/>
    </row>
    <row r="19" spans="5:42" x14ac:dyDescent="0.25">
      <c r="E19" s="24" t="s">
        <v>139</v>
      </c>
      <c r="F19" s="24" t="s">
        <v>206</v>
      </c>
      <c r="G19">
        <v>10</v>
      </c>
      <c r="H19" t="s">
        <v>100</v>
      </c>
      <c r="I19" s="22" t="s">
        <v>207</v>
      </c>
      <c r="J19" s="22">
        <v>1075718101</v>
      </c>
      <c r="K19" t="s">
        <v>101</v>
      </c>
      <c r="L19" t="s">
        <v>208</v>
      </c>
      <c r="M19">
        <v>9</v>
      </c>
      <c r="N19">
        <v>8</v>
      </c>
      <c r="O19">
        <v>8</v>
      </c>
      <c r="P19" t="s">
        <v>103</v>
      </c>
      <c r="Q19" s="29">
        <v>5305.56</v>
      </c>
      <c r="R19">
        <v>42444</v>
      </c>
      <c r="S19">
        <v>20150114</v>
      </c>
      <c r="T19">
        <v>0</v>
      </c>
      <c r="U19">
        <v>0</v>
      </c>
      <c r="V19">
        <v>42444</v>
      </c>
      <c r="W19" t="s">
        <v>104</v>
      </c>
      <c r="X19" t="s">
        <v>105</v>
      </c>
      <c r="AD19">
        <v>16</v>
      </c>
      <c r="AE19" s="24" t="s">
        <v>250</v>
      </c>
      <c r="AF19" s="24" t="s">
        <v>160</v>
      </c>
      <c r="AG19" s="24" t="s">
        <v>160</v>
      </c>
      <c r="AH19" s="24" t="s">
        <v>160</v>
      </c>
      <c r="AI19" t="s">
        <v>160</v>
      </c>
      <c r="AJ19" s="29" t="s">
        <v>160</v>
      </c>
      <c r="AK19" s="24" t="s">
        <v>160</v>
      </c>
      <c r="AL19" s="24" t="s">
        <v>160</v>
      </c>
      <c r="AM19" s="24" t="s">
        <v>160</v>
      </c>
      <c r="AN19" s="24" t="s">
        <v>160</v>
      </c>
      <c r="AO19" s="24" t="s">
        <v>160</v>
      </c>
      <c r="AP19" s="41"/>
    </row>
    <row r="20" spans="5:42" x14ac:dyDescent="0.25">
      <c r="E20" s="24" t="s">
        <v>139</v>
      </c>
      <c r="F20" s="24" t="s">
        <v>206</v>
      </c>
      <c r="G20">
        <v>11</v>
      </c>
      <c r="H20" t="s">
        <v>100</v>
      </c>
      <c r="I20" s="22" t="s">
        <v>207</v>
      </c>
      <c r="J20" s="22">
        <v>1076439001</v>
      </c>
      <c r="K20" t="s">
        <v>101</v>
      </c>
      <c r="L20" t="s">
        <v>208</v>
      </c>
      <c r="M20">
        <v>9</v>
      </c>
      <c r="N20">
        <v>5</v>
      </c>
      <c r="O20">
        <v>5</v>
      </c>
      <c r="P20" t="s">
        <v>103</v>
      </c>
      <c r="Q20" s="29">
        <v>5305.56</v>
      </c>
      <c r="R20">
        <v>26528</v>
      </c>
      <c r="S20">
        <v>20150115</v>
      </c>
      <c r="T20">
        <v>0</v>
      </c>
      <c r="U20">
        <v>0</v>
      </c>
      <c r="V20">
        <v>26528</v>
      </c>
      <c r="W20" t="s">
        <v>104</v>
      </c>
      <c r="X20" t="s">
        <v>105</v>
      </c>
      <c r="AD20">
        <v>17</v>
      </c>
      <c r="AE20" s="24" t="s">
        <v>251</v>
      </c>
      <c r="AF20" s="24" t="s">
        <v>160</v>
      </c>
      <c r="AG20" s="24" t="s">
        <v>160</v>
      </c>
      <c r="AH20" s="24" t="s">
        <v>160</v>
      </c>
      <c r="AI20" t="s">
        <v>160</v>
      </c>
      <c r="AJ20" s="29" t="s">
        <v>160</v>
      </c>
      <c r="AK20" s="24" t="s">
        <v>160</v>
      </c>
      <c r="AL20" s="24" t="s">
        <v>160</v>
      </c>
      <c r="AM20" s="24" t="s">
        <v>160</v>
      </c>
      <c r="AN20" s="24" t="s">
        <v>160</v>
      </c>
      <c r="AO20" s="24" t="s">
        <v>160</v>
      </c>
      <c r="AP20" s="41"/>
    </row>
    <row r="21" spans="5:42" x14ac:dyDescent="0.25">
      <c r="E21" s="24" t="s">
        <v>139</v>
      </c>
      <c r="F21" s="24" t="s">
        <v>206</v>
      </c>
      <c r="G21">
        <v>12</v>
      </c>
      <c r="H21" t="s">
        <v>100</v>
      </c>
      <c r="I21" s="22" t="s">
        <v>207</v>
      </c>
      <c r="J21" s="22">
        <v>1076212901</v>
      </c>
      <c r="K21" t="s">
        <v>101</v>
      </c>
      <c r="L21" t="s">
        <v>208</v>
      </c>
      <c r="M21">
        <v>9</v>
      </c>
      <c r="N21">
        <v>2</v>
      </c>
      <c r="O21">
        <v>2</v>
      </c>
      <c r="P21" t="s">
        <v>103</v>
      </c>
      <c r="Q21" s="29">
        <v>5305.56</v>
      </c>
      <c r="R21">
        <v>10611</v>
      </c>
      <c r="S21">
        <v>20150115</v>
      </c>
      <c r="T21">
        <v>0</v>
      </c>
      <c r="U21">
        <v>0</v>
      </c>
      <c r="V21">
        <v>10611</v>
      </c>
      <c r="W21" t="s">
        <v>104</v>
      </c>
      <c r="X21" t="s">
        <v>105</v>
      </c>
      <c r="AD21">
        <v>18</v>
      </c>
      <c r="AE21" s="24" t="s">
        <v>252</v>
      </c>
      <c r="AF21" s="24" t="s">
        <v>160</v>
      </c>
      <c r="AG21" s="24" t="s">
        <v>160</v>
      </c>
      <c r="AH21" s="24" t="s">
        <v>160</v>
      </c>
      <c r="AI21" t="s">
        <v>160</v>
      </c>
      <c r="AJ21" s="29" t="s">
        <v>160</v>
      </c>
      <c r="AK21" s="24" t="s">
        <v>160</v>
      </c>
      <c r="AL21" s="24" t="s">
        <v>160</v>
      </c>
      <c r="AM21" s="24" t="s">
        <v>160</v>
      </c>
      <c r="AN21" s="24" t="s">
        <v>160</v>
      </c>
      <c r="AO21" s="24" t="s">
        <v>160</v>
      </c>
      <c r="AP21" s="41"/>
    </row>
    <row r="22" spans="5:42" x14ac:dyDescent="0.25">
      <c r="E22" s="24" t="s">
        <v>139</v>
      </c>
      <c r="F22" s="24" t="s">
        <v>206</v>
      </c>
      <c r="G22">
        <v>13</v>
      </c>
      <c r="H22" t="s">
        <v>100</v>
      </c>
      <c r="I22" s="22" t="s">
        <v>207</v>
      </c>
      <c r="J22" s="22">
        <v>1076978001</v>
      </c>
      <c r="K22" t="s">
        <v>101</v>
      </c>
      <c r="L22" t="s">
        <v>208</v>
      </c>
      <c r="M22">
        <v>9</v>
      </c>
      <c r="N22">
        <v>9</v>
      </c>
      <c r="O22">
        <v>9</v>
      </c>
      <c r="P22" t="s">
        <v>103</v>
      </c>
      <c r="Q22" s="29">
        <v>5305.56</v>
      </c>
      <c r="R22">
        <v>47750</v>
      </c>
      <c r="S22">
        <v>20150116</v>
      </c>
      <c r="T22">
        <v>0</v>
      </c>
      <c r="U22">
        <v>0</v>
      </c>
      <c r="V22">
        <v>47750</v>
      </c>
      <c r="W22" t="s">
        <v>104</v>
      </c>
      <c r="X22" t="s">
        <v>105</v>
      </c>
      <c r="AD22">
        <v>19</v>
      </c>
      <c r="AE22" s="24" t="s">
        <v>253</v>
      </c>
      <c r="AF22" s="24" t="s">
        <v>160</v>
      </c>
      <c r="AG22" s="24" t="s">
        <v>160</v>
      </c>
      <c r="AH22" s="24" t="s">
        <v>160</v>
      </c>
      <c r="AI22" t="s">
        <v>160</v>
      </c>
      <c r="AJ22" s="29" t="s">
        <v>160</v>
      </c>
      <c r="AK22" s="24" t="s">
        <v>160</v>
      </c>
      <c r="AL22" s="24" t="s">
        <v>160</v>
      </c>
      <c r="AM22" s="24" t="s">
        <v>160</v>
      </c>
      <c r="AN22" s="24" t="s">
        <v>160</v>
      </c>
      <c r="AO22" s="24" t="s">
        <v>160</v>
      </c>
      <c r="AP22" s="41"/>
    </row>
    <row r="23" spans="5:42" x14ac:dyDescent="0.25">
      <c r="E23" s="24" t="s">
        <v>139</v>
      </c>
      <c r="F23" s="24" t="s">
        <v>206</v>
      </c>
      <c r="G23">
        <v>14</v>
      </c>
      <c r="H23" t="s">
        <v>100</v>
      </c>
      <c r="I23" s="22" t="s">
        <v>207</v>
      </c>
      <c r="J23" s="22">
        <v>1066201801</v>
      </c>
      <c r="K23" t="s">
        <v>101</v>
      </c>
      <c r="L23" t="s">
        <v>208</v>
      </c>
      <c r="M23">
        <v>9</v>
      </c>
      <c r="N23">
        <v>16</v>
      </c>
      <c r="O23">
        <v>16</v>
      </c>
      <c r="P23" t="s">
        <v>103</v>
      </c>
      <c r="Q23" s="29">
        <v>5305.56</v>
      </c>
      <c r="R23">
        <v>84889</v>
      </c>
      <c r="S23">
        <v>20141217</v>
      </c>
      <c r="T23">
        <v>0</v>
      </c>
      <c r="U23">
        <v>0</v>
      </c>
      <c r="V23">
        <v>84889</v>
      </c>
      <c r="W23" t="s">
        <v>104</v>
      </c>
      <c r="X23" t="s">
        <v>105</v>
      </c>
      <c r="AD23">
        <v>20</v>
      </c>
      <c r="AE23" s="24" t="s">
        <v>254</v>
      </c>
      <c r="AF23" s="24" t="s">
        <v>160</v>
      </c>
      <c r="AG23" s="24" t="s">
        <v>160</v>
      </c>
      <c r="AH23" s="24" t="s">
        <v>160</v>
      </c>
      <c r="AI23" t="s">
        <v>160</v>
      </c>
      <c r="AJ23" s="29" t="s">
        <v>160</v>
      </c>
      <c r="AK23" s="24" t="s">
        <v>160</v>
      </c>
      <c r="AL23" s="24" t="s">
        <v>160</v>
      </c>
      <c r="AM23" s="24" t="s">
        <v>160</v>
      </c>
      <c r="AN23" s="24" t="s">
        <v>160</v>
      </c>
      <c r="AO23" s="24" t="s">
        <v>160</v>
      </c>
      <c r="AP23" s="41"/>
    </row>
    <row r="24" spans="5:42" x14ac:dyDescent="0.25">
      <c r="E24" s="24" t="s">
        <v>139</v>
      </c>
      <c r="F24" s="24" t="s">
        <v>206</v>
      </c>
      <c r="G24">
        <v>15</v>
      </c>
      <c r="H24" t="s">
        <v>100</v>
      </c>
      <c r="I24" s="22" t="s">
        <v>207</v>
      </c>
      <c r="J24" s="22">
        <v>1066738401</v>
      </c>
      <c r="K24" t="s">
        <v>101</v>
      </c>
      <c r="L24" t="s">
        <v>208</v>
      </c>
      <c r="M24">
        <v>9</v>
      </c>
      <c r="N24">
        <v>11</v>
      </c>
      <c r="O24">
        <v>11</v>
      </c>
      <c r="P24" t="s">
        <v>103</v>
      </c>
      <c r="Q24" s="29">
        <v>5305.56</v>
      </c>
      <c r="R24">
        <v>58361</v>
      </c>
      <c r="S24">
        <v>20141218</v>
      </c>
      <c r="T24">
        <v>0</v>
      </c>
      <c r="U24">
        <v>0</v>
      </c>
      <c r="V24">
        <v>58361</v>
      </c>
      <c r="W24" t="s">
        <v>104</v>
      </c>
      <c r="X24" t="s">
        <v>105</v>
      </c>
      <c r="AD24">
        <v>21</v>
      </c>
      <c r="AE24" s="24" t="s">
        <v>255</v>
      </c>
      <c r="AF24" s="24" t="s">
        <v>160</v>
      </c>
      <c r="AG24" s="24" t="s">
        <v>160</v>
      </c>
      <c r="AH24" s="24" t="s">
        <v>160</v>
      </c>
      <c r="AI24" t="s">
        <v>160</v>
      </c>
      <c r="AJ24" s="29" t="s">
        <v>160</v>
      </c>
      <c r="AK24" s="24" t="s">
        <v>160</v>
      </c>
      <c r="AL24" s="24" t="s">
        <v>160</v>
      </c>
      <c r="AM24" s="24" t="s">
        <v>160</v>
      </c>
      <c r="AN24" s="24" t="s">
        <v>160</v>
      </c>
      <c r="AO24" s="24" t="s">
        <v>160</v>
      </c>
      <c r="AP24" s="41"/>
    </row>
    <row r="25" spans="5:42" x14ac:dyDescent="0.25">
      <c r="E25" s="24" t="s">
        <v>139</v>
      </c>
      <c r="F25" s="24" t="s">
        <v>206</v>
      </c>
      <c r="G25">
        <v>16</v>
      </c>
      <c r="H25" t="s">
        <v>100</v>
      </c>
      <c r="I25" s="22" t="s">
        <v>207</v>
      </c>
      <c r="J25" s="22">
        <v>1066611701</v>
      </c>
      <c r="K25" t="s">
        <v>101</v>
      </c>
      <c r="L25" t="s">
        <v>208</v>
      </c>
      <c r="M25">
        <v>9</v>
      </c>
      <c r="N25">
        <v>18</v>
      </c>
      <c r="O25">
        <v>18</v>
      </c>
      <c r="P25" t="s">
        <v>103</v>
      </c>
      <c r="Q25" s="29">
        <v>5305.56</v>
      </c>
      <c r="R25">
        <v>95500</v>
      </c>
      <c r="S25">
        <v>20141218</v>
      </c>
      <c r="T25">
        <v>0</v>
      </c>
      <c r="U25">
        <v>0</v>
      </c>
      <c r="V25">
        <v>95500</v>
      </c>
      <c r="W25" t="s">
        <v>104</v>
      </c>
      <c r="X25" t="s">
        <v>105</v>
      </c>
      <c r="AD25">
        <v>22</v>
      </c>
      <c r="AE25" s="24" t="s">
        <v>256</v>
      </c>
      <c r="AF25" s="24" t="s">
        <v>160</v>
      </c>
      <c r="AG25" s="24" t="s">
        <v>160</v>
      </c>
      <c r="AH25" s="24" t="s">
        <v>160</v>
      </c>
      <c r="AI25" t="s">
        <v>160</v>
      </c>
      <c r="AJ25" s="29" t="s">
        <v>160</v>
      </c>
      <c r="AK25" s="24" t="s">
        <v>160</v>
      </c>
      <c r="AL25" s="24" t="s">
        <v>160</v>
      </c>
      <c r="AM25" s="24" t="s">
        <v>160</v>
      </c>
      <c r="AN25" s="24" t="s">
        <v>160</v>
      </c>
      <c r="AO25" s="24" t="s">
        <v>160</v>
      </c>
      <c r="AP25" s="41"/>
    </row>
    <row r="26" spans="5:42" x14ac:dyDescent="0.25">
      <c r="E26" s="24" t="s">
        <v>139</v>
      </c>
      <c r="F26" s="24" t="s">
        <v>206</v>
      </c>
      <c r="G26">
        <v>17</v>
      </c>
      <c r="H26" t="s">
        <v>100</v>
      </c>
      <c r="I26" s="22" t="s">
        <v>207</v>
      </c>
      <c r="J26" s="22">
        <v>1067373201</v>
      </c>
      <c r="K26" t="s">
        <v>101</v>
      </c>
      <c r="L26" t="s">
        <v>208</v>
      </c>
      <c r="M26">
        <v>9</v>
      </c>
      <c r="N26">
        <v>11</v>
      </c>
      <c r="O26">
        <v>11</v>
      </c>
      <c r="P26" t="s">
        <v>103</v>
      </c>
      <c r="Q26" s="29">
        <v>5305.56</v>
      </c>
      <c r="R26">
        <v>58361</v>
      </c>
      <c r="S26">
        <v>20141219</v>
      </c>
      <c r="T26">
        <v>0</v>
      </c>
      <c r="U26">
        <v>0</v>
      </c>
      <c r="V26">
        <v>58361</v>
      </c>
      <c r="W26" t="s">
        <v>104</v>
      </c>
      <c r="X26" t="s">
        <v>105</v>
      </c>
      <c r="AD26">
        <v>23</v>
      </c>
      <c r="AE26" s="24" t="s">
        <v>257</v>
      </c>
      <c r="AF26" s="24" t="s">
        <v>160</v>
      </c>
      <c r="AG26" s="24" t="s">
        <v>160</v>
      </c>
      <c r="AH26" s="24" t="s">
        <v>160</v>
      </c>
      <c r="AI26" t="s">
        <v>160</v>
      </c>
      <c r="AJ26" s="29" t="s">
        <v>160</v>
      </c>
      <c r="AK26" s="24" t="s">
        <v>160</v>
      </c>
      <c r="AL26" s="24" t="s">
        <v>160</v>
      </c>
      <c r="AM26" s="24" t="s">
        <v>160</v>
      </c>
      <c r="AN26" s="24" t="s">
        <v>160</v>
      </c>
      <c r="AO26" s="24" t="s">
        <v>160</v>
      </c>
      <c r="AP26" s="41"/>
    </row>
    <row r="27" spans="5:42" x14ac:dyDescent="0.25">
      <c r="E27" s="24" t="s">
        <v>139</v>
      </c>
      <c r="F27" s="24" t="s">
        <v>206</v>
      </c>
      <c r="G27">
        <v>18</v>
      </c>
      <c r="H27" t="s">
        <v>100</v>
      </c>
      <c r="I27" s="22" t="s">
        <v>207</v>
      </c>
      <c r="J27" s="22">
        <v>1067066501</v>
      </c>
      <c r="K27" t="s">
        <v>101</v>
      </c>
      <c r="L27" t="s">
        <v>208</v>
      </c>
      <c r="M27">
        <v>9</v>
      </c>
      <c r="N27">
        <v>20</v>
      </c>
      <c r="O27">
        <v>20</v>
      </c>
      <c r="P27" t="s">
        <v>103</v>
      </c>
      <c r="Q27" s="29">
        <v>5305.56</v>
      </c>
      <c r="R27">
        <v>106111</v>
      </c>
      <c r="S27">
        <v>20141219</v>
      </c>
      <c r="T27">
        <v>0</v>
      </c>
      <c r="U27">
        <v>0</v>
      </c>
      <c r="V27">
        <v>106111</v>
      </c>
      <c r="W27" t="s">
        <v>104</v>
      </c>
      <c r="X27" t="s">
        <v>105</v>
      </c>
      <c r="AD27">
        <v>24</v>
      </c>
      <c r="AE27" s="24" t="s">
        <v>258</v>
      </c>
      <c r="AF27" s="24" t="s">
        <v>160</v>
      </c>
      <c r="AG27" s="24" t="s">
        <v>160</v>
      </c>
      <c r="AH27" s="24" t="s">
        <v>160</v>
      </c>
      <c r="AI27" t="s">
        <v>160</v>
      </c>
      <c r="AJ27" s="29" t="s">
        <v>160</v>
      </c>
      <c r="AK27" s="24" t="s">
        <v>160</v>
      </c>
      <c r="AL27" s="24" t="s">
        <v>160</v>
      </c>
      <c r="AM27" s="24" t="s">
        <v>160</v>
      </c>
      <c r="AN27" s="24" t="s">
        <v>160</v>
      </c>
      <c r="AO27" s="24" t="s">
        <v>160</v>
      </c>
      <c r="AP27" s="41"/>
    </row>
    <row r="28" spans="5:42" x14ac:dyDescent="0.25">
      <c r="E28" s="24" t="s">
        <v>139</v>
      </c>
      <c r="F28" s="24" t="s">
        <v>206</v>
      </c>
      <c r="G28">
        <v>19</v>
      </c>
      <c r="H28" t="s">
        <v>100</v>
      </c>
      <c r="I28" s="22" t="s">
        <v>207</v>
      </c>
      <c r="J28" s="22">
        <v>1061360801</v>
      </c>
      <c r="K28" t="s">
        <v>101</v>
      </c>
      <c r="L28" t="s">
        <v>208</v>
      </c>
      <c r="M28">
        <v>9</v>
      </c>
      <c r="N28">
        <v>1</v>
      </c>
      <c r="O28">
        <v>1</v>
      </c>
      <c r="P28" t="s">
        <v>103</v>
      </c>
      <c r="Q28" s="29">
        <v>5305.56</v>
      </c>
      <c r="R28">
        <v>5306</v>
      </c>
      <c r="S28">
        <v>20141204</v>
      </c>
      <c r="T28">
        <v>0</v>
      </c>
      <c r="U28">
        <v>0</v>
      </c>
      <c r="V28">
        <v>5306</v>
      </c>
      <c r="W28" t="s">
        <v>104</v>
      </c>
      <c r="X28" t="s">
        <v>105</v>
      </c>
      <c r="AD28">
        <v>25</v>
      </c>
      <c r="AE28" s="24" t="s">
        <v>259</v>
      </c>
      <c r="AF28" s="24" t="s">
        <v>260</v>
      </c>
      <c r="AG28" s="24" t="s">
        <v>261</v>
      </c>
      <c r="AH28" s="24" t="s">
        <v>262</v>
      </c>
      <c r="AI28">
        <v>1</v>
      </c>
      <c r="AJ28" s="29">
        <v>5305.56</v>
      </c>
      <c r="AK28" s="24" t="s">
        <v>263</v>
      </c>
      <c r="AL28" s="24" t="s">
        <v>264</v>
      </c>
      <c r="AM28" s="24" t="s">
        <v>265</v>
      </c>
      <c r="AN28" s="24" t="s">
        <v>266</v>
      </c>
      <c r="AO28" s="24" t="s">
        <v>259</v>
      </c>
      <c r="AP28" s="41"/>
    </row>
    <row r="29" spans="5:42" x14ac:dyDescent="0.25">
      <c r="E29" s="24" t="s">
        <v>139</v>
      </c>
      <c r="F29" s="24" t="s">
        <v>206</v>
      </c>
      <c r="G29">
        <v>20</v>
      </c>
      <c r="H29" t="s">
        <v>100</v>
      </c>
      <c r="I29" s="22" t="s">
        <v>207</v>
      </c>
      <c r="J29" s="22">
        <v>1064789701</v>
      </c>
      <c r="K29" t="s">
        <v>101</v>
      </c>
      <c r="L29" t="s">
        <v>208</v>
      </c>
      <c r="M29">
        <v>9</v>
      </c>
      <c r="N29">
        <v>14</v>
      </c>
      <c r="O29">
        <v>14</v>
      </c>
      <c r="P29" t="s">
        <v>103</v>
      </c>
      <c r="Q29" s="29">
        <v>5305.56</v>
      </c>
      <c r="R29">
        <v>74278</v>
      </c>
      <c r="S29">
        <v>20141212</v>
      </c>
      <c r="T29">
        <v>0</v>
      </c>
      <c r="U29">
        <v>0</v>
      </c>
      <c r="V29">
        <v>74278</v>
      </c>
      <c r="W29" t="s">
        <v>104</v>
      </c>
      <c r="X29" t="s">
        <v>105</v>
      </c>
      <c r="AD29">
        <v>26</v>
      </c>
      <c r="AE29" s="24" t="s">
        <v>267</v>
      </c>
      <c r="AF29" s="24" t="s">
        <v>160</v>
      </c>
      <c r="AG29" s="24" t="s">
        <v>160</v>
      </c>
      <c r="AH29" s="24" t="s">
        <v>160</v>
      </c>
      <c r="AI29" t="s">
        <v>160</v>
      </c>
      <c r="AJ29" s="29" t="s">
        <v>160</v>
      </c>
      <c r="AK29" s="24" t="s">
        <v>160</v>
      </c>
      <c r="AL29" s="24" t="s">
        <v>160</v>
      </c>
      <c r="AM29" s="24" t="s">
        <v>160</v>
      </c>
      <c r="AN29" s="24" t="s">
        <v>160</v>
      </c>
      <c r="AO29" s="24" t="s">
        <v>160</v>
      </c>
      <c r="AP29" s="41"/>
    </row>
    <row r="30" spans="5:42" x14ac:dyDescent="0.25">
      <c r="E30" s="24" t="s">
        <v>139</v>
      </c>
      <c r="F30" s="24" t="s">
        <v>206</v>
      </c>
      <c r="G30">
        <v>21</v>
      </c>
      <c r="H30" t="s">
        <v>100</v>
      </c>
      <c r="I30" s="22" t="s">
        <v>207</v>
      </c>
      <c r="J30" s="22">
        <v>1067063201</v>
      </c>
      <c r="K30" t="s">
        <v>101</v>
      </c>
      <c r="L30" t="s">
        <v>208</v>
      </c>
      <c r="M30">
        <v>9</v>
      </c>
      <c r="N30">
        <v>8</v>
      </c>
      <c r="O30">
        <v>8</v>
      </c>
      <c r="P30" t="s">
        <v>103</v>
      </c>
      <c r="Q30" s="29">
        <v>5305.56</v>
      </c>
      <c r="R30">
        <v>42444</v>
      </c>
      <c r="S30">
        <v>20141209</v>
      </c>
      <c r="T30">
        <v>0</v>
      </c>
      <c r="U30">
        <v>0</v>
      </c>
      <c r="V30">
        <v>42444</v>
      </c>
      <c r="W30" t="s">
        <v>104</v>
      </c>
      <c r="X30" t="s">
        <v>105</v>
      </c>
      <c r="AD30">
        <v>27</v>
      </c>
      <c r="AE30" s="24" t="s">
        <v>268</v>
      </c>
      <c r="AF30" s="24" t="s">
        <v>160</v>
      </c>
      <c r="AG30" s="24" t="s">
        <v>160</v>
      </c>
      <c r="AH30" s="24" t="s">
        <v>160</v>
      </c>
      <c r="AI30" t="s">
        <v>160</v>
      </c>
      <c r="AJ30" s="29" t="s">
        <v>160</v>
      </c>
      <c r="AK30" s="24" t="s">
        <v>160</v>
      </c>
      <c r="AL30" s="24" t="s">
        <v>160</v>
      </c>
      <c r="AM30" s="24" t="s">
        <v>160</v>
      </c>
      <c r="AN30" s="24" t="s">
        <v>160</v>
      </c>
      <c r="AO30" s="24" t="s">
        <v>160</v>
      </c>
      <c r="AP30" s="41"/>
    </row>
    <row r="31" spans="5:42" x14ac:dyDescent="0.25">
      <c r="E31" s="24" t="s">
        <v>139</v>
      </c>
      <c r="F31" s="24" t="s">
        <v>206</v>
      </c>
      <c r="G31">
        <v>22</v>
      </c>
      <c r="H31" t="s">
        <v>100</v>
      </c>
      <c r="I31" s="22" t="s">
        <v>207</v>
      </c>
      <c r="J31" s="22">
        <v>1064076401</v>
      </c>
      <c r="K31" t="s">
        <v>101</v>
      </c>
      <c r="L31" t="s">
        <v>208</v>
      </c>
      <c r="M31">
        <v>9</v>
      </c>
      <c r="N31">
        <v>10</v>
      </c>
      <c r="O31">
        <v>10</v>
      </c>
      <c r="P31" t="s">
        <v>103</v>
      </c>
      <c r="Q31" s="29">
        <v>5305.56</v>
      </c>
      <c r="R31">
        <v>53056</v>
      </c>
      <c r="S31">
        <v>20141210</v>
      </c>
      <c r="T31">
        <v>0</v>
      </c>
      <c r="U31">
        <v>0</v>
      </c>
      <c r="V31">
        <v>53056</v>
      </c>
      <c r="W31" t="s">
        <v>104</v>
      </c>
      <c r="X31" t="s">
        <v>105</v>
      </c>
      <c r="AD31">
        <v>28</v>
      </c>
      <c r="AE31" s="24" t="s">
        <v>269</v>
      </c>
      <c r="AF31" s="24" t="s">
        <v>160</v>
      </c>
      <c r="AG31" s="24" t="s">
        <v>160</v>
      </c>
      <c r="AH31" s="24" t="s">
        <v>160</v>
      </c>
      <c r="AI31" t="s">
        <v>160</v>
      </c>
      <c r="AJ31" s="29" t="s">
        <v>160</v>
      </c>
      <c r="AK31" s="24" t="s">
        <v>160</v>
      </c>
      <c r="AL31" s="24" t="s">
        <v>160</v>
      </c>
      <c r="AM31" s="24" t="s">
        <v>160</v>
      </c>
      <c r="AN31" s="24" t="s">
        <v>160</v>
      </c>
      <c r="AO31" s="24" t="s">
        <v>160</v>
      </c>
      <c r="AP31" s="41"/>
    </row>
    <row r="32" spans="5:42" x14ac:dyDescent="0.25">
      <c r="E32" s="24" t="s">
        <v>139</v>
      </c>
      <c r="F32" s="24" t="s">
        <v>209</v>
      </c>
      <c r="G32">
        <v>1</v>
      </c>
      <c r="H32" t="s">
        <v>100</v>
      </c>
      <c r="I32" s="22" t="s">
        <v>207</v>
      </c>
      <c r="J32" s="22">
        <v>1068685101</v>
      </c>
      <c r="K32" t="s">
        <v>101</v>
      </c>
      <c r="L32" t="s">
        <v>208</v>
      </c>
      <c r="M32">
        <v>9</v>
      </c>
      <c r="N32">
        <v>1</v>
      </c>
      <c r="O32">
        <v>1</v>
      </c>
      <c r="P32" t="s">
        <v>103</v>
      </c>
      <c r="Q32" s="29">
        <v>5305.56</v>
      </c>
      <c r="R32">
        <v>5306</v>
      </c>
      <c r="S32">
        <v>20141224</v>
      </c>
      <c r="T32">
        <v>0</v>
      </c>
      <c r="U32">
        <v>0</v>
      </c>
      <c r="V32">
        <v>5306</v>
      </c>
      <c r="W32" t="s">
        <v>104</v>
      </c>
      <c r="X32" t="s">
        <v>105</v>
      </c>
      <c r="Y32">
        <v>3</v>
      </c>
      <c r="Z32">
        <v>679188</v>
      </c>
      <c r="AA32">
        <v>0</v>
      </c>
      <c r="AB32">
        <v>0</v>
      </c>
      <c r="AC32">
        <v>679188</v>
      </c>
      <c r="AD32">
        <v>29</v>
      </c>
      <c r="AE32" s="24" t="s">
        <v>270</v>
      </c>
      <c r="AF32" s="24" t="s">
        <v>160</v>
      </c>
      <c r="AG32" s="24" t="s">
        <v>160</v>
      </c>
      <c r="AH32" s="24" t="s">
        <v>160</v>
      </c>
      <c r="AI32" t="s">
        <v>160</v>
      </c>
      <c r="AJ32" s="29" t="s">
        <v>160</v>
      </c>
      <c r="AK32" s="24" t="s">
        <v>160</v>
      </c>
      <c r="AL32" s="24" t="s">
        <v>160</v>
      </c>
      <c r="AM32" s="24" t="s">
        <v>160</v>
      </c>
      <c r="AN32" s="24" t="s">
        <v>160</v>
      </c>
      <c r="AO32" s="24" t="s">
        <v>160</v>
      </c>
      <c r="AP32" s="41"/>
    </row>
    <row r="33" spans="5:42" x14ac:dyDescent="0.25">
      <c r="E33" s="24" t="s">
        <v>139</v>
      </c>
      <c r="F33" s="24" t="s">
        <v>209</v>
      </c>
      <c r="G33">
        <v>2</v>
      </c>
      <c r="H33" t="s">
        <v>100</v>
      </c>
      <c r="I33" s="22" t="s">
        <v>207</v>
      </c>
      <c r="J33" s="22">
        <v>1068856501</v>
      </c>
      <c r="K33" t="s">
        <v>101</v>
      </c>
      <c r="L33" t="s">
        <v>208</v>
      </c>
      <c r="M33">
        <v>9</v>
      </c>
      <c r="N33">
        <v>1</v>
      </c>
      <c r="O33">
        <v>1</v>
      </c>
      <c r="P33" t="s">
        <v>103</v>
      </c>
      <c r="Q33" s="29">
        <v>5305.56</v>
      </c>
      <c r="R33">
        <v>5306</v>
      </c>
      <c r="S33">
        <v>20141224</v>
      </c>
      <c r="T33">
        <v>0</v>
      </c>
      <c r="U33">
        <v>0</v>
      </c>
      <c r="V33">
        <v>5306</v>
      </c>
      <c r="W33" t="s">
        <v>104</v>
      </c>
      <c r="X33" t="s">
        <v>105</v>
      </c>
      <c r="AD33">
        <v>30</v>
      </c>
      <c r="AE33" s="24" t="s">
        <v>271</v>
      </c>
      <c r="AF33" s="24" t="s">
        <v>160</v>
      </c>
      <c r="AG33" s="24" t="s">
        <v>160</v>
      </c>
      <c r="AH33" s="24" t="s">
        <v>160</v>
      </c>
      <c r="AI33" t="s">
        <v>160</v>
      </c>
      <c r="AJ33" s="29" t="s">
        <v>160</v>
      </c>
      <c r="AK33" s="24" t="s">
        <v>160</v>
      </c>
      <c r="AL33" s="24" t="s">
        <v>160</v>
      </c>
      <c r="AM33" s="24" t="s">
        <v>160</v>
      </c>
      <c r="AN33" s="24" t="s">
        <v>160</v>
      </c>
      <c r="AO33" s="24" t="s">
        <v>160</v>
      </c>
      <c r="AP33" s="41"/>
    </row>
    <row r="34" spans="5:42" x14ac:dyDescent="0.25">
      <c r="E34" s="24" t="s">
        <v>139</v>
      </c>
      <c r="F34" s="24" t="s">
        <v>209</v>
      </c>
      <c r="G34">
        <v>3</v>
      </c>
      <c r="H34" t="s">
        <v>100</v>
      </c>
      <c r="I34" s="22" t="s">
        <v>207</v>
      </c>
      <c r="J34" s="22">
        <v>1068205901</v>
      </c>
      <c r="K34" t="s">
        <v>101</v>
      </c>
      <c r="L34" t="s">
        <v>208</v>
      </c>
      <c r="M34">
        <v>9</v>
      </c>
      <c r="N34">
        <v>1</v>
      </c>
      <c r="O34">
        <v>1</v>
      </c>
      <c r="P34" t="s">
        <v>103</v>
      </c>
      <c r="Q34" s="29">
        <v>5305.56</v>
      </c>
      <c r="R34">
        <v>5306</v>
      </c>
      <c r="S34">
        <v>20141223</v>
      </c>
      <c r="T34">
        <v>0</v>
      </c>
      <c r="U34">
        <v>0</v>
      </c>
      <c r="V34">
        <v>5306</v>
      </c>
      <c r="W34" t="s">
        <v>104</v>
      </c>
      <c r="X34" t="s">
        <v>105</v>
      </c>
      <c r="AD34">
        <v>31</v>
      </c>
      <c r="AE34" s="24" t="s">
        <v>272</v>
      </c>
      <c r="AF34" s="24" t="s">
        <v>160</v>
      </c>
      <c r="AG34" s="24" t="s">
        <v>160</v>
      </c>
      <c r="AH34" s="24" t="s">
        <v>160</v>
      </c>
      <c r="AI34" t="s">
        <v>160</v>
      </c>
      <c r="AJ34" s="29" t="s">
        <v>160</v>
      </c>
      <c r="AK34" s="24" t="s">
        <v>160</v>
      </c>
      <c r="AL34" s="24" t="s">
        <v>160</v>
      </c>
      <c r="AM34" s="24" t="s">
        <v>160</v>
      </c>
      <c r="AN34" s="24" t="s">
        <v>160</v>
      </c>
      <c r="AO34" s="24" t="s">
        <v>160</v>
      </c>
      <c r="AP34" s="41"/>
    </row>
    <row r="35" spans="5:42" x14ac:dyDescent="0.25">
      <c r="E35" s="24" t="s">
        <v>139</v>
      </c>
      <c r="F35" s="24" t="s">
        <v>209</v>
      </c>
      <c r="G35">
        <v>4</v>
      </c>
      <c r="H35" t="s">
        <v>100</v>
      </c>
      <c r="I35" s="22" t="s">
        <v>207</v>
      </c>
      <c r="J35" s="22">
        <v>1067725501</v>
      </c>
      <c r="K35" t="s">
        <v>101</v>
      </c>
      <c r="L35" t="s">
        <v>208</v>
      </c>
      <c r="M35">
        <v>9</v>
      </c>
      <c r="N35">
        <v>12</v>
      </c>
      <c r="O35">
        <v>12</v>
      </c>
      <c r="P35" t="s">
        <v>103</v>
      </c>
      <c r="Q35" s="29">
        <v>5305.56</v>
      </c>
      <c r="R35">
        <v>63667</v>
      </c>
      <c r="S35">
        <v>20141222</v>
      </c>
      <c r="T35">
        <v>0</v>
      </c>
      <c r="U35">
        <v>0</v>
      </c>
      <c r="V35">
        <v>63667</v>
      </c>
      <c r="W35" t="s">
        <v>104</v>
      </c>
      <c r="X35" t="s">
        <v>105</v>
      </c>
      <c r="AD35">
        <v>32</v>
      </c>
      <c r="AE35" s="24" t="s">
        <v>273</v>
      </c>
      <c r="AF35" s="24" t="s">
        <v>160</v>
      </c>
      <c r="AG35" s="24" t="s">
        <v>160</v>
      </c>
      <c r="AH35" s="24" t="s">
        <v>160</v>
      </c>
      <c r="AI35" t="s">
        <v>160</v>
      </c>
      <c r="AJ35" s="29" t="s">
        <v>160</v>
      </c>
      <c r="AK35" s="24" t="s">
        <v>160</v>
      </c>
      <c r="AL35" s="24" t="s">
        <v>160</v>
      </c>
      <c r="AM35" s="24" t="s">
        <v>160</v>
      </c>
      <c r="AN35" s="24" t="s">
        <v>160</v>
      </c>
      <c r="AO35" s="24" t="s">
        <v>160</v>
      </c>
      <c r="AP35" s="41"/>
    </row>
    <row r="36" spans="5:42" x14ac:dyDescent="0.25">
      <c r="E36" s="24" t="s">
        <v>139</v>
      </c>
      <c r="F36" s="24" t="s">
        <v>209</v>
      </c>
      <c r="G36">
        <v>5</v>
      </c>
      <c r="H36" t="s">
        <v>100</v>
      </c>
      <c r="I36" s="22" t="s">
        <v>207</v>
      </c>
      <c r="J36" s="22">
        <v>1065511301</v>
      </c>
      <c r="K36" t="s">
        <v>101</v>
      </c>
      <c r="L36" t="s">
        <v>208</v>
      </c>
      <c r="M36">
        <v>9</v>
      </c>
      <c r="N36">
        <v>6</v>
      </c>
      <c r="O36">
        <v>6</v>
      </c>
      <c r="P36" t="s">
        <v>103</v>
      </c>
      <c r="Q36" s="29">
        <v>5305.56</v>
      </c>
      <c r="R36">
        <v>31833</v>
      </c>
      <c r="S36">
        <v>20141215</v>
      </c>
      <c r="T36">
        <v>0</v>
      </c>
      <c r="U36">
        <v>0</v>
      </c>
      <c r="V36">
        <v>31833</v>
      </c>
      <c r="W36" t="s">
        <v>104</v>
      </c>
      <c r="X36" t="s">
        <v>105</v>
      </c>
      <c r="AD36">
        <v>33</v>
      </c>
      <c r="AE36" s="24" t="s">
        <v>274</v>
      </c>
      <c r="AF36" s="24" t="s">
        <v>160</v>
      </c>
      <c r="AG36" s="24" t="s">
        <v>160</v>
      </c>
      <c r="AH36" s="24" t="s">
        <v>160</v>
      </c>
      <c r="AI36" t="s">
        <v>160</v>
      </c>
      <c r="AJ36" s="29" t="s">
        <v>160</v>
      </c>
      <c r="AK36" s="24" t="s">
        <v>160</v>
      </c>
      <c r="AL36" s="24" t="s">
        <v>160</v>
      </c>
      <c r="AM36" s="24" t="s">
        <v>160</v>
      </c>
      <c r="AN36" s="24" t="s">
        <v>160</v>
      </c>
      <c r="AO36" s="24" t="s">
        <v>160</v>
      </c>
      <c r="AP36" s="41"/>
    </row>
    <row r="37" spans="5:42" x14ac:dyDescent="0.25">
      <c r="E37" s="24" t="s">
        <v>139</v>
      </c>
      <c r="F37" s="24" t="s">
        <v>209</v>
      </c>
      <c r="G37">
        <v>6</v>
      </c>
      <c r="H37" t="s">
        <v>100</v>
      </c>
      <c r="I37" s="22" t="s">
        <v>207</v>
      </c>
      <c r="J37" s="22">
        <v>1065382901</v>
      </c>
      <c r="K37" t="s">
        <v>101</v>
      </c>
      <c r="L37" t="s">
        <v>208</v>
      </c>
      <c r="M37">
        <v>9</v>
      </c>
      <c r="N37">
        <v>15</v>
      </c>
      <c r="O37">
        <v>15</v>
      </c>
      <c r="P37" t="s">
        <v>103</v>
      </c>
      <c r="Q37" s="29">
        <v>5305.56</v>
      </c>
      <c r="R37">
        <v>79583</v>
      </c>
      <c r="S37">
        <v>20141215</v>
      </c>
      <c r="T37">
        <v>0</v>
      </c>
      <c r="U37">
        <v>0</v>
      </c>
      <c r="V37">
        <v>79583</v>
      </c>
      <c r="W37" t="s">
        <v>104</v>
      </c>
      <c r="X37" t="s">
        <v>105</v>
      </c>
      <c r="AD37">
        <v>34</v>
      </c>
      <c r="AE37" s="24" t="s">
        <v>275</v>
      </c>
      <c r="AF37" s="24" t="s">
        <v>160</v>
      </c>
      <c r="AG37" s="24" t="s">
        <v>160</v>
      </c>
      <c r="AH37" s="24" t="s">
        <v>160</v>
      </c>
      <c r="AI37" t="s">
        <v>160</v>
      </c>
      <c r="AJ37" s="29" t="s">
        <v>160</v>
      </c>
      <c r="AK37" s="24" t="s">
        <v>160</v>
      </c>
      <c r="AL37" s="24" t="s">
        <v>160</v>
      </c>
      <c r="AM37" s="24" t="s">
        <v>160</v>
      </c>
      <c r="AN37" s="24" t="s">
        <v>160</v>
      </c>
      <c r="AO37" s="24" t="s">
        <v>160</v>
      </c>
      <c r="AP37" s="41"/>
    </row>
    <row r="38" spans="5:42" x14ac:dyDescent="0.25">
      <c r="E38" s="24" t="s">
        <v>139</v>
      </c>
      <c r="F38" s="24" t="s">
        <v>209</v>
      </c>
      <c r="G38">
        <v>7</v>
      </c>
      <c r="H38" t="s">
        <v>100</v>
      </c>
      <c r="I38" s="22" t="s">
        <v>207</v>
      </c>
      <c r="J38" s="22">
        <v>1065928401</v>
      </c>
      <c r="K38" t="s">
        <v>101</v>
      </c>
      <c r="L38" t="s">
        <v>208</v>
      </c>
      <c r="M38">
        <v>9</v>
      </c>
      <c r="N38">
        <v>10</v>
      </c>
      <c r="O38">
        <v>10</v>
      </c>
      <c r="P38" t="s">
        <v>103</v>
      </c>
      <c r="Q38" s="29">
        <v>5305.56</v>
      </c>
      <c r="R38">
        <v>53056</v>
      </c>
      <c r="S38">
        <v>20141216</v>
      </c>
      <c r="T38">
        <v>0</v>
      </c>
      <c r="U38">
        <v>0</v>
      </c>
      <c r="V38">
        <v>53056</v>
      </c>
      <c r="W38" t="s">
        <v>104</v>
      </c>
      <c r="X38" t="s">
        <v>105</v>
      </c>
      <c r="AD38">
        <v>35</v>
      </c>
      <c r="AE38" s="24" t="s">
        <v>276</v>
      </c>
      <c r="AF38" s="24" t="s">
        <v>160</v>
      </c>
      <c r="AG38" s="24" t="s">
        <v>160</v>
      </c>
      <c r="AH38" s="24" t="s">
        <v>160</v>
      </c>
      <c r="AI38" t="s">
        <v>160</v>
      </c>
      <c r="AJ38" s="29" t="s">
        <v>160</v>
      </c>
      <c r="AK38" s="24" t="s">
        <v>160</v>
      </c>
      <c r="AL38" s="24" t="s">
        <v>160</v>
      </c>
      <c r="AM38" s="24" t="s">
        <v>160</v>
      </c>
      <c r="AN38" s="24" t="s">
        <v>160</v>
      </c>
      <c r="AO38" s="24" t="s">
        <v>160</v>
      </c>
      <c r="AP38" s="41"/>
    </row>
    <row r="39" spans="5:42" x14ac:dyDescent="0.25">
      <c r="E39" s="24" t="s">
        <v>139</v>
      </c>
      <c r="F39" s="24" t="s">
        <v>209</v>
      </c>
      <c r="G39">
        <v>8</v>
      </c>
      <c r="H39" t="s">
        <v>100</v>
      </c>
      <c r="I39" s="22" t="s">
        <v>207</v>
      </c>
      <c r="J39" s="22">
        <v>1065795101</v>
      </c>
      <c r="K39" t="s">
        <v>101</v>
      </c>
      <c r="L39" t="s">
        <v>208</v>
      </c>
      <c r="M39">
        <v>9</v>
      </c>
      <c r="N39">
        <v>15</v>
      </c>
      <c r="O39">
        <v>15</v>
      </c>
      <c r="P39" t="s">
        <v>103</v>
      </c>
      <c r="Q39" s="29">
        <v>5305.56</v>
      </c>
      <c r="R39">
        <v>79583</v>
      </c>
      <c r="S39">
        <v>20141216</v>
      </c>
      <c r="T39">
        <v>0</v>
      </c>
      <c r="U39">
        <v>0</v>
      </c>
      <c r="V39">
        <v>79583</v>
      </c>
      <c r="W39" t="s">
        <v>104</v>
      </c>
      <c r="X39" t="s">
        <v>105</v>
      </c>
      <c r="AD39">
        <v>36</v>
      </c>
      <c r="AE39" s="24" t="s">
        <v>277</v>
      </c>
      <c r="AF39" s="24" t="s">
        <v>160</v>
      </c>
      <c r="AG39" s="24" t="s">
        <v>160</v>
      </c>
      <c r="AH39" s="24" t="s">
        <v>160</v>
      </c>
      <c r="AI39" t="s">
        <v>160</v>
      </c>
      <c r="AJ39" s="29" t="s">
        <v>160</v>
      </c>
      <c r="AK39" s="24" t="s">
        <v>160</v>
      </c>
      <c r="AL39" s="24" t="s">
        <v>160</v>
      </c>
      <c r="AM39" s="24" t="s">
        <v>160</v>
      </c>
      <c r="AN39" s="24" t="s">
        <v>160</v>
      </c>
      <c r="AO39" s="24" t="s">
        <v>160</v>
      </c>
      <c r="AP39" s="41"/>
    </row>
    <row r="40" spans="5:42" x14ac:dyDescent="0.25">
      <c r="E40" s="24" t="s">
        <v>139</v>
      </c>
      <c r="F40" s="24" t="s">
        <v>209</v>
      </c>
      <c r="G40">
        <v>9</v>
      </c>
      <c r="H40" t="s">
        <v>100</v>
      </c>
      <c r="I40" s="22" t="s">
        <v>207</v>
      </c>
      <c r="J40" s="22">
        <v>1066320001</v>
      </c>
      <c r="K40" t="s">
        <v>101</v>
      </c>
      <c r="L40" t="s">
        <v>208</v>
      </c>
      <c r="M40">
        <v>9</v>
      </c>
      <c r="N40">
        <v>12</v>
      </c>
      <c r="O40">
        <v>12</v>
      </c>
      <c r="P40" t="s">
        <v>103</v>
      </c>
      <c r="Q40" s="29">
        <v>5305.56</v>
      </c>
      <c r="R40">
        <v>63667</v>
      </c>
      <c r="S40">
        <v>20141217</v>
      </c>
      <c r="T40">
        <v>0</v>
      </c>
      <c r="U40">
        <v>0</v>
      </c>
      <c r="V40">
        <v>63667</v>
      </c>
      <c r="W40" t="s">
        <v>104</v>
      </c>
      <c r="X40" t="s">
        <v>105</v>
      </c>
      <c r="AD40">
        <v>37</v>
      </c>
      <c r="AE40" s="24" t="s">
        <v>278</v>
      </c>
      <c r="AF40" s="24" t="s">
        <v>160</v>
      </c>
      <c r="AG40" s="24" t="s">
        <v>160</v>
      </c>
      <c r="AH40" s="24" t="s">
        <v>160</v>
      </c>
      <c r="AI40" t="s">
        <v>160</v>
      </c>
      <c r="AJ40" s="29" t="s">
        <v>160</v>
      </c>
      <c r="AK40" s="24" t="s">
        <v>160</v>
      </c>
      <c r="AL40" s="24" t="s">
        <v>160</v>
      </c>
      <c r="AM40" s="24" t="s">
        <v>160</v>
      </c>
      <c r="AN40" s="24" t="s">
        <v>160</v>
      </c>
      <c r="AO40" s="24" t="s">
        <v>160</v>
      </c>
      <c r="AP40" s="41"/>
    </row>
    <row r="41" spans="5:42" x14ac:dyDescent="0.25">
      <c r="E41" s="24" t="s">
        <v>139</v>
      </c>
      <c r="F41" s="24" t="s">
        <v>209</v>
      </c>
      <c r="G41">
        <v>10</v>
      </c>
      <c r="H41" t="s">
        <v>100</v>
      </c>
      <c r="I41" s="22" t="s">
        <v>207</v>
      </c>
      <c r="J41" s="22">
        <v>1076802801</v>
      </c>
      <c r="K41" t="s">
        <v>101</v>
      </c>
      <c r="L41" t="s">
        <v>208</v>
      </c>
      <c r="M41">
        <v>9</v>
      </c>
      <c r="N41">
        <v>1</v>
      </c>
      <c r="O41">
        <v>1</v>
      </c>
      <c r="P41" t="s">
        <v>103</v>
      </c>
      <c r="Q41" s="29">
        <v>5305.56</v>
      </c>
      <c r="R41">
        <v>5306</v>
      </c>
      <c r="S41">
        <v>20150116</v>
      </c>
      <c r="T41">
        <v>0</v>
      </c>
      <c r="U41">
        <v>0</v>
      </c>
      <c r="V41">
        <v>5306</v>
      </c>
      <c r="W41" t="s">
        <v>104</v>
      </c>
      <c r="X41" t="s">
        <v>105</v>
      </c>
      <c r="AD41">
        <v>38</v>
      </c>
      <c r="AE41" s="24" t="s">
        <v>279</v>
      </c>
      <c r="AF41" s="24" t="s">
        <v>160</v>
      </c>
      <c r="AG41" s="24" t="s">
        <v>160</v>
      </c>
      <c r="AH41" s="24" t="s">
        <v>160</v>
      </c>
      <c r="AI41" t="s">
        <v>160</v>
      </c>
      <c r="AJ41" s="29" t="s">
        <v>160</v>
      </c>
      <c r="AK41" s="24" t="s">
        <v>160</v>
      </c>
      <c r="AL41" s="24" t="s">
        <v>160</v>
      </c>
      <c r="AM41" s="24" t="s">
        <v>160</v>
      </c>
      <c r="AN41" s="24" t="s">
        <v>160</v>
      </c>
      <c r="AO41" s="24" t="s">
        <v>160</v>
      </c>
      <c r="AP41" s="41"/>
    </row>
    <row r="42" spans="5:42" x14ac:dyDescent="0.25">
      <c r="E42" s="24" t="s">
        <v>139</v>
      </c>
      <c r="F42" s="24" t="s">
        <v>209</v>
      </c>
      <c r="G42">
        <v>11</v>
      </c>
      <c r="H42" t="s">
        <v>100</v>
      </c>
      <c r="I42" s="22" t="s">
        <v>207</v>
      </c>
      <c r="J42" s="22">
        <v>1077628901</v>
      </c>
      <c r="K42" t="s">
        <v>101</v>
      </c>
      <c r="L42" t="s">
        <v>208</v>
      </c>
      <c r="M42">
        <v>9</v>
      </c>
      <c r="N42">
        <v>1</v>
      </c>
      <c r="O42">
        <v>1</v>
      </c>
      <c r="P42" t="s">
        <v>103</v>
      </c>
      <c r="Q42" s="29">
        <v>5305.56</v>
      </c>
      <c r="R42">
        <v>5306</v>
      </c>
      <c r="S42">
        <v>20150119</v>
      </c>
      <c r="T42">
        <v>0</v>
      </c>
      <c r="U42">
        <v>0</v>
      </c>
      <c r="V42">
        <v>5306</v>
      </c>
      <c r="W42" t="s">
        <v>104</v>
      </c>
      <c r="X42" t="s">
        <v>105</v>
      </c>
      <c r="AD42">
        <v>39</v>
      </c>
      <c r="AE42" s="24" t="s">
        <v>280</v>
      </c>
      <c r="AF42" s="24" t="s">
        <v>160</v>
      </c>
      <c r="AG42" s="24" t="s">
        <v>160</v>
      </c>
      <c r="AH42" s="24" t="s">
        <v>160</v>
      </c>
      <c r="AI42" t="s">
        <v>160</v>
      </c>
      <c r="AJ42" s="29" t="s">
        <v>160</v>
      </c>
      <c r="AK42" s="24" t="s">
        <v>160</v>
      </c>
      <c r="AL42" s="24" t="s">
        <v>160</v>
      </c>
      <c r="AM42" s="24" t="s">
        <v>160</v>
      </c>
      <c r="AN42" s="24" t="s">
        <v>160</v>
      </c>
      <c r="AO42" s="24" t="s">
        <v>160</v>
      </c>
      <c r="AP42" s="41"/>
    </row>
    <row r="43" spans="5:42" x14ac:dyDescent="0.25">
      <c r="E43" s="24" t="s">
        <v>139</v>
      </c>
      <c r="F43" s="24" t="s">
        <v>209</v>
      </c>
      <c r="G43">
        <v>12</v>
      </c>
      <c r="H43" t="s">
        <v>100</v>
      </c>
      <c r="I43" s="22" t="s">
        <v>207</v>
      </c>
      <c r="J43" s="22">
        <v>1077489001</v>
      </c>
      <c r="K43" t="s">
        <v>101</v>
      </c>
      <c r="L43" t="s">
        <v>208</v>
      </c>
      <c r="M43">
        <v>9</v>
      </c>
      <c r="N43">
        <v>5</v>
      </c>
      <c r="O43">
        <v>5</v>
      </c>
      <c r="P43" t="s">
        <v>103</v>
      </c>
      <c r="Q43" s="29">
        <v>5305.56</v>
      </c>
      <c r="R43">
        <v>26528</v>
      </c>
      <c r="S43">
        <v>20150119</v>
      </c>
      <c r="T43">
        <v>0</v>
      </c>
      <c r="U43">
        <v>0</v>
      </c>
      <c r="V43">
        <v>26528</v>
      </c>
      <c r="W43" t="s">
        <v>104</v>
      </c>
      <c r="X43" t="s">
        <v>105</v>
      </c>
      <c r="AD43">
        <v>40</v>
      </c>
      <c r="AE43" s="24" t="s">
        <v>281</v>
      </c>
      <c r="AF43" s="24" t="s">
        <v>160</v>
      </c>
      <c r="AG43" s="24" t="s">
        <v>160</v>
      </c>
      <c r="AH43" s="24" t="s">
        <v>160</v>
      </c>
      <c r="AI43" t="s">
        <v>160</v>
      </c>
      <c r="AJ43" s="29" t="s">
        <v>160</v>
      </c>
      <c r="AK43" s="24" t="s">
        <v>160</v>
      </c>
      <c r="AL43" s="24" t="s">
        <v>160</v>
      </c>
      <c r="AM43" s="24" t="s">
        <v>160</v>
      </c>
      <c r="AN43" s="24" t="s">
        <v>160</v>
      </c>
      <c r="AO43" s="24" t="s">
        <v>160</v>
      </c>
      <c r="AP43" s="41"/>
    </row>
    <row r="44" spans="5:42" x14ac:dyDescent="0.25">
      <c r="E44" s="24" t="s">
        <v>139</v>
      </c>
      <c r="F44" s="24" t="s">
        <v>209</v>
      </c>
      <c r="G44">
        <v>13</v>
      </c>
      <c r="H44" t="s">
        <v>100</v>
      </c>
      <c r="I44" s="22" t="s">
        <v>207</v>
      </c>
      <c r="J44" s="22">
        <v>1078145001</v>
      </c>
      <c r="K44" t="s">
        <v>101</v>
      </c>
      <c r="L44" t="s">
        <v>208</v>
      </c>
      <c r="M44">
        <v>9</v>
      </c>
      <c r="N44">
        <v>5</v>
      </c>
      <c r="O44">
        <v>5</v>
      </c>
      <c r="P44" t="s">
        <v>103</v>
      </c>
      <c r="Q44" s="29">
        <v>5305.56</v>
      </c>
      <c r="R44">
        <v>26528</v>
      </c>
      <c r="S44">
        <v>20150120</v>
      </c>
      <c r="T44">
        <v>0</v>
      </c>
      <c r="U44">
        <v>0</v>
      </c>
      <c r="V44">
        <v>26528</v>
      </c>
      <c r="W44" t="s">
        <v>104</v>
      </c>
      <c r="X44" t="s">
        <v>105</v>
      </c>
      <c r="AD44">
        <v>41</v>
      </c>
      <c r="AE44" s="24" t="s">
        <v>282</v>
      </c>
      <c r="AF44" s="24" t="s">
        <v>160</v>
      </c>
      <c r="AG44" s="24" t="s">
        <v>160</v>
      </c>
      <c r="AH44" s="24" t="s">
        <v>160</v>
      </c>
      <c r="AI44" t="s">
        <v>160</v>
      </c>
      <c r="AJ44" s="29" t="s">
        <v>160</v>
      </c>
      <c r="AK44" s="24" t="s">
        <v>160</v>
      </c>
      <c r="AL44" s="24" t="s">
        <v>160</v>
      </c>
      <c r="AM44" s="24" t="s">
        <v>160</v>
      </c>
      <c r="AN44" s="24" t="s">
        <v>160</v>
      </c>
      <c r="AO44" s="24" t="s">
        <v>160</v>
      </c>
      <c r="AP44" s="41"/>
    </row>
    <row r="45" spans="5:42" x14ac:dyDescent="0.25">
      <c r="E45" s="24" t="s">
        <v>139</v>
      </c>
      <c r="F45" s="24" t="s">
        <v>209</v>
      </c>
      <c r="G45">
        <v>14</v>
      </c>
      <c r="H45" t="s">
        <v>100</v>
      </c>
      <c r="I45" s="22" t="s">
        <v>207</v>
      </c>
      <c r="J45" s="22">
        <v>1077845801</v>
      </c>
      <c r="K45" t="s">
        <v>101</v>
      </c>
      <c r="L45" t="s">
        <v>208</v>
      </c>
      <c r="M45">
        <v>9</v>
      </c>
      <c r="N45">
        <v>2</v>
      </c>
      <c r="O45">
        <v>2</v>
      </c>
      <c r="P45" t="s">
        <v>103</v>
      </c>
      <c r="Q45" s="29">
        <v>5305.56</v>
      </c>
      <c r="R45">
        <v>10611</v>
      </c>
      <c r="S45">
        <v>20150120</v>
      </c>
      <c r="T45">
        <v>0</v>
      </c>
      <c r="U45">
        <v>0</v>
      </c>
      <c r="V45">
        <v>10611</v>
      </c>
      <c r="W45" t="s">
        <v>104</v>
      </c>
      <c r="X45" t="s">
        <v>105</v>
      </c>
      <c r="AD45">
        <v>42</v>
      </c>
      <c r="AE45" s="24" t="s">
        <v>283</v>
      </c>
      <c r="AF45" s="24" t="s">
        <v>160</v>
      </c>
      <c r="AG45" s="24" t="s">
        <v>160</v>
      </c>
      <c r="AH45" s="24" t="s">
        <v>160</v>
      </c>
      <c r="AI45" t="s">
        <v>160</v>
      </c>
      <c r="AJ45" s="29" t="s">
        <v>160</v>
      </c>
      <c r="AK45" s="24" t="s">
        <v>160</v>
      </c>
      <c r="AL45" s="24" t="s">
        <v>160</v>
      </c>
      <c r="AM45" s="24" t="s">
        <v>160</v>
      </c>
      <c r="AN45" s="24" t="s">
        <v>160</v>
      </c>
      <c r="AO45" s="24" t="s">
        <v>160</v>
      </c>
      <c r="AP45" s="41"/>
    </row>
    <row r="46" spans="5:42" x14ac:dyDescent="0.25">
      <c r="E46" s="24" t="s">
        <v>139</v>
      </c>
      <c r="F46" s="24" t="s">
        <v>209</v>
      </c>
      <c r="G46">
        <v>15</v>
      </c>
      <c r="H46" t="s">
        <v>100</v>
      </c>
      <c r="I46" s="22" t="s">
        <v>207</v>
      </c>
      <c r="J46" s="22">
        <v>1072369901</v>
      </c>
      <c r="K46" t="s">
        <v>101</v>
      </c>
      <c r="L46" t="s">
        <v>208</v>
      </c>
      <c r="M46">
        <v>9</v>
      </c>
      <c r="N46">
        <v>5</v>
      </c>
      <c r="O46">
        <v>5</v>
      </c>
      <c r="P46" t="s">
        <v>103</v>
      </c>
      <c r="Q46" s="29">
        <v>5305.56</v>
      </c>
      <c r="R46">
        <v>26528</v>
      </c>
      <c r="S46">
        <v>20150106</v>
      </c>
      <c r="T46">
        <v>0</v>
      </c>
      <c r="U46">
        <v>0</v>
      </c>
      <c r="V46">
        <v>26528</v>
      </c>
      <c r="W46" t="s">
        <v>104</v>
      </c>
      <c r="X46" t="s">
        <v>105</v>
      </c>
      <c r="AD46">
        <v>43</v>
      </c>
      <c r="AE46" s="24" t="s">
        <v>284</v>
      </c>
      <c r="AF46" s="24" t="s">
        <v>160</v>
      </c>
      <c r="AG46" s="24" t="s">
        <v>160</v>
      </c>
      <c r="AH46" s="24" t="s">
        <v>160</v>
      </c>
      <c r="AI46" t="s">
        <v>160</v>
      </c>
      <c r="AJ46" s="29" t="s">
        <v>160</v>
      </c>
      <c r="AK46" s="24" t="s">
        <v>160</v>
      </c>
      <c r="AL46" s="24" t="s">
        <v>160</v>
      </c>
      <c r="AM46" s="24" t="s">
        <v>160</v>
      </c>
      <c r="AN46" s="24" t="s">
        <v>160</v>
      </c>
      <c r="AO46" s="24" t="s">
        <v>160</v>
      </c>
      <c r="AP46" s="41"/>
    </row>
    <row r="47" spans="5:42" x14ac:dyDescent="0.25">
      <c r="E47" s="24" t="s">
        <v>139</v>
      </c>
      <c r="F47" s="24" t="s">
        <v>209</v>
      </c>
      <c r="G47">
        <v>16</v>
      </c>
      <c r="H47" t="s">
        <v>100</v>
      </c>
      <c r="I47" s="22" t="s">
        <v>207</v>
      </c>
      <c r="J47" s="22">
        <v>1072498701</v>
      </c>
      <c r="K47" t="s">
        <v>101</v>
      </c>
      <c r="L47" t="s">
        <v>208</v>
      </c>
      <c r="M47">
        <v>9</v>
      </c>
      <c r="N47">
        <v>8</v>
      </c>
      <c r="O47">
        <v>8</v>
      </c>
      <c r="P47" t="s">
        <v>103</v>
      </c>
      <c r="Q47" s="29">
        <v>5305.56</v>
      </c>
      <c r="R47">
        <v>42444</v>
      </c>
      <c r="S47">
        <v>20150106</v>
      </c>
      <c r="T47">
        <v>0</v>
      </c>
      <c r="U47">
        <v>0</v>
      </c>
      <c r="V47">
        <v>42444</v>
      </c>
      <c r="W47" t="s">
        <v>104</v>
      </c>
      <c r="X47" t="s">
        <v>105</v>
      </c>
      <c r="AD47">
        <v>44</v>
      </c>
      <c r="AE47" s="24" t="s">
        <v>285</v>
      </c>
      <c r="AF47" s="24" t="s">
        <v>160</v>
      </c>
      <c r="AG47" s="24" t="s">
        <v>160</v>
      </c>
      <c r="AH47" s="24" t="s">
        <v>160</v>
      </c>
      <c r="AI47" t="s">
        <v>160</v>
      </c>
      <c r="AJ47" s="29" t="s">
        <v>160</v>
      </c>
      <c r="AK47" s="24" t="s">
        <v>160</v>
      </c>
      <c r="AL47" s="24" t="s">
        <v>160</v>
      </c>
      <c r="AM47" s="24" t="s">
        <v>160</v>
      </c>
      <c r="AN47" s="24" t="s">
        <v>160</v>
      </c>
      <c r="AO47" s="24" t="s">
        <v>160</v>
      </c>
      <c r="AP47" s="41"/>
    </row>
    <row r="48" spans="5:42" x14ac:dyDescent="0.25">
      <c r="E48" s="24" t="s">
        <v>139</v>
      </c>
      <c r="F48" s="24" t="s">
        <v>209</v>
      </c>
      <c r="G48">
        <v>17</v>
      </c>
      <c r="H48" t="s">
        <v>100</v>
      </c>
      <c r="I48" s="22" t="s">
        <v>207</v>
      </c>
      <c r="J48" s="22">
        <v>1075173601</v>
      </c>
      <c r="K48" t="s">
        <v>101</v>
      </c>
      <c r="L48" t="s">
        <v>208</v>
      </c>
      <c r="M48">
        <v>9</v>
      </c>
      <c r="N48">
        <v>1</v>
      </c>
      <c r="O48">
        <v>1</v>
      </c>
      <c r="P48" t="s">
        <v>103</v>
      </c>
      <c r="Q48" s="29">
        <v>5305.56</v>
      </c>
      <c r="R48">
        <v>5306</v>
      </c>
      <c r="S48">
        <v>20150113</v>
      </c>
      <c r="T48">
        <v>0</v>
      </c>
      <c r="U48">
        <v>0</v>
      </c>
      <c r="V48">
        <v>5306</v>
      </c>
      <c r="W48" t="s">
        <v>104</v>
      </c>
      <c r="X48" t="s">
        <v>105</v>
      </c>
      <c r="AD48">
        <v>45</v>
      </c>
      <c r="AE48" s="24" t="s">
        <v>286</v>
      </c>
      <c r="AF48" s="24" t="s">
        <v>160</v>
      </c>
      <c r="AG48" s="24" t="s">
        <v>160</v>
      </c>
      <c r="AH48" s="24" t="s">
        <v>160</v>
      </c>
      <c r="AI48" t="s">
        <v>160</v>
      </c>
      <c r="AJ48" s="29" t="s">
        <v>160</v>
      </c>
      <c r="AK48" s="24" t="s">
        <v>160</v>
      </c>
      <c r="AL48" s="24" t="s">
        <v>160</v>
      </c>
      <c r="AM48" s="24" t="s">
        <v>160</v>
      </c>
      <c r="AN48" s="24" t="s">
        <v>160</v>
      </c>
      <c r="AO48" s="24" t="s">
        <v>160</v>
      </c>
      <c r="AP48" s="41"/>
    </row>
    <row r="49" spans="5:42" x14ac:dyDescent="0.25">
      <c r="E49" s="24" t="s">
        <v>139</v>
      </c>
      <c r="F49" s="24" t="s">
        <v>209</v>
      </c>
      <c r="G49">
        <v>18</v>
      </c>
      <c r="H49" t="s">
        <v>100</v>
      </c>
      <c r="I49" s="22" t="s">
        <v>207</v>
      </c>
      <c r="J49" s="22">
        <v>1073891101</v>
      </c>
      <c r="K49" t="s">
        <v>101</v>
      </c>
      <c r="L49" t="s">
        <v>208</v>
      </c>
      <c r="M49">
        <v>9</v>
      </c>
      <c r="N49">
        <v>2</v>
      </c>
      <c r="O49">
        <v>2</v>
      </c>
      <c r="P49" t="s">
        <v>103</v>
      </c>
      <c r="Q49" s="29">
        <v>5305.56</v>
      </c>
      <c r="R49">
        <v>10611</v>
      </c>
      <c r="S49">
        <v>20150109</v>
      </c>
      <c r="T49">
        <v>0</v>
      </c>
      <c r="U49">
        <v>0</v>
      </c>
      <c r="V49">
        <v>10611</v>
      </c>
      <c r="W49" t="s">
        <v>104</v>
      </c>
      <c r="X49" t="s">
        <v>105</v>
      </c>
      <c r="AD49">
        <v>46</v>
      </c>
      <c r="AE49" s="24" t="s">
        <v>287</v>
      </c>
      <c r="AF49" s="24" t="s">
        <v>160</v>
      </c>
      <c r="AG49" s="24" t="s">
        <v>160</v>
      </c>
      <c r="AH49" s="24" t="s">
        <v>160</v>
      </c>
      <c r="AI49" t="s">
        <v>160</v>
      </c>
      <c r="AJ49" s="29" t="s">
        <v>160</v>
      </c>
      <c r="AK49" s="24" t="s">
        <v>160</v>
      </c>
      <c r="AL49" s="24" t="s">
        <v>160</v>
      </c>
      <c r="AM49" s="24" t="s">
        <v>160</v>
      </c>
      <c r="AN49" s="24" t="s">
        <v>160</v>
      </c>
      <c r="AO49" s="24" t="s">
        <v>160</v>
      </c>
      <c r="AP49" s="41"/>
    </row>
    <row r="50" spans="5:42" x14ac:dyDescent="0.25">
      <c r="E50" s="24" t="s">
        <v>139</v>
      </c>
      <c r="F50" s="24" t="s">
        <v>209</v>
      </c>
      <c r="G50">
        <v>19</v>
      </c>
      <c r="H50" t="s">
        <v>100</v>
      </c>
      <c r="I50" s="22" t="s">
        <v>207</v>
      </c>
      <c r="J50" s="22">
        <v>1074489901</v>
      </c>
      <c r="K50" t="s">
        <v>101</v>
      </c>
      <c r="L50" t="s">
        <v>208</v>
      </c>
      <c r="M50">
        <v>9</v>
      </c>
      <c r="N50">
        <v>11</v>
      </c>
      <c r="O50">
        <v>11</v>
      </c>
      <c r="P50" t="s">
        <v>103</v>
      </c>
      <c r="Q50" s="29">
        <v>5305.56</v>
      </c>
      <c r="R50">
        <v>58361</v>
      </c>
      <c r="S50">
        <v>20150112</v>
      </c>
      <c r="T50">
        <v>0</v>
      </c>
      <c r="U50">
        <v>0</v>
      </c>
      <c r="V50">
        <v>58361</v>
      </c>
      <c r="W50" t="s">
        <v>104</v>
      </c>
      <c r="X50" t="s">
        <v>105</v>
      </c>
      <c r="AD50">
        <v>47</v>
      </c>
      <c r="AE50" s="24" t="s">
        <v>288</v>
      </c>
      <c r="AF50" s="24" t="s">
        <v>160</v>
      </c>
      <c r="AG50" s="24" t="s">
        <v>160</v>
      </c>
      <c r="AH50" s="24" t="s">
        <v>160</v>
      </c>
      <c r="AI50" t="s">
        <v>160</v>
      </c>
      <c r="AJ50" s="29" t="s">
        <v>160</v>
      </c>
      <c r="AK50" s="24" t="s">
        <v>160</v>
      </c>
      <c r="AL50" s="24" t="s">
        <v>160</v>
      </c>
      <c r="AM50" s="24" t="s">
        <v>160</v>
      </c>
      <c r="AN50" s="24" t="s">
        <v>160</v>
      </c>
      <c r="AO50" s="24" t="s">
        <v>160</v>
      </c>
      <c r="AP50" s="41"/>
    </row>
    <row r="51" spans="5:42" x14ac:dyDescent="0.25">
      <c r="E51" s="24" t="s">
        <v>139</v>
      </c>
      <c r="F51" s="24" t="s">
        <v>209</v>
      </c>
      <c r="G51">
        <v>20</v>
      </c>
      <c r="H51" t="s">
        <v>100</v>
      </c>
      <c r="I51" s="22" t="s">
        <v>207</v>
      </c>
      <c r="J51" s="22">
        <v>1072017201</v>
      </c>
      <c r="K51" t="s">
        <v>101</v>
      </c>
      <c r="L51" t="s">
        <v>210</v>
      </c>
      <c r="M51">
        <v>9</v>
      </c>
      <c r="N51">
        <v>8</v>
      </c>
      <c r="O51">
        <v>8</v>
      </c>
      <c r="P51" t="s">
        <v>103</v>
      </c>
      <c r="Q51" s="29">
        <v>5719.34</v>
      </c>
      <c r="R51">
        <v>45755</v>
      </c>
      <c r="S51">
        <v>20150105</v>
      </c>
      <c r="T51">
        <v>0</v>
      </c>
      <c r="U51">
        <v>0</v>
      </c>
      <c r="V51">
        <v>45755</v>
      </c>
      <c r="W51" t="s">
        <v>104</v>
      </c>
      <c r="X51" t="s">
        <v>105</v>
      </c>
      <c r="AD51">
        <v>48</v>
      </c>
      <c r="AE51" s="24" t="s">
        <v>289</v>
      </c>
      <c r="AF51" s="24" t="s">
        <v>160</v>
      </c>
      <c r="AG51" s="24" t="s">
        <v>160</v>
      </c>
      <c r="AH51" s="24" t="s">
        <v>160</v>
      </c>
      <c r="AI51" t="s">
        <v>160</v>
      </c>
      <c r="AJ51" s="29" t="s">
        <v>160</v>
      </c>
      <c r="AK51" s="24" t="s">
        <v>160</v>
      </c>
      <c r="AL51" s="24" t="s">
        <v>160</v>
      </c>
      <c r="AM51" s="24" t="s">
        <v>160</v>
      </c>
      <c r="AN51" s="24" t="s">
        <v>160</v>
      </c>
      <c r="AO51" s="24" t="s">
        <v>160</v>
      </c>
      <c r="AP51" s="41"/>
    </row>
    <row r="52" spans="5:42" x14ac:dyDescent="0.25">
      <c r="E52" s="24" t="s">
        <v>139</v>
      </c>
      <c r="F52" s="24" t="s">
        <v>209</v>
      </c>
      <c r="G52">
        <v>21</v>
      </c>
      <c r="H52" t="s">
        <v>100</v>
      </c>
      <c r="I52" s="22" t="s">
        <v>207</v>
      </c>
      <c r="J52" s="22">
        <v>1072372301</v>
      </c>
      <c r="K52" t="s">
        <v>101</v>
      </c>
      <c r="L52" t="s">
        <v>210</v>
      </c>
      <c r="M52">
        <v>9</v>
      </c>
      <c r="N52">
        <v>2</v>
      </c>
      <c r="O52">
        <v>2</v>
      </c>
      <c r="P52" t="s">
        <v>103</v>
      </c>
      <c r="Q52" s="29">
        <v>5719.34</v>
      </c>
      <c r="R52">
        <v>11439</v>
      </c>
      <c r="S52">
        <v>20150106</v>
      </c>
      <c r="T52">
        <v>0</v>
      </c>
      <c r="U52">
        <v>0</v>
      </c>
      <c r="V52">
        <v>11439</v>
      </c>
      <c r="W52" t="s">
        <v>104</v>
      </c>
      <c r="X52" t="s">
        <v>105</v>
      </c>
      <c r="AD52">
        <v>49</v>
      </c>
      <c r="AE52" s="24" t="s">
        <v>290</v>
      </c>
      <c r="AF52" s="24" t="s">
        <v>160</v>
      </c>
      <c r="AG52" s="24" t="s">
        <v>160</v>
      </c>
      <c r="AH52" s="24" t="s">
        <v>160</v>
      </c>
      <c r="AI52" t="s">
        <v>160</v>
      </c>
      <c r="AJ52" s="29" t="s">
        <v>160</v>
      </c>
      <c r="AK52" s="24" t="s">
        <v>160</v>
      </c>
      <c r="AL52" s="24" t="s">
        <v>160</v>
      </c>
      <c r="AM52" s="24" t="s">
        <v>160</v>
      </c>
      <c r="AN52" s="24" t="s">
        <v>160</v>
      </c>
      <c r="AO52" s="24" t="s">
        <v>160</v>
      </c>
      <c r="AP52" s="41"/>
    </row>
    <row r="53" spans="5:42" x14ac:dyDescent="0.25">
      <c r="E53" s="24" t="s">
        <v>139</v>
      </c>
      <c r="F53" s="24" t="s">
        <v>209</v>
      </c>
      <c r="G53">
        <v>22</v>
      </c>
      <c r="H53" t="s">
        <v>100</v>
      </c>
      <c r="I53" s="22" t="s">
        <v>207</v>
      </c>
      <c r="J53" s="22">
        <v>1077971301</v>
      </c>
      <c r="K53" t="s">
        <v>101</v>
      </c>
      <c r="L53" t="s">
        <v>210</v>
      </c>
      <c r="M53">
        <v>9</v>
      </c>
      <c r="N53">
        <v>3</v>
      </c>
      <c r="O53">
        <v>3</v>
      </c>
      <c r="P53" t="s">
        <v>103</v>
      </c>
      <c r="Q53" s="29">
        <v>5719.34</v>
      </c>
      <c r="R53">
        <v>17158</v>
      </c>
      <c r="S53">
        <v>20150120</v>
      </c>
      <c r="T53">
        <v>0</v>
      </c>
      <c r="U53">
        <v>0</v>
      </c>
      <c r="V53">
        <v>17158</v>
      </c>
      <c r="W53" t="s">
        <v>104</v>
      </c>
      <c r="X53" t="s">
        <v>105</v>
      </c>
      <c r="AD53">
        <v>50</v>
      </c>
      <c r="AE53" s="24" t="s">
        <v>291</v>
      </c>
      <c r="AF53" s="24" t="s">
        <v>160</v>
      </c>
      <c r="AG53" s="24" t="s">
        <v>160</v>
      </c>
      <c r="AH53" s="24" t="s">
        <v>160</v>
      </c>
      <c r="AI53" t="s">
        <v>160</v>
      </c>
      <c r="AJ53" s="29" t="s">
        <v>160</v>
      </c>
      <c r="AK53" s="24" t="s">
        <v>160</v>
      </c>
      <c r="AL53" s="24" t="s">
        <v>160</v>
      </c>
      <c r="AM53" s="24" t="s">
        <v>160</v>
      </c>
      <c r="AN53" s="24" t="s">
        <v>160</v>
      </c>
      <c r="AO53" s="24" t="s">
        <v>160</v>
      </c>
      <c r="AP53" s="41"/>
    </row>
    <row r="54" spans="5:42" x14ac:dyDescent="0.25">
      <c r="E54" s="24" t="s">
        <v>139</v>
      </c>
      <c r="F54" s="24" t="s">
        <v>211</v>
      </c>
      <c r="G54">
        <v>1</v>
      </c>
      <c r="H54" t="s">
        <v>100</v>
      </c>
      <c r="I54" s="22" t="s">
        <v>207</v>
      </c>
      <c r="J54" s="22">
        <v>1077486401</v>
      </c>
      <c r="K54" t="s">
        <v>101</v>
      </c>
      <c r="L54" t="s">
        <v>210</v>
      </c>
      <c r="M54">
        <v>9</v>
      </c>
      <c r="N54">
        <v>1</v>
      </c>
      <c r="O54">
        <v>1</v>
      </c>
      <c r="P54" t="s">
        <v>103</v>
      </c>
      <c r="Q54" s="29">
        <v>5719.34</v>
      </c>
      <c r="R54">
        <v>5719</v>
      </c>
      <c r="S54">
        <v>20150119</v>
      </c>
      <c r="T54">
        <v>0</v>
      </c>
      <c r="U54">
        <v>0</v>
      </c>
      <c r="V54">
        <v>5719</v>
      </c>
      <c r="W54" t="s">
        <v>104</v>
      </c>
      <c r="X54" t="s">
        <v>105</v>
      </c>
      <c r="Y54">
        <v>3</v>
      </c>
      <c r="Z54">
        <v>709196</v>
      </c>
      <c r="AA54">
        <v>0</v>
      </c>
      <c r="AB54">
        <v>0</v>
      </c>
      <c r="AC54">
        <v>709196</v>
      </c>
      <c r="AD54">
        <v>51</v>
      </c>
      <c r="AE54" s="24" t="s">
        <v>292</v>
      </c>
      <c r="AF54" s="24" t="s">
        <v>160</v>
      </c>
      <c r="AG54" s="24" t="s">
        <v>160</v>
      </c>
      <c r="AH54" s="24" t="s">
        <v>160</v>
      </c>
      <c r="AI54" t="s">
        <v>160</v>
      </c>
      <c r="AJ54" s="29" t="s">
        <v>160</v>
      </c>
      <c r="AK54" s="24" t="s">
        <v>160</v>
      </c>
      <c r="AL54" s="24" t="s">
        <v>160</v>
      </c>
      <c r="AM54" s="24" t="s">
        <v>160</v>
      </c>
      <c r="AN54" s="24" t="s">
        <v>160</v>
      </c>
      <c r="AO54" s="24" t="s">
        <v>160</v>
      </c>
      <c r="AP54" s="41"/>
    </row>
    <row r="55" spans="5:42" x14ac:dyDescent="0.25">
      <c r="E55" s="24" t="s">
        <v>139</v>
      </c>
      <c r="F55" s="24" t="s">
        <v>211</v>
      </c>
      <c r="G55">
        <v>2</v>
      </c>
      <c r="H55" t="s">
        <v>100</v>
      </c>
      <c r="I55" s="22" t="s">
        <v>207</v>
      </c>
      <c r="J55" s="22">
        <v>1076803201</v>
      </c>
      <c r="K55" t="s">
        <v>101</v>
      </c>
      <c r="L55" t="s">
        <v>210</v>
      </c>
      <c r="M55">
        <v>9</v>
      </c>
      <c r="N55">
        <v>7</v>
      </c>
      <c r="O55">
        <v>7</v>
      </c>
      <c r="P55" t="s">
        <v>103</v>
      </c>
      <c r="Q55" s="29">
        <v>5719.34</v>
      </c>
      <c r="R55">
        <v>40035</v>
      </c>
      <c r="S55">
        <v>20150116</v>
      </c>
      <c r="T55">
        <v>0</v>
      </c>
      <c r="U55">
        <v>0</v>
      </c>
      <c r="V55">
        <v>40035</v>
      </c>
      <c r="W55" t="s">
        <v>104</v>
      </c>
      <c r="X55" t="s">
        <v>105</v>
      </c>
      <c r="AD55">
        <v>52</v>
      </c>
      <c r="AE55" s="24" t="s">
        <v>293</v>
      </c>
      <c r="AF55" s="24" t="s">
        <v>160</v>
      </c>
      <c r="AG55" s="24" t="s">
        <v>160</v>
      </c>
      <c r="AH55" s="24" t="s">
        <v>160</v>
      </c>
      <c r="AI55" t="s">
        <v>160</v>
      </c>
      <c r="AJ55" s="29" t="s">
        <v>160</v>
      </c>
      <c r="AK55" s="24" t="s">
        <v>160</v>
      </c>
      <c r="AL55" s="24" t="s">
        <v>160</v>
      </c>
      <c r="AM55" s="24" t="s">
        <v>160</v>
      </c>
      <c r="AN55" s="24" t="s">
        <v>160</v>
      </c>
      <c r="AO55" s="24" t="s">
        <v>160</v>
      </c>
      <c r="AP55" s="41"/>
    </row>
    <row r="56" spans="5:42" x14ac:dyDescent="0.25">
      <c r="E56" s="24" t="s">
        <v>139</v>
      </c>
      <c r="F56" s="24" t="s">
        <v>211</v>
      </c>
      <c r="G56">
        <v>3</v>
      </c>
      <c r="H56" t="s">
        <v>100</v>
      </c>
      <c r="I56" s="22" t="s">
        <v>207</v>
      </c>
      <c r="J56" s="22">
        <v>1076214601</v>
      </c>
      <c r="K56" t="s">
        <v>101</v>
      </c>
      <c r="L56" t="s">
        <v>210</v>
      </c>
      <c r="M56">
        <v>9</v>
      </c>
      <c r="N56">
        <v>3</v>
      </c>
      <c r="O56">
        <v>3</v>
      </c>
      <c r="P56" t="s">
        <v>103</v>
      </c>
      <c r="Q56" s="29">
        <v>5719.34</v>
      </c>
      <c r="R56">
        <v>17158</v>
      </c>
      <c r="S56">
        <v>20150115</v>
      </c>
      <c r="T56">
        <v>0</v>
      </c>
      <c r="U56">
        <v>0</v>
      </c>
      <c r="V56">
        <v>17158</v>
      </c>
      <c r="W56" t="s">
        <v>104</v>
      </c>
      <c r="X56" t="s">
        <v>105</v>
      </c>
      <c r="AD56">
        <v>53</v>
      </c>
      <c r="AE56" s="24" t="s">
        <v>294</v>
      </c>
      <c r="AF56" s="24" t="s">
        <v>160</v>
      </c>
      <c r="AG56" s="24" t="s">
        <v>160</v>
      </c>
      <c r="AH56" s="24" t="s">
        <v>160</v>
      </c>
      <c r="AI56" t="s">
        <v>160</v>
      </c>
      <c r="AJ56" s="29" t="s">
        <v>160</v>
      </c>
      <c r="AK56" s="24" t="s">
        <v>160</v>
      </c>
      <c r="AL56" s="24" t="s">
        <v>160</v>
      </c>
      <c r="AM56" s="24" t="s">
        <v>160</v>
      </c>
      <c r="AN56" s="24" t="s">
        <v>160</v>
      </c>
      <c r="AO56" s="24" t="s">
        <v>160</v>
      </c>
      <c r="AP56" s="41"/>
    </row>
    <row r="57" spans="5:42" x14ac:dyDescent="0.25">
      <c r="E57" s="24" t="s">
        <v>139</v>
      </c>
      <c r="F57" s="24" t="s">
        <v>211</v>
      </c>
      <c r="G57">
        <v>4</v>
      </c>
      <c r="H57" t="s">
        <v>100</v>
      </c>
      <c r="I57" s="22" t="s">
        <v>207</v>
      </c>
      <c r="J57" s="22">
        <v>1068859001</v>
      </c>
      <c r="K57" t="s">
        <v>101</v>
      </c>
      <c r="L57" t="s">
        <v>210</v>
      </c>
      <c r="M57">
        <v>9</v>
      </c>
      <c r="N57">
        <v>1</v>
      </c>
      <c r="O57">
        <v>1</v>
      </c>
      <c r="P57" t="s">
        <v>103</v>
      </c>
      <c r="Q57" s="29">
        <v>5719.34</v>
      </c>
      <c r="R57">
        <v>5719</v>
      </c>
      <c r="S57">
        <v>20141224</v>
      </c>
      <c r="T57">
        <v>0</v>
      </c>
      <c r="U57">
        <v>0</v>
      </c>
      <c r="V57">
        <v>5719</v>
      </c>
      <c r="W57" t="s">
        <v>104</v>
      </c>
      <c r="X57" t="s">
        <v>105</v>
      </c>
      <c r="AD57">
        <v>54</v>
      </c>
      <c r="AE57" s="24" t="s">
        <v>295</v>
      </c>
      <c r="AF57" s="24" t="s">
        <v>160</v>
      </c>
      <c r="AG57" s="24" t="s">
        <v>160</v>
      </c>
      <c r="AH57" s="24" t="s">
        <v>160</v>
      </c>
      <c r="AI57" t="s">
        <v>160</v>
      </c>
      <c r="AJ57" s="29" t="s">
        <v>160</v>
      </c>
      <c r="AK57" s="24" t="s">
        <v>160</v>
      </c>
      <c r="AL57" s="24" t="s">
        <v>160</v>
      </c>
      <c r="AM57" s="24" t="s">
        <v>160</v>
      </c>
      <c r="AN57" s="24" t="s">
        <v>160</v>
      </c>
      <c r="AO57" s="24" t="s">
        <v>160</v>
      </c>
      <c r="AP57" s="41"/>
    </row>
    <row r="58" spans="5:42" x14ac:dyDescent="0.25">
      <c r="E58" s="24" t="s">
        <v>139</v>
      </c>
      <c r="F58" s="24" t="s">
        <v>211</v>
      </c>
      <c r="G58">
        <v>5</v>
      </c>
      <c r="H58" t="s">
        <v>100</v>
      </c>
      <c r="I58" s="22" t="s">
        <v>207</v>
      </c>
      <c r="J58" s="22">
        <v>1069405201</v>
      </c>
      <c r="K58" t="s">
        <v>101</v>
      </c>
      <c r="L58" t="s">
        <v>210</v>
      </c>
      <c r="M58">
        <v>9</v>
      </c>
      <c r="N58">
        <v>3</v>
      </c>
      <c r="O58">
        <v>3</v>
      </c>
      <c r="P58" t="s">
        <v>103</v>
      </c>
      <c r="Q58" s="29">
        <v>5719.34</v>
      </c>
      <c r="R58">
        <v>17158</v>
      </c>
      <c r="S58">
        <v>20141225</v>
      </c>
      <c r="T58">
        <v>0</v>
      </c>
      <c r="U58">
        <v>0</v>
      </c>
      <c r="V58">
        <v>17158</v>
      </c>
      <c r="W58" t="s">
        <v>104</v>
      </c>
      <c r="X58" t="s">
        <v>105</v>
      </c>
      <c r="AD58">
        <v>55</v>
      </c>
      <c r="AE58" s="24" t="s">
        <v>296</v>
      </c>
      <c r="AF58" s="24" t="s">
        <v>160</v>
      </c>
      <c r="AG58" s="24" t="s">
        <v>160</v>
      </c>
      <c r="AH58" s="24" t="s">
        <v>160</v>
      </c>
      <c r="AI58" t="s">
        <v>160</v>
      </c>
      <c r="AJ58" s="29" t="s">
        <v>160</v>
      </c>
      <c r="AK58" s="24" t="s">
        <v>160</v>
      </c>
      <c r="AL58" s="24" t="s">
        <v>160</v>
      </c>
      <c r="AM58" s="24" t="s">
        <v>160</v>
      </c>
      <c r="AN58" s="24" t="s">
        <v>160</v>
      </c>
      <c r="AO58" s="24" t="s">
        <v>160</v>
      </c>
      <c r="AP58" s="41"/>
    </row>
    <row r="59" spans="5:42" x14ac:dyDescent="0.25">
      <c r="E59" s="24" t="s">
        <v>139</v>
      </c>
      <c r="F59" s="24" t="s">
        <v>211</v>
      </c>
      <c r="G59">
        <v>6</v>
      </c>
      <c r="H59" t="s">
        <v>100</v>
      </c>
      <c r="I59" s="22" t="s">
        <v>207</v>
      </c>
      <c r="J59" s="22">
        <v>1070038601</v>
      </c>
      <c r="K59" t="s">
        <v>101</v>
      </c>
      <c r="L59" t="s">
        <v>210</v>
      </c>
      <c r="M59">
        <v>9</v>
      </c>
      <c r="N59">
        <v>1</v>
      </c>
      <c r="O59">
        <v>1</v>
      </c>
      <c r="P59" t="s">
        <v>103</v>
      </c>
      <c r="Q59" s="29">
        <v>5719.34</v>
      </c>
      <c r="R59">
        <v>5719</v>
      </c>
      <c r="S59">
        <v>20141226</v>
      </c>
      <c r="T59">
        <v>0</v>
      </c>
      <c r="U59">
        <v>0</v>
      </c>
      <c r="V59">
        <v>5719</v>
      </c>
      <c r="W59" t="s">
        <v>104</v>
      </c>
      <c r="X59" t="s">
        <v>105</v>
      </c>
      <c r="AD59">
        <v>56</v>
      </c>
      <c r="AE59" s="24" t="s">
        <v>297</v>
      </c>
      <c r="AF59" s="24" t="s">
        <v>160</v>
      </c>
      <c r="AG59" s="24" t="s">
        <v>160</v>
      </c>
      <c r="AH59" s="24" t="s">
        <v>160</v>
      </c>
      <c r="AI59" t="s">
        <v>160</v>
      </c>
      <c r="AJ59" s="29" t="s">
        <v>160</v>
      </c>
      <c r="AK59" s="24" t="s">
        <v>160</v>
      </c>
      <c r="AL59" s="24" t="s">
        <v>160</v>
      </c>
      <c r="AM59" s="24" t="s">
        <v>160</v>
      </c>
      <c r="AN59" s="24" t="s">
        <v>160</v>
      </c>
      <c r="AO59" s="24" t="s">
        <v>160</v>
      </c>
      <c r="AP59" s="41"/>
    </row>
    <row r="60" spans="5:42" x14ac:dyDescent="0.25">
      <c r="E60" s="24" t="s">
        <v>139</v>
      </c>
      <c r="F60" s="24" t="s">
        <v>211</v>
      </c>
      <c r="G60">
        <v>7</v>
      </c>
      <c r="H60" t="s">
        <v>100</v>
      </c>
      <c r="I60" s="22" t="s">
        <v>207</v>
      </c>
      <c r="J60" s="22">
        <v>1070438501</v>
      </c>
      <c r="K60" t="s">
        <v>101</v>
      </c>
      <c r="L60" t="s">
        <v>210</v>
      </c>
      <c r="M60">
        <v>9</v>
      </c>
      <c r="N60">
        <v>2</v>
      </c>
      <c r="O60">
        <v>2</v>
      </c>
      <c r="P60" t="s">
        <v>103</v>
      </c>
      <c r="Q60" s="29">
        <v>5719.34</v>
      </c>
      <c r="R60">
        <v>11439</v>
      </c>
      <c r="S60">
        <v>20141229</v>
      </c>
      <c r="T60">
        <v>0</v>
      </c>
      <c r="U60">
        <v>0</v>
      </c>
      <c r="V60">
        <v>11439</v>
      </c>
      <c r="W60" t="s">
        <v>104</v>
      </c>
      <c r="X60" t="s">
        <v>105</v>
      </c>
      <c r="AD60">
        <v>57</v>
      </c>
      <c r="AE60" s="24" t="s">
        <v>298</v>
      </c>
      <c r="AF60" s="24" t="s">
        <v>160</v>
      </c>
      <c r="AG60" s="24" t="s">
        <v>160</v>
      </c>
      <c r="AH60" s="24" t="s">
        <v>160</v>
      </c>
      <c r="AI60" t="s">
        <v>160</v>
      </c>
      <c r="AJ60" s="29" t="s">
        <v>160</v>
      </c>
      <c r="AK60" s="24" t="s">
        <v>160</v>
      </c>
      <c r="AL60" s="24" t="s">
        <v>160</v>
      </c>
      <c r="AM60" s="24" t="s">
        <v>160</v>
      </c>
      <c r="AN60" s="24" t="s">
        <v>160</v>
      </c>
      <c r="AO60" s="24" t="s">
        <v>160</v>
      </c>
      <c r="AP60" s="41"/>
    </row>
    <row r="61" spans="5:42" x14ac:dyDescent="0.25">
      <c r="E61" s="24" t="s">
        <v>139</v>
      </c>
      <c r="F61" s="24" t="s">
        <v>211</v>
      </c>
      <c r="G61">
        <v>8</v>
      </c>
      <c r="H61" t="s">
        <v>100</v>
      </c>
      <c r="I61" s="22" t="s">
        <v>207</v>
      </c>
      <c r="J61" s="22">
        <v>1070836901</v>
      </c>
      <c r="K61" t="s">
        <v>101</v>
      </c>
      <c r="L61" t="s">
        <v>210</v>
      </c>
      <c r="M61">
        <v>9</v>
      </c>
      <c r="N61">
        <v>14</v>
      </c>
      <c r="O61">
        <v>14</v>
      </c>
      <c r="P61" t="s">
        <v>103</v>
      </c>
      <c r="Q61" s="29">
        <v>5719.34</v>
      </c>
      <c r="R61">
        <v>80071</v>
      </c>
      <c r="S61">
        <v>20141230</v>
      </c>
      <c r="T61">
        <v>0</v>
      </c>
      <c r="U61">
        <v>0</v>
      </c>
      <c r="V61">
        <v>80071</v>
      </c>
      <c r="W61" t="s">
        <v>104</v>
      </c>
      <c r="X61" t="s">
        <v>105</v>
      </c>
      <c r="AD61">
        <v>58</v>
      </c>
      <c r="AE61" s="24" t="s">
        <v>299</v>
      </c>
      <c r="AF61" s="24" t="s">
        <v>160</v>
      </c>
      <c r="AG61" s="24" t="s">
        <v>160</v>
      </c>
      <c r="AH61" s="24" t="s">
        <v>160</v>
      </c>
      <c r="AI61" t="s">
        <v>160</v>
      </c>
      <c r="AJ61" s="29" t="s">
        <v>160</v>
      </c>
      <c r="AK61" s="24" t="s">
        <v>160</v>
      </c>
      <c r="AL61" s="24" t="s">
        <v>160</v>
      </c>
      <c r="AM61" s="24" t="s">
        <v>160</v>
      </c>
      <c r="AN61" s="24" t="s">
        <v>160</v>
      </c>
      <c r="AO61" s="24" t="s">
        <v>160</v>
      </c>
      <c r="AP61" s="41"/>
    </row>
    <row r="62" spans="5:42" x14ac:dyDescent="0.25">
      <c r="E62" s="24" t="s">
        <v>139</v>
      </c>
      <c r="F62" s="24" t="s">
        <v>211</v>
      </c>
      <c r="G62">
        <v>9</v>
      </c>
      <c r="H62" t="s">
        <v>100</v>
      </c>
      <c r="I62" s="22" t="s">
        <v>207</v>
      </c>
      <c r="J62" s="22">
        <v>1071622001</v>
      </c>
      <c r="K62" t="s">
        <v>101</v>
      </c>
      <c r="L62" t="s">
        <v>210</v>
      </c>
      <c r="M62">
        <v>9</v>
      </c>
      <c r="N62">
        <v>10</v>
      </c>
      <c r="O62">
        <v>10</v>
      </c>
      <c r="P62" t="s">
        <v>103</v>
      </c>
      <c r="Q62" s="29">
        <v>5719.34</v>
      </c>
      <c r="R62">
        <v>57193</v>
      </c>
      <c r="S62">
        <v>20141231</v>
      </c>
      <c r="T62">
        <v>0</v>
      </c>
      <c r="U62">
        <v>0</v>
      </c>
      <c r="V62">
        <v>57193</v>
      </c>
      <c r="W62" t="s">
        <v>104</v>
      </c>
      <c r="X62" t="s">
        <v>105</v>
      </c>
      <c r="AD62">
        <v>59</v>
      </c>
      <c r="AE62" s="24" t="s">
        <v>300</v>
      </c>
      <c r="AF62" s="24" t="s">
        <v>160</v>
      </c>
      <c r="AG62" s="24" t="s">
        <v>160</v>
      </c>
      <c r="AH62" s="24" t="s">
        <v>160</v>
      </c>
      <c r="AI62" t="s">
        <v>160</v>
      </c>
      <c r="AJ62" s="29" t="s">
        <v>160</v>
      </c>
      <c r="AK62" s="24" t="s">
        <v>160</v>
      </c>
      <c r="AL62" s="24" t="s">
        <v>160</v>
      </c>
      <c r="AM62" s="24" t="s">
        <v>160</v>
      </c>
      <c r="AN62" s="24" t="s">
        <v>160</v>
      </c>
      <c r="AO62" s="24" t="s">
        <v>160</v>
      </c>
      <c r="AP62" s="41"/>
    </row>
    <row r="63" spans="5:42" x14ac:dyDescent="0.25">
      <c r="E63" s="24" t="s">
        <v>139</v>
      </c>
      <c r="F63" s="24" t="s">
        <v>211</v>
      </c>
      <c r="G63">
        <v>10</v>
      </c>
      <c r="H63" t="s">
        <v>100</v>
      </c>
      <c r="I63" s="22" t="s">
        <v>207</v>
      </c>
      <c r="J63" s="22">
        <v>1071143801</v>
      </c>
      <c r="K63" t="s">
        <v>101</v>
      </c>
      <c r="L63" t="s">
        <v>210</v>
      </c>
      <c r="M63">
        <v>9</v>
      </c>
      <c r="N63">
        <v>8</v>
      </c>
      <c r="O63">
        <v>8</v>
      </c>
      <c r="P63" t="s">
        <v>103</v>
      </c>
      <c r="Q63" s="29">
        <v>5719.34</v>
      </c>
      <c r="R63">
        <v>45755</v>
      </c>
      <c r="S63">
        <v>20141231</v>
      </c>
      <c r="T63">
        <v>0</v>
      </c>
      <c r="U63">
        <v>0</v>
      </c>
      <c r="V63">
        <v>45755</v>
      </c>
      <c r="W63" t="s">
        <v>104</v>
      </c>
      <c r="X63" t="s">
        <v>105</v>
      </c>
      <c r="AD63">
        <v>60</v>
      </c>
      <c r="AE63" s="24" t="s">
        <v>301</v>
      </c>
      <c r="AF63" s="24" t="s">
        <v>160</v>
      </c>
      <c r="AG63" s="24" t="s">
        <v>160</v>
      </c>
      <c r="AH63" s="24" t="s">
        <v>160</v>
      </c>
      <c r="AI63" t="s">
        <v>160</v>
      </c>
      <c r="AJ63" s="29" t="s">
        <v>160</v>
      </c>
      <c r="AK63" s="24" t="s">
        <v>160</v>
      </c>
      <c r="AL63" s="24" t="s">
        <v>160</v>
      </c>
      <c r="AM63" s="24" t="s">
        <v>160</v>
      </c>
      <c r="AN63" s="24" t="s">
        <v>160</v>
      </c>
      <c r="AO63" s="24" t="s">
        <v>160</v>
      </c>
      <c r="AP63" s="41"/>
    </row>
    <row r="64" spans="5:42" x14ac:dyDescent="0.25">
      <c r="E64" s="24" t="s">
        <v>139</v>
      </c>
      <c r="F64" s="24" t="s">
        <v>211</v>
      </c>
      <c r="G64">
        <v>11</v>
      </c>
      <c r="H64" t="s">
        <v>100</v>
      </c>
      <c r="I64" s="22" t="s">
        <v>207</v>
      </c>
      <c r="J64" s="22">
        <v>1070684701</v>
      </c>
      <c r="K64" t="s">
        <v>101</v>
      </c>
      <c r="L64" t="s">
        <v>210</v>
      </c>
      <c r="M64">
        <v>9</v>
      </c>
      <c r="N64">
        <v>9</v>
      </c>
      <c r="O64">
        <v>9</v>
      </c>
      <c r="P64" t="s">
        <v>103</v>
      </c>
      <c r="Q64" s="29">
        <v>5719.34</v>
      </c>
      <c r="R64">
        <v>51474</v>
      </c>
      <c r="S64">
        <v>20141230</v>
      </c>
      <c r="T64">
        <v>0</v>
      </c>
      <c r="U64">
        <v>0</v>
      </c>
      <c r="V64">
        <v>51474</v>
      </c>
      <c r="W64" t="s">
        <v>104</v>
      </c>
      <c r="X64" t="s">
        <v>105</v>
      </c>
      <c r="AD64">
        <v>61</v>
      </c>
      <c r="AE64" s="24" t="s">
        <v>302</v>
      </c>
      <c r="AF64" s="24" t="s">
        <v>160</v>
      </c>
      <c r="AG64" s="24" t="s">
        <v>160</v>
      </c>
      <c r="AH64" s="24" t="s">
        <v>160</v>
      </c>
      <c r="AI64" t="s">
        <v>160</v>
      </c>
      <c r="AJ64" s="29" t="s">
        <v>160</v>
      </c>
      <c r="AK64" s="24" t="s">
        <v>160</v>
      </c>
      <c r="AL64" s="24" t="s">
        <v>160</v>
      </c>
      <c r="AM64" s="24" t="s">
        <v>160</v>
      </c>
      <c r="AN64" s="24" t="s">
        <v>160</v>
      </c>
      <c r="AO64" s="24" t="s">
        <v>160</v>
      </c>
      <c r="AP64" s="41"/>
    </row>
    <row r="65" spans="5:42" x14ac:dyDescent="0.25">
      <c r="E65" s="24" t="s">
        <v>139</v>
      </c>
      <c r="F65" s="24" t="s">
        <v>211</v>
      </c>
      <c r="G65">
        <v>12</v>
      </c>
      <c r="H65" t="s">
        <v>100</v>
      </c>
      <c r="I65" s="22" t="s">
        <v>207</v>
      </c>
      <c r="J65" s="22">
        <v>1070186801</v>
      </c>
      <c r="K65" t="s">
        <v>101</v>
      </c>
      <c r="L65" t="s">
        <v>210</v>
      </c>
      <c r="M65">
        <v>9</v>
      </c>
      <c r="N65">
        <v>8</v>
      </c>
      <c r="O65">
        <v>8</v>
      </c>
      <c r="P65" t="s">
        <v>103</v>
      </c>
      <c r="Q65" s="29">
        <v>5719.34</v>
      </c>
      <c r="R65">
        <v>45755</v>
      </c>
      <c r="S65">
        <v>20141229</v>
      </c>
      <c r="T65">
        <v>0</v>
      </c>
      <c r="U65">
        <v>0</v>
      </c>
      <c r="V65">
        <v>45755</v>
      </c>
      <c r="W65" t="s">
        <v>104</v>
      </c>
      <c r="X65" t="s">
        <v>105</v>
      </c>
      <c r="AD65">
        <v>62</v>
      </c>
      <c r="AE65" s="24" t="s">
        <v>303</v>
      </c>
      <c r="AF65" s="24" t="s">
        <v>160</v>
      </c>
      <c r="AG65" s="24" t="s">
        <v>160</v>
      </c>
      <c r="AH65" s="24" t="s">
        <v>160</v>
      </c>
      <c r="AI65" t="s">
        <v>160</v>
      </c>
      <c r="AJ65" s="29" t="s">
        <v>160</v>
      </c>
      <c r="AK65" s="24" t="s">
        <v>160</v>
      </c>
      <c r="AL65" s="24" t="s">
        <v>160</v>
      </c>
      <c r="AM65" s="24" t="s">
        <v>160</v>
      </c>
      <c r="AN65" s="24" t="s">
        <v>160</v>
      </c>
      <c r="AO65" s="24" t="s">
        <v>160</v>
      </c>
      <c r="AP65" s="41"/>
    </row>
    <row r="66" spans="5:42" x14ac:dyDescent="0.25">
      <c r="E66" s="24" t="s">
        <v>139</v>
      </c>
      <c r="F66" s="24" t="s">
        <v>211</v>
      </c>
      <c r="G66">
        <v>13</v>
      </c>
      <c r="H66" t="s">
        <v>100</v>
      </c>
      <c r="I66" s="22" t="s">
        <v>207</v>
      </c>
      <c r="J66" s="22">
        <v>1069652401</v>
      </c>
      <c r="K66" t="s">
        <v>101</v>
      </c>
      <c r="L66" t="s">
        <v>210</v>
      </c>
      <c r="M66">
        <v>9</v>
      </c>
      <c r="N66">
        <v>4</v>
      </c>
      <c r="O66">
        <v>4</v>
      </c>
      <c r="P66" t="s">
        <v>103</v>
      </c>
      <c r="Q66" s="29">
        <v>5719.34</v>
      </c>
      <c r="R66">
        <v>22877</v>
      </c>
      <c r="S66">
        <v>20141226</v>
      </c>
      <c r="T66">
        <v>0</v>
      </c>
      <c r="U66">
        <v>0</v>
      </c>
      <c r="V66">
        <v>22877</v>
      </c>
      <c r="W66" t="s">
        <v>104</v>
      </c>
      <c r="X66" t="s">
        <v>105</v>
      </c>
      <c r="AD66">
        <v>63</v>
      </c>
      <c r="AE66" s="24" t="s">
        <v>304</v>
      </c>
      <c r="AF66" s="24" t="s">
        <v>160</v>
      </c>
      <c r="AG66" s="24" t="s">
        <v>160</v>
      </c>
      <c r="AH66" s="24" t="s">
        <v>160</v>
      </c>
      <c r="AI66" t="s">
        <v>160</v>
      </c>
      <c r="AJ66" s="29" t="s">
        <v>160</v>
      </c>
      <c r="AK66" s="24" t="s">
        <v>160</v>
      </c>
      <c r="AL66" s="24" t="s">
        <v>160</v>
      </c>
      <c r="AM66" s="24" t="s">
        <v>160</v>
      </c>
      <c r="AN66" s="24" t="s">
        <v>160</v>
      </c>
      <c r="AO66" s="24" t="s">
        <v>160</v>
      </c>
      <c r="AP66" s="41"/>
    </row>
    <row r="67" spans="5:42" x14ac:dyDescent="0.25">
      <c r="E67" s="24" t="s">
        <v>139</v>
      </c>
      <c r="F67" s="24" t="s">
        <v>211</v>
      </c>
      <c r="G67">
        <v>14</v>
      </c>
      <c r="H67" t="s">
        <v>100</v>
      </c>
      <c r="I67" s="22" t="s">
        <v>207</v>
      </c>
      <c r="J67" s="22">
        <v>1069154101</v>
      </c>
      <c r="K67" t="s">
        <v>101</v>
      </c>
      <c r="L67" t="s">
        <v>210</v>
      </c>
      <c r="M67">
        <v>9</v>
      </c>
      <c r="N67">
        <v>5</v>
      </c>
      <c r="O67">
        <v>5</v>
      </c>
      <c r="P67" t="s">
        <v>103</v>
      </c>
      <c r="Q67" s="29">
        <v>5719.34</v>
      </c>
      <c r="R67">
        <v>28597</v>
      </c>
      <c r="S67">
        <v>20141225</v>
      </c>
      <c r="T67">
        <v>0</v>
      </c>
      <c r="U67">
        <v>0</v>
      </c>
      <c r="V67">
        <v>28597</v>
      </c>
      <c r="W67" t="s">
        <v>104</v>
      </c>
      <c r="X67" t="s">
        <v>105</v>
      </c>
      <c r="AD67">
        <v>64</v>
      </c>
      <c r="AE67" s="24" t="s">
        <v>305</v>
      </c>
      <c r="AF67" s="24" t="s">
        <v>160</v>
      </c>
      <c r="AG67" s="24" t="s">
        <v>160</v>
      </c>
      <c r="AH67" s="24" t="s">
        <v>160</v>
      </c>
      <c r="AI67" t="s">
        <v>160</v>
      </c>
      <c r="AJ67" s="29" t="s">
        <v>160</v>
      </c>
      <c r="AK67" s="24" t="s">
        <v>160</v>
      </c>
      <c r="AL67" s="24" t="s">
        <v>160</v>
      </c>
      <c r="AM67" s="24" t="s">
        <v>160</v>
      </c>
      <c r="AN67" s="24" t="s">
        <v>160</v>
      </c>
      <c r="AO67" s="24" t="s">
        <v>160</v>
      </c>
      <c r="AP67" s="41"/>
    </row>
    <row r="68" spans="5:42" x14ac:dyDescent="0.25">
      <c r="E68" s="24" t="s">
        <v>139</v>
      </c>
      <c r="F68" s="24" t="s">
        <v>211</v>
      </c>
      <c r="G68">
        <v>15</v>
      </c>
      <c r="H68" t="s">
        <v>100</v>
      </c>
      <c r="I68" s="22" t="s">
        <v>207</v>
      </c>
      <c r="J68" s="22">
        <v>1068208301</v>
      </c>
      <c r="K68" t="s">
        <v>101</v>
      </c>
      <c r="L68" t="s">
        <v>210</v>
      </c>
      <c r="M68">
        <v>9</v>
      </c>
      <c r="N68">
        <v>1</v>
      </c>
      <c r="O68">
        <v>1</v>
      </c>
      <c r="P68" t="s">
        <v>103</v>
      </c>
      <c r="Q68" s="29">
        <v>5719.34</v>
      </c>
      <c r="R68">
        <v>5719</v>
      </c>
      <c r="S68">
        <v>20141223</v>
      </c>
      <c r="T68">
        <v>0</v>
      </c>
      <c r="U68">
        <v>0</v>
      </c>
      <c r="V68">
        <v>5719</v>
      </c>
      <c r="W68" t="s">
        <v>104</v>
      </c>
      <c r="X68" t="s">
        <v>105</v>
      </c>
      <c r="AD68">
        <v>65</v>
      </c>
      <c r="AE68" s="24" t="s">
        <v>306</v>
      </c>
      <c r="AF68" s="24" t="s">
        <v>160</v>
      </c>
      <c r="AG68" s="24" t="s">
        <v>160</v>
      </c>
      <c r="AH68" s="24" t="s">
        <v>160</v>
      </c>
      <c r="AI68" t="s">
        <v>160</v>
      </c>
      <c r="AJ68" s="29" t="s">
        <v>160</v>
      </c>
      <c r="AK68" s="24" t="s">
        <v>160</v>
      </c>
      <c r="AL68" s="24" t="s">
        <v>160</v>
      </c>
      <c r="AM68" s="24" t="s">
        <v>160</v>
      </c>
      <c r="AN68" s="24" t="s">
        <v>160</v>
      </c>
      <c r="AO68" s="24" t="s">
        <v>160</v>
      </c>
      <c r="AP68" s="41"/>
    </row>
    <row r="69" spans="5:42" x14ac:dyDescent="0.25">
      <c r="E69" s="24" t="s">
        <v>139</v>
      </c>
      <c r="F69" s="24" t="s">
        <v>211</v>
      </c>
      <c r="G69">
        <v>16</v>
      </c>
      <c r="H69" t="s">
        <v>100</v>
      </c>
      <c r="I69" s="22" t="s">
        <v>207</v>
      </c>
      <c r="J69" s="22">
        <v>1068419001</v>
      </c>
      <c r="K69" t="s">
        <v>101</v>
      </c>
      <c r="L69" t="s">
        <v>210</v>
      </c>
      <c r="M69">
        <v>9</v>
      </c>
      <c r="N69">
        <v>6</v>
      </c>
      <c r="O69">
        <v>6</v>
      </c>
      <c r="P69" t="s">
        <v>103</v>
      </c>
      <c r="Q69" s="29">
        <v>5719.34</v>
      </c>
      <c r="R69">
        <v>34316</v>
      </c>
      <c r="S69">
        <v>20141223</v>
      </c>
      <c r="T69">
        <v>0</v>
      </c>
      <c r="U69">
        <v>0</v>
      </c>
      <c r="V69">
        <v>34316</v>
      </c>
      <c r="W69" t="s">
        <v>104</v>
      </c>
      <c r="X69" t="s">
        <v>105</v>
      </c>
      <c r="AD69">
        <v>66</v>
      </c>
      <c r="AE69" s="24" t="s">
        <v>307</v>
      </c>
      <c r="AF69" s="24" t="s">
        <v>160</v>
      </c>
      <c r="AG69" s="24" t="s">
        <v>160</v>
      </c>
      <c r="AH69" s="24" t="s">
        <v>160</v>
      </c>
      <c r="AI69" t="s">
        <v>160</v>
      </c>
      <c r="AJ69" s="29" t="s">
        <v>160</v>
      </c>
      <c r="AK69" s="24" t="s">
        <v>160</v>
      </c>
      <c r="AL69" s="24" t="s">
        <v>160</v>
      </c>
      <c r="AM69" s="24" t="s">
        <v>160</v>
      </c>
      <c r="AN69" s="24" t="s">
        <v>160</v>
      </c>
      <c r="AO69" s="24" t="s">
        <v>160</v>
      </c>
      <c r="AP69" s="41"/>
    </row>
    <row r="70" spans="5:42" x14ac:dyDescent="0.25">
      <c r="E70" s="24" t="s">
        <v>139</v>
      </c>
      <c r="F70" s="24" t="s">
        <v>211</v>
      </c>
      <c r="G70">
        <v>17</v>
      </c>
      <c r="H70" t="s">
        <v>100</v>
      </c>
      <c r="I70" s="22" t="s">
        <v>207</v>
      </c>
      <c r="J70" s="22">
        <v>1063943301</v>
      </c>
      <c r="K70" t="s">
        <v>101</v>
      </c>
      <c r="L70" t="s">
        <v>210</v>
      </c>
      <c r="M70">
        <v>9</v>
      </c>
      <c r="N70">
        <v>17</v>
      </c>
      <c r="O70">
        <v>17</v>
      </c>
      <c r="P70" t="s">
        <v>103</v>
      </c>
      <c r="Q70" s="29">
        <v>5719.34</v>
      </c>
      <c r="R70">
        <v>97229</v>
      </c>
      <c r="S70">
        <v>20141210</v>
      </c>
      <c r="T70">
        <v>0</v>
      </c>
      <c r="U70">
        <v>0</v>
      </c>
      <c r="V70">
        <v>97229</v>
      </c>
      <c r="W70" t="s">
        <v>104</v>
      </c>
      <c r="X70" t="s">
        <v>105</v>
      </c>
      <c r="AD70">
        <v>67</v>
      </c>
      <c r="AE70" s="24" t="s">
        <v>308</v>
      </c>
      <c r="AF70" s="24" t="s">
        <v>160</v>
      </c>
      <c r="AG70" s="24" t="s">
        <v>160</v>
      </c>
      <c r="AH70" s="24" t="s">
        <v>160</v>
      </c>
      <c r="AI70" t="s">
        <v>160</v>
      </c>
      <c r="AJ70" s="29" t="s">
        <v>160</v>
      </c>
      <c r="AK70" s="24" t="s">
        <v>160</v>
      </c>
      <c r="AL70" s="24" t="s">
        <v>160</v>
      </c>
      <c r="AM70" s="24" t="s">
        <v>160</v>
      </c>
      <c r="AN70" s="24" t="s">
        <v>160</v>
      </c>
      <c r="AO70" s="24" t="s">
        <v>160</v>
      </c>
      <c r="AP70" s="41"/>
    </row>
    <row r="71" spans="5:42" x14ac:dyDescent="0.25">
      <c r="E71" s="24" t="s">
        <v>139</v>
      </c>
      <c r="F71" s="24" t="s">
        <v>211</v>
      </c>
      <c r="G71">
        <v>18</v>
      </c>
      <c r="H71" t="s">
        <v>100</v>
      </c>
      <c r="I71" s="22" t="s">
        <v>207</v>
      </c>
      <c r="J71" s="22">
        <v>1064526301</v>
      </c>
      <c r="K71" t="s">
        <v>101</v>
      </c>
      <c r="L71" t="s">
        <v>210</v>
      </c>
      <c r="M71">
        <v>9</v>
      </c>
      <c r="N71">
        <v>7</v>
      </c>
      <c r="O71">
        <v>7</v>
      </c>
      <c r="P71" t="s">
        <v>103</v>
      </c>
      <c r="Q71" s="29">
        <v>5719.34</v>
      </c>
      <c r="R71">
        <v>40035</v>
      </c>
      <c r="S71">
        <v>20141211</v>
      </c>
      <c r="T71">
        <v>0</v>
      </c>
      <c r="U71">
        <v>0</v>
      </c>
      <c r="V71">
        <v>40035</v>
      </c>
      <c r="W71" t="s">
        <v>104</v>
      </c>
      <c r="X71" t="s">
        <v>105</v>
      </c>
      <c r="AD71">
        <v>68</v>
      </c>
      <c r="AE71" s="24" t="s">
        <v>309</v>
      </c>
      <c r="AF71" s="24" t="s">
        <v>160</v>
      </c>
      <c r="AG71" s="24" t="s">
        <v>160</v>
      </c>
      <c r="AH71" s="24" t="s">
        <v>160</v>
      </c>
      <c r="AI71" t="s">
        <v>160</v>
      </c>
      <c r="AJ71" s="29" t="s">
        <v>160</v>
      </c>
      <c r="AK71" s="24" t="s">
        <v>160</v>
      </c>
      <c r="AL71" s="24" t="s">
        <v>160</v>
      </c>
      <c r="AM71" s="24" t="s">
        <v>160</v>
      </c>
      <c r="AN71" s="24" t="s">
        <v>160</v>
      </c>
      <c r="AO71" s="24" t="s">
        <v>160</v>
      </c>
      <c r="AP71" s="41"/>
    </row>
    <row r="72" spans="5:42" x14ac:dyDescent="0.25">
      <c r="E72" s="24" t="s">
        <v>139</v>
      </c>
      <c r="F72" s="24" t="s">
        <v>211</v>
      </c>
      <c r="G72">
        <v>19</v>
      </c>
      <c r="H72" t="s">
        <v>100</v>
      </c>
      <c r="I72" s="22" t="s">
        <v>207</v>
      </c>
      <c r="J72" s="22">
        <v>1065097301</v>
      </c>
      <c r="K72" t="s">
        <v>101</v>
      </c>
      <c r="L72" t="s">
        <v>210</v>
      </c>
      <c r="M72">
        <v>9</v>
      </c>
      <c r="N72">
        <v>2</v>
      </c>
      <c r="O72">
        <v>2</v>
      </c>
      <c r="P72" t="s">
        <v>103</v>
      </c>
      <c r="Q72" s="29">
        <v>5719.34</v>
      </c>
      <c r="R72">
        <v>11439</v>
      </c>
      <c r="S72">
        <v>20141212</v>
      </c>
      <c r="T72">
        <v>0</v>
      </c>
      <c r="U72">
        <v>0</v>
      </c>
      <c r="V72">
        <v>11439</v>
      </c>
      <c r="W72" t="s">
        <v>104</v>
      </c>
      <c r="X72" t="s">
        <v>105</v>
      </c>
      <c r="AD72">
        <v>69</v>
      </c>
      <c r="AE72" s="24" t="s">
        <v>310</v>
      </c>
      <c r="AF72" s="24" t="s">
        <v>160</v>
      </c>
      <c r="AG72" s="24" t="s">
        <v>160</v>
      </c>
      <c r="AH72" s="24" t="s">
        <v>160</v>
      </c>
      <c r="AI72" t="s">
        <v>160</v>
      </c>
      <c r="AJ72" s="29" t="s">
        <v>160</v>
      </c>
      <c r="AK72" s="24" t="s">
        <v>160</v>
      </c>
      <c r="AL72" s="24" t="s">
        <v>160</v>
      </c>
      <c r="AM72" s="24" t="s">
        <v>160</v>
      </c>
      <c r="AN72" s="24" t="s">
        <v>160</v>
      </c>
      <c r="AO72" s="24" t="s">
        <v>160</v>
      </c>
      <c r="AP72" s="41"/>
    </row>
    <row r="73" spans="5:42" x14ac:dyDescent="0.25">
      <c r="E73" s="24" t="s">
        <v>139</v>
      </c>
      <c r="F73" s="24" t="s">
        <v>211</v>
      </c>
      <c r="G73">
        <v>20</v>
      </c>
      <c r="H73" t="s">
        <v>100</v>
      </c>
      <c r="I73" s="22" t="s">
        <v>207</v>
      </c>
      <c r="J73" s="22">
        <v>1065385001</v>
      </c>
      <c r="K73" t="s">
        <v>101</v>
      </c>
      <c r="L73" t="s">
        <v>210</v>
      </c>
      <c r="M73">
        <v>9</v>
      </c>
      <c r="N73">
        <v>1</v>
      </c>
      <c r="O73">
        <v>1</v>
      </c>
      <c r="P73" t="s">
        <v>103</v>
      </c>
      <c r="Q73" s="29">
        <v>5719.34</v>
      </c>
      <c r="R73">
        <v>5719</v>
      </c>
      <c r="S73">
        <v>20141215</v>
      </c>
      <c r="T73">
        <v>0</v>
      </c>
      <c r="U73">
        <v>0</v>
      </c>
      <c r="V73">
        <v>5719</v>
      </c>
      <c r="W73" t="s">
        <v>104</v>
      </c>
      <c r="X73" t="s">
        <v>105</v>
      </c>
      <c r="AD73">
        <v>70</v>
      </c>
      <c r="AE73" s="24" t="s">
        <v>311</v>
      </c>
      <c r="AF73" s="24" t="s">
        <v>160</v>
      </c>
      <c r="AG73" s="24" t="s">
        <v>160</v>
      </c>
      <c r="AH73" s="24" t="s">
        <v>160</v>
      </c>
      <c r="AI73" t="s">
        <v>160</v>
      </c>
      <c r="AJ73" s="29" t="s">
        <v>160</v>
      </c>
      <c r="AK73" s="24" t="s">
        <v>160</v>
      </c>
      <c r="AL73" s="24" t="s">
        <v>160</v>
      </c>
      <c r="AM73" s="24" t="s">
        <v>160</v>
      </c>
      <c r="AN73" s="24" t="s">
        <v>160</v>
      </c>
      <c r="AO73" s="24" t="s">
        <v>160</v>
      </c>
      <c r="AP73" s="41"/>
    </row>
    <row r="74" spans="5:42" x14ac:dyDescent="0.25">
      <c r="E74" s="24" t="s">
        <v>139</v>
      </c>
      <c r="F74" s="24" t="s">
        <v>211</v>
      </c>
      <c r="G74">
        <v>21</v>
      </c>
      <c r="H74" t="s">
        <v>100</v>
      </c>
      <c r="I74" s="22" t="s">
        <v>207</v>
      </c>
      <c r="J74" s="22">
        <v>1064074601</v>
      </c>
      <c r="K74" t="s">
        <v>101</v>
      </c>
      <c r="L74" t="s">
        <v>210</v>
      </c>
      <c r="M74">
        <v>9</v>
      </c>
      <c r="N74">
        <v>4</v>
      </c>
      <c r="O74">
        <v>4</v>
      </c>
      <c r="P74" t="s">
        <v>103</v>
      </c>
      <c r="Q74" s="29">
        <v>5719.34</v>
      </c>
      <c r="R74">
        <v>22877</v>
      </c>
      <c r="S74">
        <v>20141210</v>
      </c>
      <c r="T74">
        <v>0</v>
      </c>
      <c r="U74">
        <v>0</v>
      </c>
      <c r="V74">
        <v>22877</v>
      </c>
      <c r="W74" t="s">
        <v>104</v>
      </c>
      <c r="X74" t="s">
        <v>105</v>
      </c>
      <c r="AD74">
        <v>71</v>
      </c>
      <c r="AE74" s="24" t="s">
        <v>312</v>
      </c>
      <c r="AF74" s="24" t="s">
        <v>160</v>
      </c>
      <c r="AG74" s="24" t="s">
        <v>160</v>
      </c>
      <c r="AH74" s="24" t="s">
        <v>160</v>
      </c>
      <c r="AI74" t="s">
        <v>160</v>
      </c>
      <c r="AJ74" s="29" t="s">
        <v>160</v>
      </c>
      <c r="AK74" s="24" t="s">
        <v>160</v>
      </c>
      <c r="AL74" s="24" t="s">
        <v>160</v>
      </c>
      <c r="AM74" s="24" t="s">
        <v>160</v>
      </c>
      <c r="AN74" s="24" t="s">
        <v>160</v>
      </c>
      <c r="AO74" s="24" t="s">
        <v>160</v>
      </c>
      <c r="AP74" s="41"/>
    </row>
    <row r="75" spans="5:42" x14ac:dyDescent="0.25">
      <c r="E75" s="24" t="s">
        <v>139</v>
      </c>
      <c r="F75" s="24" t="s">
        <v>211</v>
      </c>
      <c r="G75">
        <v>22</v>
      </c>
      <c r="H75" t="s">
        <v>100</v>
      </c>
      <c r="I75" s="22" t="s">
        <v>207</v>
      </c>
      <c r="J75" s="22">
        <v>1061892701</v>
      </c>
      <c r="K75" t="s">
        <v>101</v>
      </c>
      <c r="L75" t="s">
        <v>210</v>
      </c>
      <c r="M75">
        <v>9</v>
      </c>
      <c r="N75">
        <v>10</v>
      </c>
      <c r="O75">
        <v>10</v>
      </c>
      <c r="P75" t="s">
        <v>103</v>
      </c>
      <c r="Q75" s="29">
        <v>5719.34</v>
      </c>
      <c r="R75">
        <v>57193</v>
      </c>
      <c r="S75">
        <v>20141204</v>
      </c>
      <c r="T75">
        <v>0</v>
      </c>
      <c r="U75">
        <v>0</v>
      </c>
      <c r="V75">
        <v>57193</v>
      </c>
      <c r="W75" t="s">
        <v>104</v>
      </c>
      <c r="X75" t="s">
        <v>105</v>
      </c>
      <c r="AD75">
        <v>72</v>
      </c>
      <c r="AE75" s="24" t="s">
        <v>313</v>
      </c>
      <c r="AF75" s="24" t="s">
        <v>160</v>
      </c>
      <c r="AG75" s="24" t="s">
        <v>160</v>
      </c>
      <c r="AH75" s="24" t="s">
        <v>160</v>
      </c>
      <c r="AI75" t="s">
        <v>160</v>
      </c>
      <c r="AJ75" s="29" t="s">
        <v>160</v>
      </c>
      <c r="AK75" s="24" t="s">
        <v>160</v>
      </c>
      <c r="AL75" s="24" t="s">
        <v>160</v>
      </c>
      <c r="AM75" s="24" t="s">
        <v>160</v>
      </c>
      <c r="AN75" s="24" t="s">
        <v>160</v>
      </c>
      <c r="AO75" s="24" t="s">
        <v>160</v>
      </c>
      <c r="AP75" s="41"/>
    </row>
    <row r="76" spans="5:42" x14ac:dyDescent="0.25">
      <c r="E76" s="24" t="s">
        <v>139</v>
      </c>
      <c r="F76" s="24" t="s">
        <v>212</v>
      </c>
      <c r="G76">
        <v>1</v>
      </c>
      <c r="H76" t="s">
        <v>100</v>
      </c>
      <c r="I76" s="22" t="s">
        <v>207</v>
      </c>
      <c r="J76" s="22">
        <v>1072507601</v>
      </c>
      <c r="K76" t="s">
        <v>101</v>
      </c>
      <c r="L76" t="s">
        <v>210</v>
      </c>
      <c r="M76">
        <v>9</v>
      </c>
      <c r="N76">
        <v>4</v>
      </c>
      <c r="O76">
        <v>4</v>
      </c>
      <c r="P76" t="s">
        <v>103</v>
      </c>
      <c r="Q76" s="29">
        <v>5719.34</v>
      </c>
      <c r="R76">
        <v>22877</v>
      </c>
      <c r="S76">
        <v>20150106</v>
      </c>
      <c r="T76">
        <v>0</v>
      </c>
      <c r="U76">
        <v>0</v>
      </c>
      <c r="V76">
        <v>22877</v>
      </c>
      <c r="W76" t="s">
        <v>104</v>
      </c>
      <c r="X76" t="s">
        <v>105</v>
      </c>
      <c r="Y76">
        <v>3</v>
      </c>
      <c r="Z76">
        <v>743621</v>
      </c>
      <c r="AA76">
        <v>0</v>
      </c>
      <c r="AB76">
        <v>0</v>
      </c>
      <c r="AC76">
        <v>743621</v>
      </c>
      <c r="AD76">
        <v>73</v>
      </c>
      <c r="AE76" s="24" t="s">
        <v>314</v>
      </c>
      <c r="AF76" s="24" t="s">
        <v>160</v>
      </c>
      <c r="AG76" s="24" t="s">
        <v>160</v>
      </c>
      <c r="AH76" s="24" t="s">
        <v>160</v>
      </c>
      <c r="AI76" t="s">
        <v>160</v>
      </c>
      <c r="AJ76" s="29" t="s">
        <v>160</v>
      </c>
      <c r="AK76" s="24" t="s">
        <v>160</v>
      </c>
      <c r="AL76" s="24" t="s">
        <v>160</v>
      </c>
      <c r="AM76" s="24" t="s">
        <v>160</v>
      </c>
      <c r="AN76" s="24" t="s">
        <v>160</v>
      </c>
      <c r="AO76" s="24" t="s">
        <v>160</v>
      </c>
      <c r="AP76" s="41"/>
    </row>
    <row r="77" spans="5:42" x14ac:dyDescent="0.25">
      <c r="E77" s="24" t="s">
        <v>139</v>
      </c>
      <c r="F77" s="24" t="s">
        <v>212</v>
      </c>
      <c r="G77">
        <v>2</v>
      </c>
      <c r="H77" t="s">
        <v>100</v>
      </c>
      <c r="I77" s="22" t="s">
        <v>207</v>
      </c>
      <c r="J77" s="22">
        <v>1073500501</v>
      </c>
      <c r="K77" t="s">
        <v>101</v>
      </c>
      <c r="L77" t="s">
        <v>210</v>
      </c>
      <c r="M77">
        <v>9</v>
      </c>
      <c r="N77">
        <v>2</v>
      </c>
      <c r="O77">
        <v>2</v>
      </c>
      <c r="P77" t="s">
        <v>103</v>
      </c>
      <c r="Q77" s="29">
        <v>5719.34</v>
      </c>
      <c r="R77">
        <v>11439</v>
      </c>
      <c r="S77">
        <v>20150108</v>
      </c>
      <c r="T77">
        <v>0</v>
      </c>
      <c r="U77">
        <v>0</v>
      </c>
      <c r="V77">
        <v>11439</v>
      </c>
      <c r="W77" t="s">
        <v>104</v>
      </c>
      <c r="X77" t="s">
        <v>105</v>
      </c>
      <c r="AD77">
        <v>74</v>
      </c>
      <c r="AE77" s="24" t="s">
        <v>315</v>
      </c>
      <c r="AF77" s="24" t="s">
        <v>160</v>
      </c>
      <c r="AG77" s="24" t="s">
        <v>160</v>
      </c>
      <c r="AH77" s="24" t="s">
        <v>160</v>
      </c>
      <c r="AI77" t="s">
        <v>160</v>
      </c>
      <c r="AJ77" s="29" t="s">
        <v>160</v>
      </c>
      <c r="AK77" s="24" t="s">
        <v>160</v>
      </c>
      <c r="AL77" s="24" t="s">
        <v>160</v>
      </c>
      <c r="AM77" s="24" t="s">
        <v>160</v>
      </c>
      <c r="AN77" s="24" t="s">
        <v>160</v>
      </c>
      <c r="AO77" s="24" t="s">
        <v>160</v>
      </c>
      <c r="AP77" s="41"/>
    </row>
    <row r="78" spans="5:42" x14ac:dyDescent="0.25">
      <c r="E78" s="24" t="s">
        <v>139</v>
      </c>
      <c r="F78" s="24" t="s">
        <v>212</v>
      </c>
      <c r="G78">
        <v>3</v>
      </c>
      <c r="H78" t="s">
        <v>100</v>
      </c>
      <c r="I78" s="22" t="s">
        <v>207</v>
      </c>
      <c r="J78" s="22">
        <v>1073221801</v>
      </c>
      <c r="K78" t="s">
        <v>101</v>
      </c>
      <c r="L78" t="s">
        <v>210</v>
      </c>
      <c r="M78">
        <v>9</v>
      </c>
      <c r="N78">
        <v>2</v>
      </c>
      <c r="O78">
        <v>2</v>
      </c>
      <c r="P78" t="s">
        <v>103</v>
      </c>
      <c r="Q78" s="29">
        <v>5719.34</v>
      </c>
      <c r="R78">
        <v>11439</v>
      </c>
      <c r="S78">
        <v>20150108</v>
      </c>
      <c r="T78">
        <v>0</v>
      </c>
      <c r="U78">
        <v>0</v>
      </c>
      <c r="V78">
        <v>11439</v>
      </c>
      <c r="W78" t="s">
        <v>104</v>
      </c>
      <c r="X78" t="s">
        <v>105</v>
      </c>
      <c r="AD78">
        <v>75</v>
      </c>
      <c r="AE78" s="24" t="s">
        <v>316</v>
      </c>
      <c r="AF78" s="24" t="s">
        <v>160</v>
      </c>
      <c r="AG78" s="24" t="s">
        <v>160</v>
      </c>
      <c r="AH78" s="24" t="s">
        <v>160</v>
      </c>
      <c r="AI78" t="s">
        <v>160</v>
      </c>
      <c r="AJ78" s="29" t="s">
        <v>160</v>
      </c>
      <c r="AK78" s="24" t="s">
        <v>160</v>
      </c>
      <c r="AL78" s="24" t="s">
        <v>160</v>
      </c>
      <c r="AM78" s="24" t="s">
        <v>160</v>
      </c>
      <c r="AN78" s="24" t="s">
        <v>160</v>
      </c>
      <c r="AO78" s="24" t="s">
        <v>160</v>
      </c>
      <c r="AP78" s="41"/>
    </row>
    <row r="79" spans="5:42" x14ac:dyDescent="0.25">
      <c r="E79" s="24" t="s">
        <v>139</v>
      </c>
      <c r="F79" s="24" t="s">
        <v>212</v>
      </c>
      <c r="G79">
        <v>4</v>
      </c>
      <c r="H79" t="s">
        <v>100</v>
      </c>
      <c r="I79" s="22" t="s">
        <v>207</v>
      </c>
      <c r="J79" s="22">
        <v>1074018801</v>
      </c>
      <c r="K79" t="s">
        <v>101</v>
      </c>
      <c r="L79" t="s">
        <v>210</v>
      </c>
      <c r="M79">
        <v>9</v>
      </c>
      <c r="N79">
        <v>2</v>
      </c>
      <c r="O79">
        <v>2</v>
      </c>
      <c r="P79" t="s">
        <v>103</v>
      </c>
      <c r="Q79" s="29">
        <v>5719.34</v>
      </c>
      <c r="R79">
        <v>11439</v>
      </c>
      <c r="S79">
        <v>20150109</v>
      </c>
      <c r="T79">
        <v>0</v>
      </c>
      <c r="U79">
        <v>0</v>
      </c>
      <c r="V79">
        <v>11439</v>
      </c>
      <c r="W79" t="s">
        <v>104</v>
      </c>
      <c r="X79" t="s">
        <v>105</v>
      </c>
      <c r="AD79">
        <v>76</v>
      </c>
      <c r="AE79" s="24" t="s">
        <v>317</v>
      </c>
      <c r="AF79" s="24" t="s">
        <v>160</v>
      </c>
      <c r="AG79" s="24" t="s">
        <v>160</v>
      </c>
      <c r="AH79" s="24" t="s">
        <v>160</v>
      </c>
      <c r="AI79" t="s">
        <v>160</v>
      </c>
      <c r="AJ79" s="29" t="s">
        <v>160</v>
      </c>
      <c r="AK79" s="24" t="s">
        <v>160</v>
      </c>
      <c r="AL79" s="24" t="s">
        <v>160</v>
      </c>
      <c r="AM79" s="24" t="s">
        <v>160</v>
      </c>
      <c r="AN79" s="24" t="s">
        <v>160</v>
      </c>
      <c r="AO79" s="24" t="s">
        <v>160</v>
      </c>
      <c r="AP79" s="41"/>
    </row>
    <row r="80" spans="5:42" x14ac:dyDescent="0.25">
      <c r="E80" s="24" t="s">
        <v>139</v>
      </c>
      <c r="F80" s="24" t="s">
        <v>212</v>
      </c>
      <c r="G80">
        <v>5</v>
      </c>
      <c r="H80" t="s">
        <v>100</v>
      </c>
      <c r="I80" s="22" t="s">
        <v>207</v>
      </c>
      <c r="J80" s="22">
        <v>1074810801</v>
      </c>
      <c r="K80" t="s">
        <v>101</v>
      </c>
      <c r="L80" t="s">
        <v>210</v>
      </c>
      <c r="M80">
        <v>9</v>
      </c>
      <c r="N80">
        <v>3</v>
      </c>
      <c r="O80">
        <v>3</v>
      </c>
      <c r="P80" t="s">
        <v>103</v>
      </c>
      <c r="Q80" s="29">
        <v>5719.34</v>
      </c>
      <c r="R80">
        <v>17158</v>
      </c>
      <c r="S80">
        <v>20150112</v>
      </c>
      <c r="T80">
        <v>0</v>
      </c>
      <c r="U80">
        <v>0</v>
      </c>
      <c r="V80">
        <v>17158</v>
      </c>
      <c r="W80" t="s">
        <v>104</v>
      </c>
      <c r="X80" t="s">
        <v>105</v>
      </c>
      <c r="AD80">
        <v>77</v>
      </c>
      <c r="AE80" s="24" t="s">
        <v>318</v>
      </c>
      <c r="AF80" s="24" t="s">
        <v>160</v>
      </c>
      <c r="AG80" s="24" t="s">
        <v>160</v>
      </c>
      <c r="AH80" s="24" t="s">
        <v>160</v>
      </c>
      <c r="AI80" t="s">
        <v>160</v>
      </c>
      <c r="AJ80" s="29" t="s">
        <v>160</v>
      </c>
      <c r="AK80" s="24" t="s">
        <v>160</v>
      </c>
      <c r="AL80" s="24" t="s">
        <v>160</v>
      </c>
      <c r="AM80" s="24" t="s">
        <v>160</v>
      </c>
      <c r="AN80" s="24" t="s">
        <v>160</v>
      </c>
      <c r="AO80" s="24" t="s">
        <v>160</v>
      </c>
      <c r="AP80" s="41"/>
    </row>
    <row r="81" spans="5:42" x14ac:dyDescent="0.25">
      <c r="E81" s="24" t="s">
        <v>139</v>
      </c>
      <c r="F81" s="24" t="s">
        <v>212</v>
      </c>
      <c r="G81">
        <v>6</v>
      </c>
      <c r="H81" t="s">
        <v>100</v>
      </c>
      <c r="I81" s="22" t="s">
        <v>207</v>
      </c>
      <c r="J81" s="22">
        <v>1075350101</v>
      </c>
      <c r="K81" t="s">
        <v>101</v>
      </c>
      <c r="L81" t="s">
        <v>210</v>
      </c>
      <c r="M81">
        <v>9</v>
      </c>
      <c r="N81">
        <v>8</v>
      </c>
      <c r="O81">
        <v>8</v>
      </c>
      <c r="P81" t="s">
        <v>103</v>
      </c>
      <c r="Q81" s="29">
        <v>5719.34</v>
      </c>
      <c r="R81">
        <v>45755</v>
      </c>
      <c r="S81">
        <v>20150113</v>
      </c>
      <c r="T81">
        <v>0</v>
      </c>
      <c r="U81">
        <v>0</v>
      </c>
      <c r="V81">
        <v>45755</v>
      </c>
      <c r="W81" t="s">
        <v>104</v>
      </c>
      <c r="X81" t="s">
        <v>105</v>
      </c>
      <c r="AD81">
        <v>78</v>
      </c>
      <c r="AE81" s="24" t="s">
        <v>319</v>
      </c>
      <c r="AF81" s="24" t="s">
        <v>160</v>
      </c>
      <c r="AG81" s="24" t="s">
        <v>160</v>
      </c>
      <c r="AH81" s="24" t="s">
        <v>160</v>
      </c>
      <c r="AI81" t="s">
        <v>160</v>
      </c>
      <c r="AJ81" s="29" t="s">
        <v>160</v>
      </c>
      <c r="AK81" s="24" t="s">
        <v>160</v>
      </c>
      <c r="AL81" s="24" t="s">
        <v>160</v>
      </c>
      <c r="AM81" s="24" t="s">
        <v>160</v>
      </c>
      <c r="AN81" s="24" t="s">
        <v>160</v>
      </c>
      <c r="AO81" s="24" t="s">
        <v>160</v>
      </c>
      <c r="AP81" s="41"/>
    </row>
    <row r="82" spans="5:42" x14ac:dyDescent="0.25">
      <c r="E82" s="24" t="s">
        <v>139</v>
      </c>
      <c r="F82" s="24" t="s">
        <v>212</v>
      </c>
      <c r="G82">
        <v>7</v>
      </c>
      <c r="H82" t="s">
        <v>100</v>
      </c>
      <c r="I82" s="22" t="s">
        <v>207</v>
      </c>
      <c r="J82" s="22">
        <v>1075886401</v>
      </c>
      <c r="K82" t="s">
        <v>101</v>
      </c>
      <c r="L82" t="s">
        <v>210</v>
      </c>
      <c r="M82">
        <v>9</v>
      </c>
      <c r="N82">
        <v>2</v>
      </c>
      <c r="O82">
        <v>2</v>
      </c>
      <c r="P82" t="s">
        <v>103</v>
      </c>
      <c r="Q82" s="29">
        <v>5719.34</v>
      </c>
      <c r="R82">
        <v>11439</v>
      </c>
      <c r="S82">
        <v>20150114</v>
      </c>
      <c r="T82">
        <v>0</v>
      </c>
      <c r="U82">
        <v>0</v>
      </c>
      <c r="V82">
        <v>11439</v>
      </c>
      <c r="W82" t="s">
        <v>104</v>
      </c>
      <c r="X82" t="s">
        <v>105</v>
      </c>
      <c r="AD82">
        <v>79</v>
      </c>
      <c r="AE82" s="24" t="s">
        <v>320</v>
      </c>
      <c r="AF82" s="24" t="s">
        <v>160</v>
      </c>
      <c r="AG82" s="24" t="s">
        <v>160</v>
      </c>
      <c r="AH82" s="24" t="s">
        <v>160</v>
      </c>
      <c r="AI82" t="s">
        <v>160</v>
      </c>
      <c r="AJ82" s="29" t="s">
        <v>160</v>
      </c>
      <c r="AK82" s="24" t="s">
        <v>160</v>
      </c>
      <c r="AL82" s="24" t="s">
        <v>160</v>
      </c>
      <c r="AM82" s="24" t="s">
        <v>160</v>
      </c>
      <c r="AN82" s="24" t="s">
        <v>160</v>
      </c>
      <c r="AO82" s="24" t="s">
        <v>160</v>
      </c>
      <c r="AP82" s="41"/>
    </row>
    <row r="83" spans="5:42" x14ac:dyDescent="0.25">
      <c r="E83" s="24" t="s">
        <v>139</v>
      </c>
      <c r="F83" s="24" t="s">
        <v>212</v>
      </c>
      <c r="G83">
        <v>8</v>
      </c>
      <c r="H83" t="s">
        <v>100</v>
      </c>
      <c r="I83" s="22" t="s">
        <v>207</v>
      </c>
      <c r="J83" s="22">
        <v>1076435901</v>
      </c>
      <c r="K83" t="s">
        <v>101</v>
      </c>
      <c r="L83" t="s">
        <v>210</v>
      </c>
      <c r="M83">
        <v>9</v>
      </c>
      <c r="N83">
        <v>3</v>
      </c>
      <c r="O83">
        <v>3</v>
      </c>
      <c r="P83" t="s">
        <v>103</v>
      </c>
      <c r="Q83" s="29">
        <v>5719.34</v>
      </c>
      <c r="R83">
        <v>17158</v>
      </c>
      <c r="S83">
        <v>20150115</v>
      </c>
      <c r="T83">
        <v>0</v>
      </c>
      <c r="U83">
        <v>0</v>
      </c>
      <c r="V83">
        <v>17158</v>
      </c>
      <c r="W83" t="s">
        <v>104</v>
      </c>
      <c r="X83" t="s">
        <v>105</v>
      </c>
      <c r="AD83">
        <v>80</v>
      </c>
      <c r="AE83" s="24" t="s">
        <v>321</v>
      </c>
      <c r="AF83" s="24" t="s">
        <v>160</v>
      </c>
      <c r="AG83" s="24" t="s">
        <v>160</v>
      </c>
      <c r="AH83" s="24" t="s">
        <v>160</v>
      </c>
      <c r="AI83" t="s">
        <v>160</v>
      </c>
      <c r="AJ83" s="29" t="s">
        <v>160</v>
      </c>
      <c r="AK83" s="24" t="s">
        <v>160</v>
      </c>
      <c r="AL83" s="24" t="s">
        <v>160</v>
      </c>
      <c r="AM83" s="24" t="s">
        <v>160</v>
      </c>
      <c r="AN83" s="24" t="s">
        <v>160</v>
      </c>
      <c r="AO83" s="24" t="s">
        <v>160</v>
      </c>
      <c r="AP83" s="41"/>
    </row>
    <row r="84" spans="5:42" x14ac:dyDescent="0.25">
      <c r="E84" s="24" t="s">
        <v>139</v>
      </c>
      <c r="F84" s="24" t="s">
        <v>212</v>
      </c>
      <c r="G84">
        <v>9</v>
      </c>
      <c r="H84" t="s">
        <v>100</v>
      </c>
      <c r="I84" s="22" t="s">
        <v>207</v>
      </c>
      <c r="J84" s="22">
        <v>1076974601</v>
      </c>
      <c r="K84" t="s">
        <v>101</v>
      </c>
      <c r="L84" t="s">
        <v>210</v>
      </c>
      <c r="M84">
        <v>9</v>
      </c>
      <c r="N84">
        <v>4</v>
      </c>
      <c r="O84">
        <v>4</v>
      </c>
      <c r="P84" t="s">
        <v>103</v>
      </c>
      <c r="Q84" s="29">
        <v>5719.34</v>
      </c>
      <c r="R84">
        <v>22877</v>
      </c>
      <c r="S84">
        <v>20150116</v>
      </c>
      <c r="T84">
        <v>0</v>
      </c>
      <c r="U84">
        <v>0</v>
      </c>
      <c r="V84">
        <v>22877</v>
      </c>
      <c r="W84" t="s">
        <v>104</v>
      </c>
      <c r="X84" t="s">
        <v>105</v>
      </c>
      <c r="AD84">
        <v>81</v>
      </c>
      <c r="AE84" s="24" t="s">
        <v>322</v>
      </c>
      <c r="AF84" s="24" t="s">
        <v>160</v>
      </c>
      <c r="AG84" s="24" t="s">
        <v>160</v>
      </c>
      <c r="AH84" s="24" t="s">
        <v>160</v>
      </c>
      <c r="AI84" t="s">
        <v>160</v>
      </c>
      <c r="AJ84" s="29" t="s">
        <v>160</v>
      </c>
      <c r="AK84" s="24" t="s">
        <v>160</v>
      </c>
      <c r="AL84" s="24" t="s">
        <v>160</v>
      </c>
      <c r="AM84" s="24" t="s">
        <v>160</v>
      </c>
      <c r="AN84" s="24" t="s">
        <v>160</v>
      </c>
      <c r="AO84" s="24" t="s">
        <v>160</v>
      </c>
      <c r="AP84" s="41"/>
    </row>
    <row r="85" spans="5:42" x14ac:dyDescent="0.25">
      <c r="E85" s="24" t="s">
        <v>139</v>
      </c>
      <c r="F85" s="24" t="s">
        <v>212</v>
      </c>
      <c r="G85">
        <v>10</v>
      </c>
      <c r="H85" t="s">
        <v>100</v>
      </c>
      <c r="I85" s="22" t="s">
        <v>207</v>
      </c>
      <c r="J85" s="22">
        <v>1077647001</v>
      </c>
      <c r="K85" t="s">
        <v>101</v>
      </c>
      <c r="L85" t="s">
        <v>210</v>
      </c>
      <c r="M85">
        <v>9</v>
      </c>
      <c r="N85">
        <v>11</v>
      </c>
      <c r="O85">
        <v>11</v>
      </c>
      <c r="P85" t="s">
        <v>103</v>
      </c>
      <c r="Q85" s="29">
        <v>5719.34</v>
      </c>
      <c r="R85">
        <v>62913</v>
      </c>
      <c r="S85">
        <v>20150119</v>
      </c>
      <c r="T85">
        <v>0</v>
      </c>
      <c r="U85">
        <v>0</v>
      </c>
      <c r="V85">
        <v>62913</v>
      </c>
      <c r="W85" t="s">
        <v>104</v>
      </c>
      <c r="X85" t="s">
        <v>105</v>
      </c>
      <c r="AD85">
        <v>82</v>
      </c>
      <c r="AE85" s="24" t="s">
        <v>323</v>
      </c>
      <c r="AF85" s="24" t="s">
        <v>160</v>
      </c>
      <c r="AG85" s="24" t="s">
        <v>160</v>
      </c>
      <c r="AH85" s="24" t="s">
        <v>160</v>
      </c>
      <c r="AI85" t="s">
        <v>160</v>
      </c>
      <c r="AJ85" s="29" t="s">
        <v>160</v>
      </c>
      <c r="AK85" s="24" t="s">
        <v>160</v>
      </c>
      <c r="AL85" s="24" t="s">
        <v>160</v>
      </c>
      <c r="AM85" s="24" t="s">
        <v>160</v>
      </c>
      <c r="AN85" s="24" t="s">
        <v>160</v>
      </c>
      <c r="AO85" s="24" t="s">
        <v>160</v>
      </c>
      <c r="AP85" s="41"/>
    </row>
    <row r="86" spans="5:42" x14ac:dyDescent="0.25">
      <c r="E86" s="24" t="s">
        <v>139</v>
      </c>
      <c r="F86" s="24" t="s">
        <v>212</v>
      </c>
      <c r="G86">
        <v>11</v>
      </c>
      <c r="H86" t="s">
        <v>100</v>
      </c>
      <c r="I86" s="22" t="s">
        <v>207</v>
      </c>
      <c r="J86" s="22">
        <v>1078146001</v>
      </c>
      <c r="K86" t="s">
        <v>101</v>
      </c>
      <c r="L86" t="s">
        <v>210</v>
      </c>
      <c r="M86">
        <v>9</v>
      </c>
      <c r="N86">
        <v>11</v>
      </c>
      <c r="O86">
        <v>11</v>
      </c>
      <c r="P86" t="s">
        <v>103</v>
      </c>
      <c r="Q86" s="29">
        <v>5719.34</v>
      </c>
      <c r="R86">
        <v>62913</v>
      </c>
      <c r="S86">
        <v>20150120</v>
      </c>
      <c r="T86">
        <v>0</v>
      </c>
      <c r="U86">
        <v>0</v>
      </c>
      <c r="V86">
        <v>62913</v>
      </c>
      <c r="W86" t="s">
        <v>104</v>
      </c>
      <c r="X86" t="s">
        <v>105</v>
      </c>
      <c r="AD86">
        <v>83</v>
      </c>
      <c r="AE86" s="24" t="s">
        <v>324</v>
      </c>
      <c r="AF86" s="24" t="s">
        <v>160</v>
      </c>
      <c r="AG86" s="24" t="s">
        <v>160</v>
      </c>
      <c r="AH86" s="24" t="s">
        <v>160</v>
      </c>
      <c r="AI86" t="s">
        <v>160</v>
      </c>
      <c r="AJ86" s="29" t="s">
        <v>160</v>
      </c>
      <c r="AK86" s="24" t="s">
        <v>160</v>
      </c>
      <c r="AL86" s="24" t="s">
        <v>160</v>
      </c>
      <c r="AM86" s="24" t="s">
        <v>160</v>
      </c>
      <c r="AN86" s="24" t="s">
        <v>160</v>
      </c>
      <c r="AO86" s="24" t="s">
        <v>160</v>
      </c>
      <c r="AP86" s="41"/>
    </row>
    <row r="87" spans="5:42" x14ac:dyDescent="0.25">
      <c r="E87" s="24" t="s">
        <v>139</v>
      </c>
      <c r="F87" s="24" t="s">
        <v>212</v>
      </c>
      <c r="G87">
        <v>12</v>
      </c>
      <c r="H87" t="s">
        <v>100</v>
      </c>
      <c r="I87" s="22" t="s">
        <v>207</v>
      </c>
      <c r="J87" s="22">
        <v>1074489801</v>
      </c>
      <c r="K87" t="s">
        <v>101</v>
      </c>
      <c r="L87" t="s">
        <v>210</v>
      </c>
      <c r="M87">
        <v>9</v>
      </c>
      <c r="N87">
        <v>4</v>
      </c>
      <c r="O87">
        <v>4</v>
      </c>
      <c r="P87" t="s">
        <v>103</v>
      </c>
      <c r="Q87" s="29">
        <v>5719.34</v>
      </c>
      <c r="R87">
        <v>22877</v>
      </c>
      <c r="S87">
        <v>20150112</v>
      </c>
      <c r="T87">
        <v>0</v>
      </c>
      <c r="U87">
        <v>0</v>
      </c>
      <c r="V87">
        <v>22877</v>
      </c>
      <c r="W87" t="s">
        <v>104</v>
      </c>
      <c r="X87" t="s">
        <v>105</v>
      </c>
      <c r="AD87">
        <v>84</v>
      </c>
      <c r="AE87" s="24" t="s">
        <v>325</v>
      </c>
      <c r="AF87" s="24" t="s">
        <v>160</v>
      </c>
      <c r="AG87" s="24" t="s">
        <v>160</v>
      </c>
      <c r="AH87" s="24" t="s">
        <v>160</v>
      </c>
      <c r="AI87" t="s">
        <v>160</v>
      </c>
      <c r="AJ87" s="29" t="s">
        <v>160</v>
      </c>
      <c r="AK87" s="24" t="s">
        <v>160</v>
      </c>
      <c r="AL87" s="24" t="s">
        <v>160</v>
      </c>
      <c r="AM87" s="24" t="s">
        <v>160</v>
      </c>
      <c r="AN87" s="24" t="s">
        <v>160</v>
      </c>
      <c r="AO87" s="24" t="s">
        <v>160</v>
      </c>
      <c r="AP87" s="41"/>
    </row>
    <row r="88" spans="5:42" x14ac:dyDescent="0.25">
      <c r="E88" s="24" t="s">
        <v>139</v>
      </c>
      <c r="F88" s="24" t="s">
        <v>212</v>
      </c>
      <c r="G88">
        <v>13</v>
      </c>
      <c r="H88" t="s">
        <v>100</v>
      </c>
      <c r="I88" s="22" t="s">
        <v>141</v>
      </c>
      <c r="J88" s="22">
        <v>1071814201</v>
      </c>
      <c r="K88" t="s">
        <v>101</v>
      </c>
      <c r="L88" t="s">
        <v>102</v>
      </c>
      <c r="M88">
        <v>9</v>
      </c>
      <c r="N88">
        <v>18</v>
      </c>
      <c r="O88">
        <v>18</v>
      </c>
      <c r="P88" t="s">
        <v>103</v>
      </c>
      <c r="Q88" s="29">
        <v>4899.1400000000003</v>
      </c>
      <c r="R88">
        <v>88185</v>
      </c>
      <c r="S88">
        <v>20150106</v>
      </c>
      <c r="T88">
        <v>0</v>
      </c>
      <c r="U88">
        <v>0</v>
      </c>
      <c r="V88">
        <v>88185</v>
      </c>
      <c r="W88" t="s">
        <v>104</v>
      </c>
      <c r="X88" t="s">
        <v>105</v>
      </c>
      <c r="AD88">
        <v>85</v>
      </c>
      <c r="AE88" s="24" t="s">
        <v>326</v>
      </c>
      <c r="AF88" s="24" t="s">
        <v>161</v>
      </c>
      <c r="AG88" s="24" t="s">
        <v>327</v>
      </c>
      <c r="AH88" s="24" t="s">
        <v>328</v>
      </c>
      <c r="AI88">
        <v>18</v>
      </c>
      <c r="AJ88" s="29">
        <v>4899.1400000000003</v>
      </c>
      <c r="AK88" s="24" t="s">
        <v>162</v>
      </c>
      <c r="AL88" s="24" t="s">
        <v>163</v>
      </c>
      <c r="AM88" s="24" t="s">
        <v>164</v>
      </c>
      <c r="AN88" s="24" t="s">
        <v>165</v>
      </c>
      <c r="AO88" s="24" t="s">
        <v>326</v>
      </c>
      <c r="AP88" s="41"/>
    </row>
    <row r="89" spans="5:42" x14ac:dyDescent="0.25">
      <c r="E89" s="24" t="s">
        <v>139</v>
      </c>
      <c r="F89" s="24" t="s">
        <v>212</v>
      </c>
      <c r="G89">
        <v>14</v>
      </c>
      <c r="H89" t="s">
        <v>100</v>
      </c>
      <c r="I89" s="22" t="s">
        <v>141</v>
      </c>
      <c r="J89" s="22">
        <v>1077403601</v>
      </c>
      <c r="K89" t="s">
        <v>101</v>
      </c>
      <c r="L89" t="s">
        <v>102</v>
      </c>
      <c r="M89">
        <v>9</v>
      </c>
      <c r="N89">
        <v>8</v>
      </c>
      <c r="O89">
        <v>8</v>
      </c>
      <c r="P89" t="s">
        <v>103</v>
      </c>
      <c r="Q89" s="29">
        <v>4899.1400000000003</v>
      </c>
      <c r="R89">
        <v>39193</v>
      </c>
      <c r="S89">
        <v>20150120</v>
      </c>
      <c r="T89">
        <v>0</v>
      </c>
      <c r="U89">
        <v>0</v>
      </c>
      <c r="V89">
        <v>39193</v>
      </c>
      <c r="W89" t="s">
        <v>104</v>
      </c>
      <c r="X89" t="s">
        <v>105</v>
      </c>
      <c r="AD89">
        <v>86</v>
      </c>
      <c r="AE89" s="24" t="s">
        <v>329</v>
      </c>
      <c r="AF89" s="24" t="s">
        <v>161</v>
      </c>
      <c r="AG89" s="24" t="s">
        <v>330</v>
      </c>
      <c r="AH89" s="24" t="s">
        <v>331</v>
      </c>
      <c r="AI89">
        <v>8</v>
      </c>
      <c r="AJ89" s="29">
        <v>4899.1400000000003</v>
      </c>
      <c r="AK89" s="24" t="s">
        <v>162</v>
      </c>
      <c r="AL89" s="24" t="s">
        <v>163</v>
      </c>
      <c r="AM89" s="24" t="s">
        <v>164</v>
      </c>
      <c r="AN89" s="24" t="s">
        <v>165</v>
      </c>
      <c r="AO89" s="24" t="s">
        <v>329</v>
      </c>
      <c r="AP89" s="41"/>
    </row>
    <row r="90" spans="5:42" x14ac:dyDescent="0.25">
      <c r="E90" s="24" t="s">
        <v>139</v>
      </c>
      <c r="F90" s="24" t="s">
        <v>212</v>
      </c>
      <c r="G90">
        <v>15</v>
      </c>
      <c r="H90" t="s">
        <v>100</v>
      </c>
      <c r="I90" s="22" t="s">
        <v>141</v>
      </c>
      <c r="J90" s="22">
        <v>1075076001</v>
      </c>
      <c r="K90" t="s">
        <v>101</v>
      </c>
      <c r="L90" t="s">
        <v>102</v>
      </c>
      <c r="M90">
        <v>9</v>
      </c>
      <c r="N90">
        <v>4</v>
      </c>
      <c r="O90">
        <v>4</v>
      </c>
      <c r="P90" t="s">
        <v>103</v>
      </c>
      <c r="Q90" s="29">
        <v>4899.1400000000003</v>
      </c>
      <c r="R90">
        <v>19597</v>
      </c>
      <c r="S90">
        <v>20150114</v>
      </c>
      <c r="T90">
        <v>0</v>
      </c>
      <c r="U90">
        <v>0</v>
      </c>
      <c r="V90">
        <v>19597</v>
      </c>
      <c r="W90" t="s">
        <v>104</v>
      </c>
      <c r="X90" t="s">
        <v>105</v>
      </c>
      <c r="AD90">
        <v>87</v>
      </c>
      <c r="AE90" s="24" t="s">
        <v>332</v>
      </c>
      <c r="AF90" s="24" t="s">
        <v>161</v>
      </c>
      <c r="AG90" s="24" t="s">
        <v>333</v>
      </c>
      <c r="AH90" s="24" t="s">
        <v>334</v>
      </c>
      <c r="AI90">
        <v>4</v>
      </c>
      <c r="AJ90" s="29">
        <v>4899.1400000000003</v>
      </c>
      <c r="AK90" s="24" t="s">
        <v>162</v>
      </c>
      <c r="AL90" s="24" t="s">
        <v>163</v>
      </c>
      <c r="AM90" s="24" t="s">
        <v>164</v>
      </c>
      <c r="AN90" s="24" t="s">
        <v>165</v>
      </c>
      <c r="AO90" s="24" t="s">
        <v>332</v>
      </c>
      <c r="AP90" s="41"/>
    </row>
    <row r="91" spans="5:42" x14ac:dyDescent="0.25">
      <c r="E91" s="24" t="s">
        <v>139</v>
      </c>
      <c r="F91" s="24" t="s">
        <v>212</v>
      </c>
      <c r="G91">
        <v>16</v>
      </c>
      <c r="H91" t="s">
        <v>100</v>
      </c>
      <c r="I91" s="22" t="s">
        <v>141</v>
      </c>
      <c r="J91" s="22">
        <v>1072759201</v>
      </c>
      <c r="K91" t="s">
        <v>101</v>
      </c>
      <c r="L91" t="s">
        <v>102</v>
      </c>
      <c r="M91">
        <v>9</v>
      </c>
      <c r="N91">
        <v>4</v>
      </c>
      <c r="O91">
        <v>4</v>
      </c>
      <c r="P91" t="s">
        <v>103</v>
      </c>
      <c r="Q91" s="29">
        <v>4899.1400000000003</v>
      </c>
      <c r="R91">
        <v>19597</v>
      </c>
      <c r="S91">
        <v>20150108</v>
      </c>
      <c r="T91">
        <v>0</v>
      </c>
      <c r="U91">
        <v>0</v>
      </c>
      <c r="V91">
        <v>19597</v>
      </c>
      <c r="W91" t="s">
        <v>104</v>
      </c>
      <c r="X91" t="s">
        <v>105</v>
      </c>
      <c r="AD91">
        <v>88</v>
      </c>
      <c r="AE91" s="24" t="s">
        <v>335</v>
      </c>
      <c r="AF91" s="24" t="s">
        <v>161</v>
      </c>
      <c r="AG91" s="24" t="s">
        <v>336</v>
      </c>
      <c r="AH91" s="24" t="s">
        <v>337</v>
      </c>
      <c r="AI91">
        <v>4</v>
      </c>
      <c r="AJ91" s="29">
        <v>4899.1400000000003</v>
      </c>
      <c r="AK91" s="24" t="s">
        <v>162</v>
      </c>
      <c r="AL91" s="24" t="s">
        <v>163</v>
      </c>
      <c r="AM91" s="24" t="s">
        <v>164</v>
      </c>
      <c r="AN91" s="24" t="s">
        <v>165</v>
      </c>
      <c r="AO91" s="24" t="s">
        <v>335</v>
      </c>
      <c r="AP91" s="41"/>
    </row>
    <row r="92" spans="5:42" x14ac:dyDescent="0.25">
      <c r="E92" s="24" t="s">
        <v>139</v>
      </c>
      <c r="F92" s="24" t="s">
        <v>212</v>
      </c>
      <c r="G92">
        <v>17</v>
      </c>
      <c r="H92" t="s">
        <v>100</v>
      </c>
      <c r="I92" s="22" t="s">
        <v>141</v>
      </c>
      <c r="J92" s="22">
        <v>1076698601</v>
      </c>
      <c r="K92" t="s">
        <v>101</v>
      </c>
      <c r="L92" t="s">
        <v>102</v>
      </c>
      <c r="M92">
        <v>9</v>
      </c>
      <c r="N92">
        <v>14</v>
      </c>
      <c r="O92">
        <v>14</v>
      </c>
      <c r="P92" t="s">
        <v>103</v>
      </c>
      <c r="Q92" s="29">
        <v>4899.1400000000003</v>
      </c>
      <c r="R92">
        <v>68588</v>
      </c>
      <c r="S92">
        <v>20150119</v>
      </c>
      <c r="T92">
        <v>0</v>
      </c>
      <c r="U92">
        <v>0</v>
      </c>
      <c r="V92">
        <v>68588</v>
      </c>
      <c r="W92" t="s">
        <v>104</v>
      </c>
      <c r="X92" t="s">
        <v>105</v>
      </c>
      <c r="AD92">
        <v>89</v>
      </c>
      <c r="AE92" s="24" t="s">
        <v>338</v>
      </c>
      <c r="AF92" s="24" t="s">
        <v>161</v>
      </c>
      <c r="AG92" s="24" t="s">
        <v>339</v>
      </c>
      <c r="AH92" s="24" t="s">
        <v>340</v>
      </c>
      <c r="AI92">
        <v>14</v>
      </c>
      <c r="AJ92" s="29">
        <v>4899.1400000000003</v>
      </c>
      <c r="AK92" s="24" t="s">
        <v>162</v>
      </c>
      <c r="AL92" s="24" t="s">
        <v>163</v>
      </c>
      <c r="AM92" s="24" t="s">
        <v>164</v>
      </c>
      <c r="AN92" s="24" t="s">
        <v>165</v>
      </c>
      <c r="AO92" s="24" t="s">
        <v>338</v>
      </c>
      <c r="AP92" s="41"/>
    </row>
    <row r="93" spans="5:42" x14ac:dyDescent="0.25">
      <c r="E93" s="24" t="s">
        <v>139</v>
      </c>
      <c r="F93" s="24" t="s">
        <v>212</v>
      </c>
      <c r="G93">
        <v>18</v>
      </c>
      <c r="H93" t="s">
        <v>100</v>
      </c>
      <c r="I93" s="22" t="s">
        <v>141</v>
      </c>
      <c r="J93" s="22">
        <v>1075616501</v>
      </c>
      <c r="K93" t="s">
        <v>101</v>
      </c>
      <c r="L93" t="s">
        <v>102</v>
      </c>
      <c r="M93">
        <v>9</v>
      </c>
      <c r="N93">
        <v>12</v>
      </c>
      <c r="O93">
        <v>12</v>
      </c>
      <c r="P93" t="s">
        <v>103</v>
      </c>
      <c r="Q93" s="29">
        <v>4899.1400000000003</v>
      </c>
      <c r="R93">
        <v>58790</v>
      </c>
      <c r="S93">
        <v>20150115</v>
      </c>
      <c r="T93">
        <v>0</v>
      </c>
      <c r="U93">
        <v>0</v>
      </c>
      <c r="V93">
        <v>58790</v>
      </c>
      <c r="W93" t="s">
        <v>104</v>
      </c>
      <c r="X93" t="s">
        <v>105</v>
      </c>
      <c r="AD93">
        <v>90</v>
      </c>
      <c r="AE93" s="24" t="s">
        <v>341</v>
      </c>
      <c r="AF93" s="24" t="s">
        <v>161</v>
      </c>
      <c r="AG93" s="24" t="s">
        <v>342</v>
      </c>
      <c r="AH93" s="24" t="s">
        <v>343</v>
      </c>
      <c r="AI93">
        <v>12</v>
      </c>
      <c r="AJ93" s="29">
        <v>4899.1400000000003</v>
      </c>
      <c r="AK93" s="24" t="s">
        <v>162</v>
      </c>
      <c r="AL93" s="24" t="s">
        <v>163</v>
      </c>
      <c r="AM93" s="24" t="s">
        <v>164</v>
      </c>
      <c r="AN93" s="24" t="s">
        <v>165</v>
      </c>
      <c r="AO93" s="24" t="s">
        <v>341</v>
      </c>
      <c r="AP93" s="41"/>
    </row>
    <row r="94" spans="5:42" x14ac:dyDescent="0.25">
      <c r="E94" s="24" t="s">
        <v>139</v>
      </c>
      <c r="F94" s="24" t="s">
        <v>212</v>
      </c>
      <c r="G94">
        <v>19</v>
      </c>
      <c r="H94" t="s">
        <v>100</v>
      </c>
      <c r="I94" s="22" t="s">
        <v>141</v>
      </c>
      <c r="J94" s="22">
        <v>1072265901</v>
      </c>
      <c r="K94" t="s">
        <v>101</v>
      </c>
      <c r="L94" t="s">
        <v>102</v>
      </c>
      <c r="M94">
        <v>9</v>
      </c>
      <c r="N94">
        <v>8</v>
      </c>
      <c r="O94">
        <v>8</v>
      </c>
      <c r="P94" t="s">
        <v>103</v>
      </c>
      <c r="Q94" s="29">
        <v>4899.1400000000003</v>
      </c>
      <c r="R94">
        <v>39193</v>
      </c>
      <c r="S94">
        <v>20150107</v>
      </c>
      <c r="T94">
        <v>0</v>
      </c>
      <c r="U94">
        <v>0</v>
      </c>
      <c r="V94">
        <v>39193</v>
      </c>
      <c r="W94" t="s">
        <v>104</v>
      </c>
      <c r="X94" t="s">
        <v>105</v>
      </c>
      <c r="AD94">
        <v>91</v>
      </c>
      <c r="AE94" s="24" t="s">
        <v>344</v>
      </c>
      <c r="AF94" s="24" t="s">
        <v>161</v>
      </c>
      <c r="AG94" s="24" t="s">
        <v>345</v>
      </c>
      <c r="AH94" s="24" t="s">
        <v>346</v>
      </c>
      <c r="AI94">
        <v>8</v>
      </c>
      <c r="AJ94" s="29">
        <v>4899.1400000000003</v>
      </c>
      <c r="AK94" s="24" t="s">
        <v>162</v>
      </c>
      <c r="AL94" s="24" t="s">
        <v>163</v>
      </c>
      <c r="AM94" s="24" t="s">
        <v>164</v>
      </c>
      <c r="AN94" s="24" t="s">
        <v>165</v>
      </c>
      <c r="AO94" s="24" t="s">
        <v>344</v>
      </c>
      <c r="AP94" s="41"/>
    </row>
    <row r="95" spans="5:42" x14ac:dyDescent="0.25">
      <c r="E95" s="24" t="s">
        <v>139</v>
      </c>
      <c r="F95" s="24" t="s">
        <v>212</v>
      </c>
      <c r="G95">
        <v>20</v>
      </c>
      <c r="H95" t="s">
        <v>100</v>
      </c>
      <c r="I95" s="22" t="s">
        <v>141</v>
      </c>
      <c r="J95" s="22">
        <v>1071814101</v>
      </c>
      <c r="K95" t="s">
        <v>101</v>
      </c>
      <c r="L95" t="s">
        <v>109</v>
      </c>
      <c r="M95">
        <v>9</v>
      </c>
      <c r="N95">
        <v>4</v>
      </c>
      <c r="O95">
        <v>4</v>
      </c>
      <c r="P95" t="s">
        <v>103</v>
      </c>
      <c r="Q95" s="29">
        <v>4178.55</v>
      </c>
      <c r="R95">
        <v>16714</v>
      </c>
      <c r="S95">
        <v>20150106</v>
      </c>
      <c r="T95">
        <v>0</v>
      </c>
      <c r="U95">
        <v>0</v>
      </c>
      <c r="V95">
        <v>16714</v>
      </c>
      <c r="W95" t="s">
        <v>104</v>
      </c>
      <c r="X95" t="s">
        <v>105</v>
      </c>
      <c r="AD95">
        <v>92</v>
      </c>
      <c r="AE95" s="24" t="s">
        <v>347</v>
      </c>
      <c r="AF95" s="24" t="s">
        <v>161</v>
      </c>
      <c r="AG95" s="24" t="s">
        <v>348</v>
      </c>
      <c r="AH95" s="24" t="s">
        <v>349</v>
      </c>
      <c r="AI95">
        <v>4</v>
      </c>
      <c r="AJ95" s="29">
        <v>4178.55</v>
      </c>
      <c r="AK95" s="24" t="s">
        <v>166</v>
      </c>
      <c r="AL95" s="24" t="s">
        <v>163</v>
      </c>
      <c r="AM95" s="24" t="s">
        <v>164</v>
      </c>
      <c r="AN95" s="24" t="s">
        <v>167</v>
      </c>
      <c r="AO95" s="24" t="s">
        <v>347</v>
      </c>
      <c r="AP95" s="41"/>
    </row>
    <row r="96" spans="5:42" x14ac:dyDescent="0.25">
      <c r="E96" s="24" t="s">
        <v>139</v>
      </c>
      <c r="F96" s="24" t="s">
        <v>212</v>
      </c>
      <c r="G96">
        <v>21</v>
      </c>
      <c r="H96" t="s">
        <v>100</v>
      </c>
      <c r="I96" s="22" t="s">
        <v>141</v>
      </c>
      <c r="J96" s="22">
        <v>1075616801</v>
      </c>
      <c r="K96" t="s">
        <v>101</v>
      </c>
      <c r="L96" t="s">
        <v>108</v>
      </c>
      <c r="M96">
        <v>9</v>
      </c>
      <c r="N96">
        <v>8</v>
      </c>
      <c r="O96">
        <v>8</v>
      </c>
      <c r="P96" t="s">
        <v>103</v>
      </c>
      <c r="Q96" s="29">
        <v>4592.5200000000004</v>
      </c>
      <c r="R96">
        <v>36740</v>
      </c>
      <c r="S96">
        <v>20150115</v>
      </c>
      <c r="T96">
        <v>0</v>
      </c>
      <c r="U96">
        <v>0</v>
      </c>
      <c r="V96">
        <v>36740</v>
      </c>
      <c r="W96" t="s">
        <v>104</v>
      </c>
      <c r="X96" t="s">
        <v>105</v>
      </c>
      <c r="AD96">
        <v>93</v>
      </c>
      <c r="AE96" s="24" t="s">
        <v>350</v>
      </c>
      <c r="AF96" s="24" t="s">
        <v>161</v>
      </c>
      <c r="AG96" s="24" t="s">
        <v>351</v>
      </c>
      <c r="AH96" s="24" t="s">
        <v>352</v>
      </c>
      <c r="AI96">
        <v>8</v>
      </c>
      <c r="AJ96" s="29">
        <v>4592.5200000000004</v>
      </c>
      <c r="AK96" s="24" t="s">
        <v>168</v>
      </c>
      <c r="AL96" s="24" t="s">
        <v>163</v>
      </c>
      <c r="AM96" s="24" t="s">
        <v>164</v>
      </c>
      <c r="AN96" s="24" t="s">
        <v>169</v>
      </c>
      <c r="AO96" s="24" t="s">
        <v>350</v>
      </c>
      <c r="AP96" s="41"/>
    </row>
    <row r="97" spans="5:42" x14ac:dyDescent="0.25">
      <c r="E97" s="24" t="s">
        <v>139</v>
      </c>
      <c r="F97" s="24" t="s">
        <v>212</v>
      </c>
      <c r="G97">
        <v>22</v>
      </c>
      <c r="H97" t="s">
        <v>100</v>
      </c>
      <c r="I97" s="22" t="s">
        <v>141</v>
      </c>
      <c r="J97" s="22">
        <v>1073792401</v>
      </c>
      <c r="K97" t="s">
        <v>101</v>
      </c>
      <c r="L97" t="s">
        <v>108</v>
      </c>
      <c r="M97">
        <v>9</v>
      </c>
      <c r="N97">
        <v>8</v>
      </c>
      <c r="O97">
        <v>8</v>
      </c>
      <c r="P97" t="s">
        <v>103</v>
      </c>
      <c r="Q97" s="29">
        <v>4592.5200000000004</v>
      </c>
      <c r="R97">
        <v>36740</v>
      </c>
      <c r="S97">
        <v>20150112</v>
      </c>
      <c r="T97">
        <v>0</v>
      </c>
      <c r="U97">
        <v>0</v>
      </c>
      <c r="V97">
        <v>36740</v>
      </c>
      <c r="W97" t="s">
        <v>104</v>
      </c>
      <c r="X97" t="s">
        <v>105</v>
      </c>
      <c r="AD97" s="15">
        <v>94</v>
      </c>
      <c r="AE97" s="37" t="s">
        <v>353</v>
      </c>
      <c r="AF97" s="37" t="s">
        <v>161</v>
      </c>
      <c r="AG97" s="37" t="s">
        <v>354</v>
      </c>
      <c r="AH97" s="37" t="s">
        <v>355</v>
      </c>
      <c r="AI97" s="15">
        <v>8</v>
      </c>
      <c r="AJ97" s="38">
        <v>4592.5200000000004</v>
      </c>
      <c r="AK97" s="37" t="s">
        <v>168</v>
      </c>
      <c r="AL97" s="37" t="s">
        <v>163</v>
      </c>
      <c r="AM97" s="37" t="s">
        <v>164</v>
      </c>
      <c r="AN97" s="37" t="s">
        <v>169</v>
      </c>
      <c r="AO97" s="37" t="s">
        <v>353</v>
      </c>
      <c r="AP97" s="41"/>
    </row>
    <row r="98" spans="5:42" x14ac:dyDescent="0.25">
      <c r="E98" s="24" t="s">
        <v>139</v>
      </c>
      <c r="F98" s="24" t="s">
        <v>213</v>
      </c>
      <c r="G98">
        <v>1</v>
      </c>
      <c r="H98" t="s">
        <v>100</v>
      </c>
      <c r="I98" s="22" t="s">
        <v>141</v>
      </c>
      <c r="J98" s="22">
        <v>1072265401</v>
      </c>
      <c r="K98" t="s">
        <v>101</v>
      </c>
      <c r="L98" t="s">
        <v>108</v>
      </c>
      <c r="M98">
        <v>9</v>
      </c>
      <c r="N98">
        <v>6</v>
      </c>
      <c r="O98">
        <v>6</v>
      </c>
      <c r="P98" t="s">
        <v>103</v>
      </c>
      <c r="Q98" s="29">
        <v>4592.5200000000004</v>
      </c>
      <c r="R98">
        <v>27555</v>
      </c>
      <c r="S98">
        <v>20150107</v>
      </c>
      <c r="T98">
        <v>0</v>
      </c>
      <c r="U98">
        <v>0</v>
      </c>
      <c r="V98">
        <v>27555</v>
      </c>
      <c r="W98" t="s">
        <v>104</v>
      </c>
      <c r="X98" t="s">
        <v>105</v>
      </c>
      <c r="Y98">
        <v>3</v>
      </c>
      <c r="Z98">
        <v>750370</v>
      </c>
      <c r="AA98">
        <v>0</v>
      </c>
      <c r="AB98">
        <v>0</v>
      </c>
      <c r="AC98">
        <v>750370</v>
      </c>
      <c r="AD98" s="15">
        <v>95</v>
      </c>
      <c r="AE98" s="37" t="s">
        <v>356</v>
      </c>
      <c r="AF98" s="37" t="s">
        <v>161</v>
      </c>
      <c r="AG98" s="37" t="s">
        <v>357</v>
      </c>
      <c r="AH98" s="37" t="s">
        <v>358</v>
      </c>
      <c r="AI98" s="15">
        <v>6</v>
      </c>
      <c r="AJ98" s="38">
        <v>4592.5200000000004</v>
      </c>
      <c r="AK98" s="37" t="s">
        <v>168</v>
      </c>
      <c r="AL98" s="37" t="s">
        <v>163</v>
      </c>
      <c r="AM98" s="37" t="s">
        <v>164</v>
      </c>
      <c r="AN98" s="37" t="s">
        <v>169</v>
      </c>
      <c r="AO98" s="37" t="s">
        <v>356</v>
      </c>
      <c r="AP98" s="41"/>
    </row>
    <row r="99" spans="5:42" x14ac:dyDescent="0.25">
      <c r="E99" s="24" t="s">
        <v>139</v>
      </c>
      <c r="F99" s="24" t="s">
        <v>213</v>
      </c>
      <c r="G99">
        <v>2</v>
      </c>
      <c r="H99" t="s">
        <v>100</v>
      </c>
      <c r="I99" s="22" t="s">
        <v>141</v>
      </c>
      <c r="J99" s="22">
        <v>1072760101</v>
      </c>
      <c r="K99" t="s">
        <v>101</v>
      </c>
      <c r="L99" t="s">
        <v>108</v>
      </c>
      <c r="M99">
        <v>9</v>
      </c>
      <c r="N99">
        <v>6</v>
      </c>
      <c r="O99">
        <v>6</v>
      </c>
      <c r="P99" t="s">
        <v>103</v>
      </c>
      <c r="Q99" s="29">
        <v>4592.5200000000004</v>
      </c>
      <c r="R99">
        <v>27555</v>
      </c>
      <c r="S99">
        <v>20150108</v>
      </c>
      <c r="T99">
        <v>0</v>
      </c>
      <c r="U99">
        <v>0</v>
      </c>
      <c r="V99">
        <v>27555</v>
      </c>
      <c r="W99" t="s">
        <v>104</v>
      </c>
      <c r="X99" t="s">
        <v>105</v>
      </c>
      <c r="AD99">
        <v>96</v>
      </c>
      <c r="AE99" s="24" t="s">
        <v>359</v>
      </c>
      <c r="AF99" s="24" t="s">
        <v>161</v>
      </c>
      <c r="AG99" s="24" t="s">
        <v>360</v>
      </c>
      <c r="AH99" s="24" t="s">
        <v>361</v>
      </c>
      <c r="AI99">
        <v>6</v>
      </c>
      <c r="AJ99" s="29">
        <v>4592.5200000000004</v>
      </c>
      <c r="AK99" s="24" t="s">
        <v>168</v>
      </c>
      <c r="AL99" s="24" t="s">
        <v>163</v>
      </c>
      <c r="AM99" s="24" t="s">
        <v>164</v>
      </c>
      <c r="AN99" s="24" t="s">
        <v>169</v>
      </c>
      <c r="AO99" s="24" t="s">
        <v>359</v>
      </c>
      <c r="AP99" s="41"/>
    </row>
    <row r="100" spans="5:42" x14ac:dyDescent="0.25">
      <c r="E100" s="24" t="s">
        <v>139</v>
      </c>
      <c r="F100" s="24" t="s">
        <v>213</v>
      </c>
      <c r="G100">
        <v>3</v>
      </c>
      <c r="H100" t="s">
        <v>100</v>
      </c>
      <c r="I100" s="22" t="s">
        <v>141</v>
      </c>
      <c r="J100" s="22">
        <v>1076698501</v>
      </c>
      <c r="K100" t="s">
        <v>101</v>
      </c>
      <c r="L100" t="s">
        <v>108</v>
      </c>
      <c r="M100">
        <v>9</v>
      </c>
      <c r="N100">
        <v>14</v>
      </c>
      <c r="O100">
        <v>14</v>
      </c>
      <c r="P100" t="s">
        <v>103</v>
      </c>
      <c r="Q100" s="29">
        <v>4592.5200000000004</v>
      </c>
      <c r="R100">
        <v>64295</v>
      </c>
      <c r="S100">
        <v>20150119</v>
      </c>
      <c r="T100">
        <v>0</v>
      </c>
      <c r="U100">
        <v>0</v>
      </c>
      <c r="V100">
        <v>64295</v>
      </c>
      <c r="W100" t="s">
        <v>104</v>
      </c>
      <c r="X100" t="s">
        <v>105</v>
      </c>
      <c r="AD100">
        <v>97</v>
      </c>
      <c r="AE100" s="24" t="s">
        <v>362</v>
      </c>
      <c r="AF100" s="24" t="s">
        <v>161</v>
      </c>
      <c r="AG100" s="24" t="s">
        <v>363</v>
      </c>
      <c r="AH100" s="24" t="s">
        <v>364</v>
      </c>
      <c r="AI100">
        <v>14</v>
      </c>
      <c r="AJ100" s="29">
        <v>4592.5200000000004</v>
      </c>
      <c r="AK100" s="24" t="s">
        <v>168</v>
      </c>
      <c r="AL100" s="24" t="s">
        <v>163</v>
      </c>
      <c r="AM100" s="24" t="s">
        <v>164</v>
      </c>
      <c r="AN100" s="24" t="s">
        <v>169</v>
      </c>
      <c r="AO100" s="24" t="s">
        <v>362</v>
      </c>
      <c r="AP100" s="41"/>
    </row>
    <row r="101" spans="5:42" x14ac:dyDescent="0.25">
      <c r="E101" s="24" t="s">
        <v>139</v>
      </c>
      <c r="F101" s="24" t="s">
        <v>213</v>
      </c>
      <c r="G101">
        <v>4</v>
      </c>
      <c r="H101" t="s">
        <v>100</v>
      </c>
      <c r="I101" s="22" t="s">
        <v>141</v>
      </c>
      <c r="J101" s="22">
        <v>1077403401</v>
      </c>
      <c r="K101" t="s">
        <v>101</v>
      </c>
      <c r="L101" t="s">
        <v>108</v>
      </c>
      <c r="M101">
        <v>9</v>
      </c>
      <c r="N101">
        <v>10</v>
      </c>
      <c r="O101">
        <v>10</v>
      </c>
      <c r="P101" t="s">
        <v>103</v>
      </c>
      <c r="Q101" s="29">
        <v>4592.5200000000004</v>
      </c>
      <c r="R101">
        <v>45925</v>
      </c>
      <c r="S101">
        <v>20150120</v>
      </c>
      <c r="T101">
        <v>0</v>
      </c>
      <c r="U101">
        <v>0</v>
      </c>
      <c r="V101">
        <v>45925</v>
      </c>
      <c r="W101" t="s">
        <v>104</v>
      </c>
      <c r="X101" t="s">
        <v>105</v>
      </c>
      <c r="AD101">
        <v>98</v>
      </c>
      <c r="AE101" s="24" t="s">
        <v>365</v>
      </c>
      <c r="AF101" s="24" t="s">
        <v>161</v>
      </c>
      <c r="AG101" s="24" t="s">
        <v>366</v>
      </c>
      <c r="AH101" s="24" t="s">
        <v>367</v>
      </c>
      <c r="AI101">
        <v>10</v>
      </c>
      <c r="AJ101" s="29">
        <v>4592.5200000000004</v>
      </c>
      <c r="AK101" s="24" t="s">
        <v>168</v>
      </c>
      <c r="AL101" s="24" t="s">
        <v>163</v>
      </c>
      <c r="AM101" s="24" t="s">
        <v>164</v>
      </c>
      <c r="AN101" s="24" t="s">
        <v>169</v>
      </c>
      <c r="AO101" s="24" t="s">
        <v>365</v>
      </c>
      <c r="AP101" s="41"/>
    </row>
    <row r="102" spans="5:42" x14ac:dyDescent="0.25">
      <c r="E102" s="24" t="s">
        <v>139</v>
      </c>
      <c r="F102" s="24" t="s">
        <v>213</v>
      </c>
      <c r="G102">
        <v>5</v>
      </c>
      <c r="H102" t="s">
        <v>100</v>
      </c>
      <c r="I102" s="22" t="s">
        <v>141</v>
      </c>
      <c r="J102" s="22">
        <v>1071046601</v>
      </c>
      <c r="K102" t="s">
        <v>101</v>
      </c>
      <c r="L102" t="s">
        <v>108</v>
      </c>
      <c r="M102">
        <v>9</v>
      </c>
      <c r="N102">
        <v>8</v>
      </c>
      <c r="O102">
        <v>8</v>
      </c>
      <c r="P102" t="s">
        <v>103</v>
      </c>
      <c r="Q102" s="29">
        <v>4592.5200000000004</v>
      </c>
      <c r="R102">
        <v>36740</v>
      </c>
      <c r="S102">
        <v>20150105</v>
      </c>
      <c r="T102">
        <v>0</v>
      </c>
      <c r="U102">
        <v>0</v>
      </c>
      <c r="V102">
        <v>36740</v>
      </c>
      <c r="W102" t="s">
        <v>104</v>
      </c>
      <c r="X102" t="s">
        <v>105</v>
      </c>
      <c r="AD102">
        <v>99</v>
      </c>
      <c r="AE102" s="24" t="s">
        <v>368</v>
      </c>
      <c r="AF102" s="24" t="s">
        <v>161</v>
      </c>
      <c r="AG102" s="24" t="s">
        <v>369</v>
      </c>
      <c r="AH102" s="24" t="s">
        <v>370</v>
      </c>
      <c r="AI102">
        <v>8</v>
      </c>
      <c r="AJ102" s="29">
        <v>4592.5200000000004</v>
      </c>
      <c r="AK102" s="24" t="s">
        <v>168</v>
      </c>
      <c r="AL102" s="24" t="s">
        <v>163</v>
      </c>
      <c r="AM102" s="24" t="s">
        <v>164</v>
      </c>
      <c r="AN102" s="24" t="s">
        <v>169</v>
      </c>
      <c r="AO102" s="24" t="s">
        <v>368</v>
      </c>
      <c r="AP102" s="41"/>
    </row>
    <row r="103" spans="5:42" x14ac:dyDescent="0.25">
      <c r="E103" s="24" t="s">
        <v>139</v>
      </c>
      <c r="F103" s="24" t="s">
        <v>213</v>
      </c>
      <c r="G103">
        <v>6</v>
      </c>
      <c r="H103" t="s">
        <v>100</v>
      </c>
      <c r="I103" s="22" t="s">
        <v>141</v>
      </c>
      <c r="J103" s="22">
        <v>1076138401</v>
      </c>
      <c r="K103" t="s">
        <v>101</v>
      </c>
      <c r="L103" t="s">
        <v>108</v>
      </c>
      <c r="M103">
        <v>9</v>
      </c>
      <c r="N103">
        <v>6</v>
      </c>
      <c r="O103">
        <v>6</v>
      </c>
      <c r="P103" t="s">
        <v>103</v>
      </c>
      <c r="Q103" s="29">
        <v>4592.5200000000004</v>
      </c>
      <c r="R103">
        <v>27555</v>
      </c>
      <c r="S103">
        <v>20150116</v>
      </c>
      <c r="T103">
        <v>0</v>
      </c>
      <c r="U103">
        <v>0</v>
      </c>
      <c r="V103">
        <v>27555</v>
      </c>
      <c r="W103" t="s">
        <v>104</v>
      </c>
      <c r="X103" t="s">
        <v>105</v>
      </c>
      <c r="AD103">
        <v>100</v>
      </c>
      <c r="AE103" s="24" t="s">
        <v>371</v>
      </c>
      <c r="AF103" s="24" t="s">
        <v>161</v>
      </c>
      <c r="AG103" s="24" t="s">
        <v>372</v>
      </c>
      <c r="AH103" s="24" t="s">
        <v>373</v>
      </c>
      <c r="AI103">
        <v>6</v>
      </c>
      <c r="AJ103" s="29">
        <v>4592.5200000000004</v>
      </c>
      <c r="AK103" s="24" t="s">
        <v>168</v>
      </c>
      <c r="AL103" s="24" t="s">
        <v>163</v>
      </c>
      <c r="AM103" s="24" t="s">
        <v>164</v>
      </c>
      <c r="AN103" s="24" t="s">
        <v>169</v>
      </c>
      <c r="AO103" s="24" t="s">
        <v>371</v>
      </c>
      <c r="AP103" s="41"/>
    </row>
    <row r="104" spans="5:42" x14ac:dyDescent="0.25">
      <c r="E104" s="24" t="s">
        <v>139</v>
      </c>
      <c r="F104" s="24" t="s">
        <v>213</v>
      </c>
      <c r="G104">
        <v>7</v>
      </c>
      <c r="H104" t="s">
        <v>100</v>
      </c>
      <c r="I104" s="22" t="s">
        <v>141</v>
      </c>
      <c r="J104" s="22">
        <v>1074548001</v>
      </c>
      <c r="K104" t="s">
        <v>101</v>
      </c>
      <c r="L104" t="s">
        <v>108</v>
      </c>
      <c r="M104">
        <v>9</v>
      </c>
      <c r="N104">
        <v>6</v>
      </c>
      <c r="O104">
        <v>6</v>
      </c>
      <c r="P104" t="s">
        <v>103</v>
      </c>
      <c r="Q104" s="29">
        <v>4592.5200000000004</v>
      </c>
      <c r="R104">
        <v>27555</v>
      </c>
      <c r="S104">
        <v>20150113</v>
      </c>
      <c r="T104">
        <v>0</v>
      </c>
      <c r="U104">
        <v>0</v>
      </c>
      <c r="V104">
        <v>27555</v>
      </c>
      <c r="W104" t="s">
        <v>104</v>
      </c>
      <c r="X104" t="s">
        <v>105</v>
      </c>
      <c r="AD104">
        <v>101</v>
      </c>
      <c r="AE104" s="24" t="s">
        <v>374</v>
      </c>
      <c r="AF104" s="24" t="s">
        <v>161</v>
      </c>
      <c r="AG104" s="24" t="s">
        <v>375</v>
      </c>
      <c r="AH104" s="24" t="s">
        <v>376</v>
      </c>
      <c r="AI104">
        <v>6</v>
      </c>
      <c r="AJ104" s="29">
        <v>4592.5200000000004</v>
      </c>
      <c r="AK104" s="24" t="s">
        <v>168</v>
      </c>
      <c r="AL104" s="24" t="s">
        <v>163</v>
      </c>
      <c r="AM104" s="24" t="s">
        <v>164</v>
      </c>
      <c r="AN104" s="24" t="s">
        <v>169</v>
      </c>
      <c r="AO104" s="24" t="s">
        <v>374</v>
      </c>
      <c r="AP104" s="41"/>
    </row>
    <row r="105" spans="5:42" x14ac:dyDescent="0.25">
      <c r="E105" s="24" t="s">
        <v>139</v>
      </c>
      <c r="F105" s="24" t="s">
        <v>213</v>
      </c>
      <c r="G105">
        <v>8</v>
      </c>
      <c r="H105" t="s">
        <v>100</v>
      </c>
      <c r="I105" s="22" t="s">
        <v>141</v>
      </c>
      <c r="J105" s="22">
        <v>1075075501</v>
      </c>
      <c r="K105" t="s">
        <v>101</v>
      </c>
      <c r="L105" t="s">
        <v>108</v>
      </c>
      <c r="M105">
        <v>9</v>
      </c>
      <c r="N105">
        <v>10</v>
      </c>
      <c r="O105">
        <v>10</v>
      </c>
      <c r="P105" t="s">
        <v>103</v>
      </c>
      <c r="Q105" s="29">
        <v>4592.5200000000004</v>
      </c>
      <c r="R105">
        <v>45925</v>
      </c>
      <c r="S105">
        <v>20150114</v>
      </c>
      <c r="T105">
        <v>0</v>
      </c>
      <c r="U105">
        <v>0</v>
      </c>
      <c r="V105">
        <v>45925</v>
      </c>
      <c r="W105" t="s">
        <v>104</v>
      </c>
      <c r="X105" t="s">
        <v>105</v>
      </c>
      <c r="AD105">
        <v>102</v>
      </c>
      <c r="AE105" s="24" t="s">
        <v>377</v>
      </c>
      <c r="AF105" s="24" t="s">
        <v>161</v>
      </c>
      <c r="AG105" s="24" t="s">
        <v>378</v>
      </c>
      <c r="AH105" s="24" t="s">
        <v>379</v>
      </c>
      <c r="AI105">
        <v>10</v>
      </c>
      <c r="AJ105" s="29">
        <v>4592.5200000000004</v>
      </c>
      <c r="AK105" s="24" t="s">
        <v>168</v>
      </c>
      <c r="AL105" s="24" t="s">
        <v>163</v>
      </c>
      <c r="AM105" s="24" t="s">
        <v>164</v>
      </c>
      <c r="AN105" s="24" t="s">
        <v>169</v>
      </c>
      <c r="AO105" s="24" t="s">
        <v>377</v>
      </c>
      <c r="AP105" s="41"/>
    </row>
    <row r="106" spans="5:42" x14ac:dyDescent="0.25">
      <c r="E106" s="24" t="s">
        <v>139</v>
      </c>
      <c r="F106" s="24" t="s">
        <v>213</v>
      </c>
      <c r="G106">
        <v>9</v>
      </c>
      <c r="H106" t="s">
        <v>100</v>
      </c>
      <c r="I106" s="22" t="s">
        <v>141</v>
      </c>
      <c r="J106" s="22">
        <v>1073270401</v>
      </c>
      <c r="K106" t="s">
        <v>101</v>
      </c>
      <c r="L106" t="s">
        <v>110</v>
      </c>
      <c r="M106">
        <v>9</v>
      </c>
      <c r="N106">
        <v>2</v>
      </c>
      <c r="O106">
        <v>2</v>
      </c>
      <c r="P106" t="s">
        <v>103</v>
      </c>
      <c r="Q106" s="29">
        <v>4341.3999999999996</v>
      </c>
      <c r="R106">
        <v>8683</v>
      </c>
      <c r="S106">
        <v>20150109</v>
      </c>
      <c r="T106">
        <v>0</v>
      </c>
      <c r="U106">
        <v>0</v>
      </c>
      <c r="V106">
        <v>8683</v>
      </c>
      <c r="W106" t="s">
        <v>104</v>
      </c>
      <c r="X106" t="s">
        <v>105</v>
      </c>
      <c r="AD106">
        <v>103</v>
      </c>
      <c r="AE106" s="24" t="s">
        <v>380</v>
      </c>
      <c r="AF106" s="24" t="s">
        <v>161</v>
      </c>
      <c r="AG106" s="24" t="s">
        <v>381</v>
      </c>
      <c r="AH106" s="24" t="s">
        <v>382</v>
      </c>
      <c r="AI106">
        <v>2</v>
      </c>
      <c r="AJ106" s="29">
        <v>4341.3999999999996</v>
      </c>
      <c r="AK106" s="24" t="s">
        <v>170</v>
      </c>
      <c r="AL106" s="24" t="s">
        <v>163</v>
      </c>
      <c r="AM106" s="24" t="s">
        <v>164</v>
      </c>
      <c r="AN106" s="24" t="s">
        <v>171</v>
      </c>
      <c r="AO106" s="24" t="s">
        <v>380</v>
      </c>
      <c r="AP106" s="41"/>
    </row>
    <row r="107" spans="5:42" x14ac:dyDescent="0.25">
      <c r="E107" s="24" t="s">
        <v>139</v>
      </c>
      <c r="F107" s="24" t="s">
        <v>213</v>
      </c>
      <c r="G107">
        <v>10</v>
      </c>
      <c r="H107" t="s">
        <v>100</v>
      </c>
      <c r="I107" s="22" t="s">
        <v>141</v>
      </c>
      <c r="J107" s="22">
        <v>1075075601</v>
      </c>
      <c r="K107" t="s">
        <v>101</v>
      </c>
      <c r="L107" t="s">
        <v>110</v>
      </c>
      <c r="M107">
        <v>9</v>
      </c>
      <c r="N107">
        <v>6</v>
      </c>
      <c r="O107">
        <v>6</v>
      </c>
      <c r="P107" t="s">
        <v>103</v>
      </c>
      <c r="Q107" s="29">
        <v>4341.3999999999996</v>
      </c>
      <c r="R107">
        <v>26048</v>
      </c>
      <c r="S107">
        <v>20150114</v>
      </c>
      <c r="T107">
        <v>0</v>
      </c>
      <c r="U107">
        <v>0</v>
      </c>
      <c r="V107">
        <v>26048</v>
      </c>
      <c r="W107" t="s">
        <v>104</v>
      </c>
      <c r="X107" t="s">
        <v>105</v>
      </c>
      <c r="AD107">
        <v>104</v>
      </c>
      <c r="AE107" s="24" t="s">
        <v>383</v>
      </c>
      <c r="AF107" s="24" t="s">
        <v>161</v>
      </c>
      <c r="AG107" s="24" t="s">
        <v>384</v>
      </c>
      <c r="AH107" s="24" t="s">
        <v>385</v>
      </c>
      <c r="AI107">
        <v>6</v>
      </c>
      <c r="AJ107" s="29">
        <v>4341.3999999999996</v>
      </c>
      <c r="AK107" s="24" t="s">
        <v>170</v>
      </c>
      <c r="AL107" s="24" t="s">
        <v>163</v>
      </c>
      <c r="AM107" s="24" t="s">
        <v>164</v>
      </c>
      <c r="AN107" s="24" t="s">
        <v>171</v>
      </c>
      <c r="AO107" s="24" t="s">
        <v>383</v>
      </c>
      <c r="AP107" s="41"/>
    </row>
    <row r="108" spans="5:42" x14ac:dyDescent="0.25">
      <c r="E108" s="24" t="s">
        <v>139</v>
      </c>
      <c r="F108" s="24" t="s">
        <v>213</v>
      </c>
      <c r="G108">
        <v>11</v>
      </c>
      <c r="H108" t="s">
        <v>100</v>
      </c>
      <c r="I108" s="22" t="s">
        <v>142</v>
      </c>
      <c r="J108" s="22">
        <v>1072265801</v>
      </c>
      <c r="K108" t="s">
        <v>101</v>
      </c>
      <c r="L108" t="s">
        <v>111</v>
      </c>
      <c r="M108">
        <v>9</v>
      </c>
      <c r="N108">
        <v>10</v>
      </c>
      <c r="O108">
        <v>10</v>
      </c>
      <c r="P108" t="s">
        <v>103</v>
      </c>
      <c r="Q108" s="29">
        <v>4894.18</v>
      </c>
      <c r="R108">
        <v>48942</v>
      </c>
      <c r="S108">
        <v>20150107</v>
      </c>
      <c r="T108">
        <v>0</v>
      </c>
      <c r="U108">
        <v>0</v>
      </c>
      <c r="V108">
        <v>48942</v>
      </c>
      <c r="W108" t="s">
        <v>104</v>
      </c>
      <c r="X108" t="s">
        <v>105</v>
      </c>
      <c r="AD108">
        <v>105</v>
      </c>
      <c r="AE108" s="24" t="s">
        <v>386</v>
      </c>
      <c r="AF108" s="24" t="s">
        <v>161</v>
      </c>
      <c r="AG108" s="24" t="s">
        <v>387</v>
      </c>
      <c r="AH108" s="24" t="s">
        <v>388</v>
      </c>
      <c r="AI108">
        <v>10</v>
      </c>
      <c r="AJ108" s="29">
        <v>4894.18</v>
      </c>
      <c r="AK108" s="24" t="s">
        <v>172</v>
      </c>
      <c r="AL108" s="24" t="s">
        <v>163</v>
      </c>
      <c r="AM108" s="24" t="s">
        <v>164</v>
      </c>
      <c r="AN108" s="24" t="s">
        <v>173</v>
      </c>
      <c r="AO108" s="24" t="s">
        <v>386</v>
      </c>
      <c r="AP108" s="41"/>
    </row>
    <row r="109" spans="5:42" x14ac:dyDescent="0.25">
      <c r="E109" s="24" t="s">
        <v>139</v>
      </c>
      <c r="F109" s="24" t="s">
        <v>213</v>
      </c>
      <c r="G109">
        <v>12</v>
      </c>
      <c r="H109" t="s">
        <v>100</v>
      </c>
      <c r="I109" s="22" t="s">
        <v>142</v>
      </c>
      <c r="J109" s="22">
        <v>1072759501</v>
      </c>
      <c r="K109" t="s">
        <v>101</v>
      </c>
      <c r="L109" t="s">
        <v>111</v>
      </c>
      <c r="M109">
        <v>9</v>
      </c>
      <c r="N109">
        <v>8</v>
      </c>
      <c r="O109">
        <v>8</v>
      </c>
      <c r="P109" t="s">
        <v>103</v>
      </c>
      <c r="Q109" s="29">
        <v>4894.18</v>
      </c>
      <c r="R109">
        <v>39153</v>
      </c>
      <c r="S109">
        <v>20150108</v>
      </c>
      <c r="T109">
        <v>0</v>
      </c>
      <c r="U109">
        <v>0</v>
      </c>
      <c r="V109">
        <v>39153</v>
      </c>
      <c r="W109" t="s">
        <v>104</v>
      </c>
      <c r="X109" t="s">
        <v>105</v>
      </c>
      <c r="AD109">
        <v>106</v>
      </c>
      <c r="AE109" s="24" t="s">
        <v>389</v>
      </c>
      <c r="AF109" s="24" t="s">
        <v>161</v>
      </c>
      <c r="AG109" s="24" t="s">
        <v>390</v>
      </c>
      <c r="AH109" s="24" t="s">
        <v>391</v>
      </c>
      <c r="AI109">
        <v>8</v>
      </c>
      <c r="AJ109" s="29">
        <v>4894.18</v>
      </c>
      <c r="AK109" s="24" t="s">
        <v>172</v>
      </c>
      <c r="AL109" s="24" t="s">
        <v>163</v>
      </c>
      <c r="AM109" s="24" t="s">
        <v>164</v>
      </c>
      <c r="AN109" s="24" t="s">
        <v>173</v>
      </c>
      <c r="AO109" s="24" t="s">
        <v>389</v>
      </c>
      <c r="AP109" s="41"/>
    </row>
    <row r="110" spans="5:42" x14ac:dyDescent="0.25">
      <c r="E110" s="24" t="s">
        <v>139</v>
      </c>
      <c r="F110" s="24" t="s">
        <v>213</v>
      </c>
      <c r="G110">
        <v>13</v>
      </c>
      <c r="H110" t="s">
        <v>100</v>
      </c>
      <c r="I110" s="22" t="s">
        <v>142</v>
      </c>
      <c r="J110" s="22">
        <v>1073270601</v>
      </c>
      <c r="K110" t="s">
        <v>101</v>
      </c>
      <c r="L110" t="s">
        <v>111</v>
      </c>
      <c r="M110">
        <v>9</v>
      </c>
      <c r="N110">
        <v>8</v>
      </c>
      <c r="O110">
        <v>8</v>
      </c>
      <c r="P110" t="s">
        <v>103</v>
      </c>
      <c r="Q110" s="29">
        <v>4894.18</v>
      </c>
      <c r="R110">
        <v>39153</v>
      </c>
      <c r="S110">
        <v>20150109</v>
      </c>
      <c r="T110">
        <v>0</v>
      </c>
      <c r="U110">
        <v>0</v>
      </c>
      <c r="V110">
        <v>39153</v>
      </c>
      <c r="W110" t="s">
        <v>104</v>
      </c>
      <c r="X110" t="s">
        <v>105</v>
      </c>
      <c r="AD110">
        <v>107</v>
      </c>
      <c r="AE110" s="24" t="s">
        <v>392</v>
      </c>
      <c r="AF110" s="24" t="s">
        <v>161</v>
      </c>
      <c r="AG110" s="24" t="s">
        <v>393</v>
      </c>
      <c r="AH110" s="24" t="s">
        <v>394</v>
      </c>
      <c r="AI110">
        <v>8</v>
      </c>
      <c r="AJ110" s="29">
        <v>4894.18</v>
      </c>
      <c r="AK110" s="24" t="s">
        <v>172</v>
      </c>
      <c r="AL110" s="24" t="s">
        <v>163</v>
      </c>
      <c r="AM110" s="24" t="s">
        <v>164</v>
      </c>
      <c r="AN110" s="24" t="s">
        <v>173</v>
      </c>
      <c r="AO110" s="24" t="s">
        <v>392</v>
      </c>
      <c r="AP110" s="41"/>
    </row>
    <row r="111" spans="5:42" x14ac:dyDescent="0.25">
      <c r="E111" s="24" t="s">
        <v>139</v>
      </c>
      <c r="F111" s="24" t="s">
        <v>213</v>
      </c>
      <c r="G111">
        <v>14</v>
      </c>
      <c r="H111" t="s">
        <v>100</v>
      </c>
      <c r="I111" s="22" t="s">
        <v>142</v>
      </c>
      <c r="J111" s="22">
        <v>1075616601</v>
      </c>
      <c r="K111" t="s">
        <v>101</v>
      </c>
      <c r="L111" t="s">
        <v>111</v>
      </c>
      <c r="M111">
        <v>9</v>
      </c>
      <c r="N111">
        <v>2</v>
      </c>
      <c r="O111">
        <v>2</v>
      </c>
      <c r="P111" t="s">
        <v>103</v>
      </c>
      <c r="Q111" s="29">
        <v>4894.18</v>
      </c>
      <c r="R111">
        <v>9788</v>
      </c>
      <c r="S111">
        <v>20150115</v>
      </c>
      <c r="T111">
        <v>0</v>
      </c>
      <c r="U111">
        <v>0</v>
      </c>
      <c r="V111">
        <v>9788</v>
      </c>
      <c r="W111" t="s">
        <v>104</v>
      </c>
      <c r="X111" t="s">
        <v>105</v>
      </c>
      <c r="AD111">
        <v>108</v>
      </c>
      <c r="AE111" s="24" t="s">
        <v>395</v>
      </c>
      <c r="AF111" s="24" t="s">
        <v>161</v>
      </c>
      <c r="AG111" s="24" t="s">
        <v>396</v>
      </c>
      <c r="AH111" s="24" t="s">
        <v>397</v>
      </c>
      <c r="AI111">
        <v>2</v>
      </c>
      <c r="AJ111" s="29">
        <v>4894.18</v>
      </c>
      <c r="AK111" s="24" t="s">
        <v>172</v>
      </c>
      <c r="AL111" s="24" t="s">
        <v>163</v>
      </c>
      <c r="AM111" s="24" t="s">
        <v>164</v>
      </c>
      <c r="AN111" s="24" t="s">
        <v>173</v>
      </c>
      <c r="AO111" s="24" t="s">
        <v>395</v>
      </c>
      <c r="AP111" s="41"/>
    </row>
    <row r="112" spans="5:42" x14ac:dyDescent="0.25">
      <c r="E112" s="24" t="s">
        <v>139</v>
      </c>
      <c r="F112" s="24" t="s">
        <v>213</v>
      </c>
      <c r="G112">
        <v>15</v>
      </c>
      <c r="H112" t="s">
        <v>100</v>
      </c>
      <c r="I112" s="22" t="s">
        <v>142</v>
      </c>
      <c r="J112" s="22">
        <v>1071046101</v>
      </c>
      <c r="K112" t="s">
        <v>101</v>
      </c>
      <c r="L112" t="s">
        <v>106</v>
      </c>
      <c r="M112">
        <v>9</v>
      </c>
      <c r="N112">
        <v>4</v>
      </c>
      <c r="O112">
        <v>4</v>
      </c>
      <c r="P112" t="s">
        <v>103</v>
      </c>
      <c r="Q112" s="29">
        <v>4174.2299999999996</v>
      </c>
      <c r="R112">
        <v>16697</v>
      </c>
      <c r="S112">
        <v>20150105</v>
      </c>
      <c r="T112">
        <v>0</v>
      </c>
      <c r="U112">
        <v>0</v>
      </c>
      <c r="V112">
        <v>16697</v>
      </c>
      <c r="W112" t="s">
        <v>104</v>
      </c>
      <c r="X112" t="s">
        <v>105</v>
      </c>
      <c r="AD112">
        <v>109</v>
      </c>
      <c r="AE112" s="24" t="s">
        <v>398</v>
      </c>
      <c r="AF112" s="24" t="s">
        <v>161</v>
      </c>
      <c r="AG112" s="24" t="s">
        <v>399</v>
      </c>
      <c r="AH112" s="24" t="s">
        <v>400</v>
      </c>
      <c r="AI112">
        <v>4</v>
      </c>
      <c r="AJ112" s="29">
        <v>4174.2299999999996</v>
      </c>
      <c r="AK112" s="24" t="s">
        <v>174</v>
      </c>
      <c r="AL112" s="24" t="s">
        <v>163</v>
      </c>
      <c r="AM112" s="24" t="s">
        <v>164</v>
      </c>
      <c r="AN112" s="24" t="s">
        <v>175</v>
      </c>
      <c r="AO112" s="24" t="s">
        <v>398</v>
      </c>
      <c r="AP112" s="41"/>
    </row>
    <row r="113" spans="5:42" x14ac:dyDescent="0.25">
      <c r="E113" s="24" t="s">
        <v>139</v>
      </c>
      <c r="F113" s="24" t="s">
        <v>213</v>
      </c>
      <c r="G113">
        <v>16</v>
      </c>
      <c r="H113" t="s">
        <v>100</v>
      </c>
      <c r="I113" s="22" t="s">
        <v>142</v>
      </c>
      <c r="J113" s="22">
        <v>1076698701</v>
      </c>
      <c r="K113" t="s">
        <v>101</v>
      </c>
      <c r="L113" t="s">
        <v>106</v>
      </c>
      <c r="M113">
        <v>9</v>
      </c>
      <c r="N113">
        <v>8</v>
      </c>
      <c r="O113">
        <v>8</v>
      </c>
      <c r="P113" t="s">
        <v>103</v>
      </c>
      <c r="Q113" s="29">
        <v>4174.2299999999996</v>
      </c>
      <c r="R113">
        <v>33394</v>
      </c>
      <c r="S113">
        <v>20150119</v>
      </c>
      <c r="T113">
        <v>0</v>
      </c>
      <c r="U113">
        <v>0</v>
      </c>
      <c r="V113">
        <v>33394</v>
      </c>
      <c r="W113" t="s">
        <v>104</v>
      </c>
      <c r="X113" t="s">
        <v>105</v>
      </c>
      <c r="AD113">
        <v>110</v>
      </c>
      <c r="AE113" s="24" t="s">
        <v>401</v>
      </c>
      <c r="AF113" s="24" t="s">
        <v>161</v>
      </c>
      <c r="AG113" s="24" t="s">
        <v>402</v>
      </c>
      <c r="AH113" s="24" t="s">
        <v>403</v>
      </c>
      <c r="AI113">
        <v>8</v>
      </c>
      <c r="AJ113" s="29">
        <v>4174.2299999999996</v>
      </c>
      <c r="AK113" s="24" t="s">
        <v>174</v>
      </c>
      <c r="AL113" s="24" t="s">
        <v>163</v>
      </c>
      <c r="AM113" s="24" t="s">
        <v>164</v>
      </c>
      <c r="AN113" s="24" t="s">
        <v>175</v>
      </c>
      <c r="AO113" s="24" t="s">
        <v>401</v>
      </c>
      <c r="AP113" s="41"/>
    </row>
    <row r="114" spans="5:42" x14ac:dyDescent="0.25">
      <c r="E114" s="24" t="s">
        <v>139</v>
      </c>
      <c r="F114" s="24" t="s">
        <v>213</v>
      </c>
      <c r="G114">
        <v>17</v>
      </c>
      <c r="H114" t="s">
        <v>100</v>
      </c>
      <c r="I114" s="22" t="s">
        <v>142</v>
      </c>
      <c r="J114" s="22">
        <v>1072759601</v>
      </c>
      <c r="K114" t="s">
        <v>101</v>
      </c>
      <c r="L114" t="s">
        <v>106</v>
      </c>
      <c r="M114">
        <v>9</v>
      </c>
      <c r="N114">
        <v>18</v>
      </c>
      <c r="O114">
        <v>18</v>
      </c>
      <c r="P114" t="s">
        <v>103</v>
      </c>
      <c r="Q114" s="29">
        <v>4174.2299999999996</v>
      </c>
      <c r="R114">
        <v>75136</v>
      </c>
      <c r="S114">
        <v>20150108</v>
      </c>
      <c r="T114">
        <v>0</v>
      </c>
      <c r="U114">
        <v>0</v>
      </c>
      <c r="V114">
        <v>75136</v>
      </c>
      <c r="W114" t="s">
        <v>104</v>
      </c>
      <c r="X114" t="s">
        <v>105</v>
      </c>
      <c r="AD114">
        <v>111</v>
      </c>
      <c r="AE114" s="24" t="s">
        <v>404</v>
      </c>
      <c r="AF114" s="24" t="s">
        <v>161</v>
      </c>
      <c r="AG114" s="24" t="s">
        <v>405</v>
      </c>
      <c r="AH114" s="24" t="s">
        <v>406</v>
      </c>
      <c r="AI114">
        <v>18</v>
      </c>
      <c r="AJ114" s="29">
        <v>4174.2299999999996</v>
      </c>
      <c r="AK114" s="24" t="s">
        <v>174</v>
      </c>
      <c r="AL114" s="24" t="s">
        <v>163</v>
      </c>
      <c r="AM114" s="24" t="s">
        <v>164</v>
      </c>
      <c r="AN114" s="24" t="s">
        <v>175</v>
      </c>
      <c r="AO114" s="24" t="s">
        <v>404</v>
      </c>
      <c r="AP114" s="41"/>
    </row>
    <row r="115" spans="5:42" x14ac:dyDescent="0.25">
      <c r="E115" s="24" t="s">
        <v>139</v>
      </c>
      <c r="F115" s="24" t="s">
        <v>213</v>
      </c>
      <c r="G115">
        <v>18</v>
      </c>
      <c r="H115" t="s">
        <v>100</v>
      </c>
      <c r="I115" s="22" t="s">
        <v>142</v>
      </c>
      <c r="J115" s="22">
        <v>1076138201</v>
      </c>
      <c r="K115" t="s">
        <v>101</v>
      </c>
      <c r="L115" t="s">
        <v>106</v>
      </c>
      <c r="M115">
        <v>9</v>
      </c>
      <c r="N115">
        <v>6</v>
      </c>
      <c r="O115">
        <v>6</v>
      </c>
      <c r="P115" t="s">
        <v>103</v>
      </c>
      <c r="Q115" s="29">
        <v>4174.2299999999996</v>
      </c>
      <c r="R115">
        <v>25045</v>
      </c>
      <c r="S115">
        <v>20150119</v>
      </c>
      <c r="T115">
        <v>0</v>
      </c>
      <c r="U115">
        <v>0</v>
      </c>
      <c r="V115">
        <v>25045</v>
      </c>
      <c r="W115" t="s">
        <v>104</v>
      </c>
      <c r="X115" t="s">
        <v>105</v>
      </c>
      <c r="AD115">
        <v>112</v>
      </c>
      <c r="AE115" s="24" t="s">
        <v>407</v>
      </c>
      <c r="AF115" s="24" t="s">
        <v>161</v>
      </c>
      <c r="AG115" s="24" t="s">
        <v>408</v>
      </c>
      <c r="AH115" s="24" t="s">
        <v>409</v>
      </c>
      <c r="AI115">
        <v>6</v>
      </c>
      <c r="AJ115" s="29">
        <v>4174.2299999999996</v>
      </c>
      <c r="AK115" s="24" t="s">
        <v>174</v>
      </c>
      <c r="AL115" s="24" t="s">
        <v>163</v>
      </c>
      <c r="AM115" s="24" t="s">
        <v>164</v>
      </c>
      <c r="AN115" s="24" t="s">
        <v>175</v>
      </c>
      <c r="AO115" s="24" t="s">
        <v>407</v>
      </c>
      <c r="AP115" s="41"/>
    </row>
    <row r="116" spans="5:42" x14ac:dyDescent="0.25">
      <c r="E116" s="24" t="s">
        <v>139</v>
      </c>
      <c r="F116" s="24" t="s">
        <v>213</v>
      </c>
      <c r="G116">
        <v>19</v>
      </c>
      <c r="H116" t="s">
        <v>100</v>
      </c>
      <c r="I116" s="22" t="s">
        <v>142</v>
      </c>
      <c r="J116" s="22">
        <v>1075076101</v>
      </c>
      <c r="K116" t="s">
        <v>101</v>
      </c>
      <c r="L116" t="s">
        <v>106</v>
      </c>
      <c r="M116">
        <v>9</v>
      </c>
      <c r="N116">
        <v>8</v>
      </c>
      <c r="O116">
        <v>8</v>
      </c>
      <c r="P116" t="s">
        <v>103</v>
      </c>
      <c r="Q116" s="29">
        <v>4174.2299999999996</v>
      </c>
      <c r="R116">
        <v>33394</v>
      </c>
      <c r="S116">
        <v>20150114</v>
      </c>
      <c r="T116">
        <v>0</v>
      </c>
      <c r="U116">
        <v>0</v>
      </c>
      <c r="V116">
        <v>33394</v>
      </c>
      <c r="W116" t="s">
        <v>104</v>
      </c>
      <c r="X116" t="s">
        <v>105</v>
      </c>
      <c r="AD116">
        <v>113</v>
      </c>
      <c r="AE116" s="24" t="s">
        <v>410</v>
      </c>
      <c r="AF116" s="24" t="s">
        <v>161</v>
      </c>
      <c r="AG116" s="24" t="s">
        <v>411</v>
      </c>
      <c r="AH116" s="24" t="s">
        <v>412</v>
      </c>
      <c r="AI116">
        <v>8</v>
      </c>
      <c r="AJ116" s="29">
        <v>4174.2299999999996</v>
      </c>
      <c r="AK116" s="24" t="s">
        <v>174</v>
      </c>
      <c r="AL116" s="24" t="s">
        <v>163</v>
      </c>
      <c r="AM116" s="24" t="s">
        <v>164</v>
      </c>
      <c r="AN116" s="24" t="s">
        <v>175</v>
      </c>
      <c r="AO116" s="24" t="s">
        <v>410</v>
      </c>
      <c r="AP116" s="41"/>
    </row>
    <row r="117" spans="5:42" x14ac:dyDescent="0.25">
      <c r="E117" s="24" t="s">
        <v>139</v>
      </c>
      <c r="F117" s="24" t="s">
        <v>213</v>
      </c>
      <c r="G117">
        <v>20</v>
      </c>
      <c r="H117" t="s">
        <v>100</v>
      </c>
      <c r="I117" s="22" t="s">
        <v>142</v>
      </c>
      <c r="J117" s="22">
        <v>1073270501</v>
      </c>
      <c r="K117" t="s">
        <v>101</v>
      </c>
      <c r="L117" t="s">
        <v>106</v>
      </c>
      <c r="M117">
        <v>9</v>
      </c>
      <c r="N117">
        <v>10</v>
      </c>
      <c r="O117">
        <v>10</v>
      </c>
      <c r="P117" t="s">
        <v>103</v>
      </c>
      <c r="Q117" s="29">
        <v>4174.2299999999996</v>
      </c>
      <c r="R117">
        <v>41742</v>
      </c>
      <c r="S117">
        <v>20150109</v>
      </c>
      <c r="T117">
        <v>0</v>
      </c>
      <c r="U117">
        <v>0</v>
      </c>
      <c r="V117">
        <v>41742</v>
      </c>
      <c r="W117" t="s">
        <v>104</v>
      </c>
      <c r="X117" t="s">
        <v>105</v>
      </c>
      <c r="AD117">
        <v>114</v>
      </c>
      <c r="AE117" s="24" t="s">
        <v>413</v>
      </c>
      <c r="AF117" s="24" t="s">
        <v>161</v>
      </c>
      <c r="AG117" s="24" t="s">
        <v>414</v>
      </c>
      <c r="AH117" s="24" t="s">
        <v>415</v>
      </c>
      <c r="AI117">
        <v>10</v>
      </c>
      <c r="AJ117" s="29">
        <v>4174.2299999999996</v>
      </c>
      <c r="AK117" s="24" t="s">
        <v>174</v>
      </c>
      <c r="AL117" s="24" t="s">
        <v>163</v>
      </c>
      <c r="AM117" s="24" t="s">
        <v>164</v>
      </c>
      <c r="AN117" s="24" t="s">
        <v>175</v>
      </c>
      <c r="AO117" s="24" t="s">
        <v>413</v>
      </c>
      <c r="AP117" s="41"/>
    </row>
    <row r="118" spans="5:42" x14ac:dyDescent="0.25">
      <c r="E118" s="24" t="s">
        <v>139</v>
      </c>
      <c r="F118" s="24" t="s">
        <v>213</v>
      </c>
      <c r="G118">
        <v>21</v>
      </c>
      <c r="H118" t="s">
        <v>100</v>
      </c>
      <c r="I118" s="22" t="s">
        <v>142</v>
      </c>
      <c r="J118" s="22">
        <v>1072265301</v>
      </c>
      <c r="K118" t="s">
        <v>101</v>
      </c>
      <c r="L118" t="s">
        <v>106</v>
      </c>
      <c r="M118">
        <v>9</v>
      </c>
      <c r="N118">
        <v>6</v>
      </c>
      <c r="O118">
        <v>6</v>
      </c>
      <c r="P118" t="s">
        <v>103</v>
      </c>
      <c r="Q118" s="29">
        <v>4174.2299999999996</v>
      </c>
      <c r="R118">
        <v>25045</v>
      </c>
      <c r="S118">
        <v>20150107</v>
      </c>
      <c r="T118">
        <v>0</v>
      </c>
      <c r="U118">
        <v>0</v>
      </c>
      <c r="V118">
        <v>25045</v>
      </c>
      <c r="W118" t="s">
        <v>104</v>
      </c>
      <c r="X118" t="s">
        <v>105</v>
      </c>
      <c r="AD118">
        <v>115</v>
      </c>
      <c r="AE118" s="24" t="s">
        <v>416</v>
      </c>
      <c r="AF118" s="24" t="s">
        <v>161</v>
      </c>
      <c r="AG118" s="24" t="s">
        <v>417</v>
      </c>
      <c r="AH118" s="24" t="s">
        <v>418</v>
      </c>
      <c r="AI118">
        <v>6</v>
      </c>
      <c r="AJ118" s="29">
        <v>4174.2299999999996</v>
      </c>
      <c r="AK118" s="24" t="s">
        <v>174</v>
      </c>
      <c r="AL118" s="24" t="s">
        <v>163</v>
      </c>
      <c r="AM118" s="24" t="s">
        <v>164</v>
      </c>
      <c r="AN118" s="24" t="s">
        <v>175</v>
      </c>
      <c r="AO118" s="24" t="s">
        <v>416</v>
      </c>
      <c r="AP118" s="41"/>
    </row>
    <row r="119" spans="5:42" x14ac:dyDescent="0.25">
      <c r="E119" s="24" t="s">
        <v>139</v>
      </c>
      <c r="F119" s="24" t="s">
        <v>213</v>
      </c>
      <c r="G119">
        <v>22</v>
      </c>
      <c r="H119" t="s">
        <v>100</v>
      </c>
      <c r="I119" s="22" t="s">
        <v>142</v>
      </c>
      <c r="J119" s="22">
        <v>1073792201</v>
      </c>
      <c r="K119" t="s">
        <v>101</v>
      </c>
      <c r="L119" t="s">
        <v>106</v>
      </c>
      <c r="M119">
        <v>9</v>
      </c>
      <c r="N119">
        <v>6</v>
      </c>
      <c r="O119">
        <v>6</v>
      </c>
      <c r="P119" t="s">
        <v>103</v>
      </c>
      <c r="Q119" s="29">
        <v>4174.2299999999996</v>
      </c>
      <c r="R119">
        <v>25045</v>
      </c>
      <c r="S119">
        <v>20150112</v>
      </c>
      <c r="T119">
        <v>0</v>
      </c>
      <c r="U119">
        <v>0</v>
      </c>
      <c r="V119">
        <v>25045</v>
      </c>
      <c r="W119" t="s">
        <v>104</v>
      </c>
      <c r="X119" t="s">
        <v>105</v>
      </c>
      <c r="AD119">
        <v>116</v>
      </c>
      <c r="AE119" s="24" t="s">
        <v>419</v>
      </c>
      <c r="AF119" s="24" t="s">
        <v>161</v>
      </c>
      <c r="AG119" s="24" t="s">
        <v>420</v>
      </c>
      <c r="AH119" s="24" t="s">
        <v>421</v>
      </c>
      <c r="AI119">
        <v>6</v>
      </c>
      <c r="AJ119" s="29">
        <v>4174.2299999999996</v>
      </c>
      <c r="AK119" s="24" t="s">
        <v>174</v>
      </c>
      <c r="AL119" s="24" t="s">
        <v>163</v>
      </c>
      <c r="AM119" s="24" t="s">
        <v>164</v>
      </c>
      <c r="AN119" s="24" t="s">
        <v>175</v>
      </c>
      <c r="AO119" s="24" t="s">
        <v>419</v>
      </c>
      <c r="AP119" s="41"/>
    </row>
    <row r="120" spans="5:42" x14ac:dyDescent="0.25">
      <c r="E120" s="24" t="s">
        <v>139</v>
      </c>
      <c r="F120" s="24" t="s">
        <v>214</v>
      </c>
      <c r="G120">
        <v>1</v>
      </c>
      <c r="H120" t="s">
        <v>100</v>
      </c>
      <c r="I120" s="22" t="s">
        <v>142</v>
      </c>
      <c r="J120" s="22">
        <v>1075616701</v>
      </c>
      <c r="K120" t="s">
        <v>101</v>
      </c>
      <c r="L120" t="s">
        <v>106</v>
      </c>
      <c r="M120">
        <v>9</v>
      </c>
      <c r="N120">
        <v>10</v>
      </c>
      <c r="O120">
        <v>10</v>
      </c>
      <c r="P120" t="s">
        <v>103</v>
      </c>
      <c r="Q120" s="29">
        <v>4174.2299999999996</v>
      </c>
      <c r="R120">
        <v>41742</v>
      </c>
      <c r="S120">
        <v>20150115</v>
      </c>
      <c r="T120">
        <v>0</v>
      </c>
      <c r="U120">
        <v>0</v>
      </c>
      <c r="V120">
        <v>41742</v>
      </c>
      <c r="W120" t="s">
        <v>104</v>
      </c>
      <c r="X120" t="s">
        <v>105</v>
      </c>
      <c r="Y120">
        <v>3</v>
      </c>
      <c r="Z120">
        <v>661055</v>
      </c>
      <c r="AA120">
        <v>0</v>
      </c>
      <c r="AB120">
        <v>0</v>
      </c>
      <c r="AC120">
        <v>661055</v>
      </c>
      <c r="AD120">
        <v>117</v>
      </c>
      <c r="AE120" s="24" t="s">
        <v>422</v>
      </c>
      <c r="AF120" s="24" t="s">
        <v>161</v>
      </c>
      <c r="AG120" s="24" t="s">
        <v>423</v>
      </c>
      <c r="AH120" s="24" t="s">
        <v>424</v>
      </c>
      <c r="AI120">
        <v>10</v>
      </c>
      <c r="AJ120" s="29">
        <v>4174.2299999999996</v>
      </c>
      <c r="AK120" s="24" t="s">
        <v>174</v>
      </c>
      <c r="AL120" s="24" t="s">
        <v>163</v>
      </c>
      <c r="AM120" s="24" t="s">
        <v>164</v>
      </c>
      <c r="AN120" s="24" t="s">
        <v>175</v>
      </c>
      <c r="AO120" s="24" t="s">
        <v>422</v>
      </c>
      <c r="AP120" s="41"/>
    </row>
    <row r="121" spans="5:42" x14ac:dyDescent="0.25">
      <c r="E121" s="24" t="s">
        <v>139</v>
      </c>
      <c r="F121" s="24" t="s">
        <v>214</v>
      </c>
      <c r="G121">
        <v>2</v>
      </c>
      <c r="H121" t="s">
        <v>100</v>
      </c>
      <c r="I121" s="22" t="s">
        <v>107</v>
      </c>
      <c r="J121" s="22">
        <v>1071813501</v>
      </c>
      <c r="K121" t="s">
        <v>101</v>
      </c>
      <c r="L121" t="s">
        <v>215</v>
      </c>
      <c r="M121">
        <v>9</v>
      </c>
      <c r="N121">
        <v>2</v>
      </c>
      <c r="O121">
        <v>2</v>
      </c>
      <c r="P121" t="s">
        <v>103</v>
      </c>
      <c r="Q121" s="29">
        <v>4253.45</v>
      </c>
      <c r="R121">
        <v>8507</v>
      </c>
      <c r="S121">
        <v>20150106</v>
      </c>
      <c r="T121">
        <v>0</v>
      </c>
      <c r="U121">
        <v>0</v>
      </c>
      <c r="V121">
        <v>8507</v>
      </c>
      <c r="W121" t="s">
        <v>104</v>
      </c>
      <c r="X121" t="s">
        <v>105</v>
      </c>
      <c r="AD121">
        <v>118</v>
      </c>
      <c r="AE121" s="24" t="s">
        <v>425</v>
      </c>
      <c r="AF121" s="24" t="s">
        <v>161</v>
      </c>
      <c r="AG121" s="24" t="s">
        <v>426</v>
      </c>
      <c r="AH121" s="24" t="s">
        <v>427</v>
      </c>
      <c r="AI121">
        <v>2</v>
      </c>
      <c r="AJ121" s="29">
        <v>4253.45</v>
      </c>
      <c r="AK121" s="24" t="s">
        <v>428</v>
      </c>
      <c r="AL121" s="24" t="s">
        <v>176</v>
      </c>
      <c r="AM121" s="24" t="s">
        <v>164</v>
      </c>
      <c r="AN121" s="24" t="s">
        <v>429</v>
      </c>
      <c r="AO121" s="24" t="s">
        <v>425</v>
      </c>
      <c r="AP121" s="41"/>
    </row>
    <row r="122" spans="5:42" x14ac:dyDescent="0.25">
      <c r="E122" s="24" t="s">
        <v>139</v>
      </c>
      <c r="F122" s="24" t="s">
        <v>214</v>
      </c>
      <c r="G122">
        <v>3</v>
      </c>
      <c r="H122" t="s">
        <v>100</v>
      </c>
      <c r="I122" s="22" t="s">
        <v>107</v>
      </c>
      <c r="J122" s="22">
        <v>1075616901</v>
      </c>
      <c r="K122" t="s">
        <v>101</v>
      </c>
      <c r="L122" t="s">
        <v>215</v>
      </c>
      <c r="M122">
        <v>9</v>
      </c>
      <c r="N122">
        <v>6</v>
      </c>
      <c r="O122">
        <v>6</v>
      </c>
      <c r="P122" t="s">
        <v>103</v>
      </c>
      <c r="Q122" s="29">
        <v>4253.45</v>
      </c>
      <c r="R122">
        <v>25521</v>
      </c>
      <c r="S122">
        <v>20150115</v>
      </c>
      <c r="T122">
        <v>0</v>
      </c>
      <c r="U122">
        <v>0</v>
      </c>
      <c r="V122">
        <v>25521</v>
      </c>
      <c r="W122" t="s">
        <v>104</v>
      </c>
      <c r="X122" t="s">
        <v>105</v>
      </c>
      <c r="AD122">
        <v>119</v>
      </c>
      <c r="AE122" s="24" t="s">
        <v>430</v>
      </c>
      <c r="AF122" s="24" t="s">
        <v>161</v>
      </c>
      <c r="AG122" s="24" t="s">
        <v>431</v>
      </c>
      <c r="AH122" s="24" t="s">
        <v>432</v>
      </c>
      <c r="AI122">
        <v>6</v>
      </c>
      <c r="AJ122" s="29">
        <v>4253.45</v>
      </c>
      <c r="AK122" s="24" t="s">
        <v>428</v>
      </c>
      <c r="AL122" s="24" t="s">
        <v>176</v>
      </c>
      <c r="AM122" s="24" t="s">
        <v>164</v>
      </c>
      <c r="AN122" s="24" t="s">
        <v>429</v>
      </c>
      <c r="AO122" s="24" t="s">
        <v>430</v>
      </c>
      <c r="AP122" s="41"/>
    </row>
    <row r="123" spans="5:42" x14ac:dyDescent="0.25">
      <c r="E123" s="24" t="s">
        <v>139</v>
      </c>
      <c r="F123" s="24" t="s">
        <v>214</v>
      </c>
      <c r="G123">
        <v>4</v>
      </c>
      <c r="H123" t="s">
        <v>100</v>
      </c>
      <c r="I123" s="22" t="s">
        <v>107</v>
      </c>
      <c r="J123" s="22">
        <v>1073271001</v>
      </c>
      <c r="K123" t="s">
        <v>101</v>
      </c>
      <c r="L123" t="s">
        <v>215</v>
      </c>
      <c r="M123">
        <v>9</v>
      </c>
      <c r="N123">
        <v>2</v>
      </c>
      <c r="O123">
        <v>2</v>
      </c>
      <c r="P123" t="s">
        <v>103</v>
      </c>
      <c r="Q123" s="29">
        <v>4253.45</v>
      </c>
      <c r="R123">
        <v>8507</v>
      </c>
      <c r="S123">
        <v>20150109</v>
      </c>
      <c r="T123">
        <v>0</v>
      </c>
      <c r="U123">
        <v>0</v>
      </c>
      <c r="V123">
        <v>8507</v>
      </c>
      <c r="W123" t="s">
        <v>104</v>
      </c>
      <c r="X123" t="s">
        <v>105</v>
      </c>
      <c r="AD123">
        <v>120</v>
      </c>
      <c r="AE123" s="24" t="s">
        <v>433</v>
      </c>
      <c r="AF123" s="24" t="s">
        <v>161</v>
      </c>
      <c r="AG123" s="24" t="s">
        <v>434</v>
      </c>
      <c r="AH123" s="24" t="s">
        <v>435</v>
      </c>
      <c r="AI123">
        <v>2</v>
      </c>
      <c r="AJ123" s="29">
        <v>4253.45</v>
      </c>
      <c r="AK123" s="24" t="s">
        <v>428</v>
      </c>
      <c r="AL123" s="24" t="s">
        <v>176</v>
      </c>
      <c r="AM123" s="24" t="s">
        <v>164</v>
      </c>
      <c r="AN123" s="24" t="s">
        <v>429</v>
      </c>
      <c r="AO123" s="24" t="s">
        <v>433</v>
      </c>
      <c r="AP123" s="41"/>
    </row>
    <row r="124" spans="5:42" x14ac:dyDescent="0.25">
      <c r="E124" s="24" t="s">
        <v>139</v>
      </c>
      <c r="F124" s="24" t="s">
        <v>214</v>
      </c>
      <c r="G124">
        <v>5</v>
      </c>
      <c r="H124" t="s">
        <v>100</v>
      </c>
      <c r="I124" s="22" t="s">
        <v>107</v>
      </c>
      <c r="J124" s="22">
        <v>1072265501</v>
      </c>
      <c r="K124" t="s">
        <v>101</v>
      </c>
      <c r="L124" t="s">
        <v>215</v>
      </c>
      <c r="M124">
        <v>9</v>
      </c>
      <c r="N124">
        <v>2</v>
      </c>
      <c r="O124">
        <v>2</v>
      </c>
      <c r="P124" t="s">
        <v>103</v>
      </c>
      <c r="Q124" s="29">
        <v>4253.45</v>
      </c>
      <c r="R124">
        <v>8507</v>
      </c>
      <c r="S124">
        <v>20150107</v>
      </c>
      <c r="T124">
        <v>0</v>
      </c>
      <c r="U124">
        <v>0</v>
      </c>
      <c r="V124">
        <v>8507</v>
      </c>
      <c r="W124" t="s">
        <v>104</v>
      </c>
      <c r="X124" t="s">
        <v>105</v>
      </c>
      <c r="AD124">
        <v>121</v>
      </c>
      <c r="AE124" s="24" t="s">
        <v>436</v>
      </c>
      <c r="AF124" s="24" t="s">
        <v>161</v>
      </c>
      <c r="AG124" s="24" t="s">
        <v>437</v>
      </c>
      <c r="AH124" s="24" t="s">
        <v>438</v>
      </c>
      <c r="AI124">
        <v>2</v>
      </c>
      <c r="AJ124" s="29">
        <v>4253.45</v>
      </c>
      <c r="AK124" s="24" t="s">
        <v>428</v>
      </c>
      <c r="AL124" s="24" t="s">
        <v>176</v>
      </c>
      <c r="AM124" s="24" t="s">
        <v>164</v>
      </c>
      <c r="AN124" s="24" t="s">
        <v>429</v>
      </c>
      <c r="AO124" s="24" t="s">
        <v>436</v>
      </c>
      <c r="AP124" s="41"/>
    </row>
    <row r="125" spans="5:42" x14ac:dyDescent="0.25">
      <c r="E125" s="24" t="s">
        <v>139</v>
      </c>
      <c r="F125" s="24" t="s">
        <v>214</v>
      </c>
      <c r="G125">
        <v>6</v>
      </c>
      <c r="H125" t="s">
        <v>100</v>
      </c>
      <c r="I125" s="22" t="s">
        <v>107</v>
      </c>
      <c r="J125" s="22">
        <v>1071046401</v>
      </c>
      <c r="K125" t="s">
        <v>101</v>
      </c>
      <c r="L125" t="s">
        <v>156</v>
      </c>
      <c r="M125">
        <v>9</v>
      </c>
      <c r="N125">
        <v>22</v>
      </c>
      <c r="O125">
        <v>22</v>
      </c>
      <c r="P125" t="s">
        <v>103</v>
      </c>
      <c r="Q125" s="29">
        <v>4348.68</v>
      </c>
      <c r="R125">
        <v>95671</v>
      </c>
      <c r="S125">
        <v>20150105</v>
      </c>
      <c r="T125">
        <v>0</v>
      </c>
      <c r="U125">
        <v>0</v>
      </c>
      <c r="V125">
        <v>95671</v>
      </c>
      <c r="W125" t="s">
        <v>104</v>
      </c>
      <c r="X125" t="s">
        <v>105</v>
      </c>
      <c r="AD125">
        <v>122</v>
      </c>
      <c r="AE125" s="24" t="s">
        <v>439</v>
      </c>
      <c r="AF125" s="24" t="s">
        <v>161</v>
      </c>
      <c r="AG125" s="24" t="s">
        <v>440</v>
      </c>
      <c r="AH125" s="24" t="s">
        <v>441</v>
      </c>
      <c r="AI125">
        <v>22</v>
      </c>
      <c r="AJ125" s="29">
        <v>4348.68</v>
      </c>
      <c r="AK125" s="24" t="s">
        <v>177</v>
      </c>
      <c r="AL125" s="24" t="s">
        <v>176</v>
      </c>
      <c r="AM125" s="24" t="s">
        <v>164</v>
      </c>
      <c r="AN125" s="24" t="s">
        <v>178</v>
      </c>
      <c r="AO125" s="24" t="s">
        <v>439</v>
      </c>
      <c r="AP125" s="41"/>
    </row>
    <row r="126" spans="5:42" x14ac:dyDescent="0.25">
      <c r="E126" s="24" t="s">
        <v>139</v>
      </c>
      <c r="F126" s="24" t="s">
        <v>214</v>
      </c>
      <c r="G126">
        <v>7</v>
      </c>
      <c r="H126" t="s">
        <v>100</v>
      </c>
      <c r="I126" s="22" t="s">
        <v>107</v>
      </c>
      <c r="J126" s="22">
        <v>1075617101</v>
      </c>
      <c r="K126" t="s">
        <v>101</v>
      </c>
      <c r="L126" t="s">
        <v>156</v>
      </c>
      <c r="M126">
        <v>9</v>
      </c>
      <c r="N126">
        <v>10</v>
      </c>
      <c r="O126">
        <v>10</v>
      </c>
      <c r="P126" t="s">
        <v>103</v>
      </c>
      <c r="Q126" s="29">
        <v>4348.68</v>
      </c>
      <c r="R126">
        <v>43487</v>
      </c>
      <c r="S126">
        <v>20150115</v>
      </c>
      <c r="T126">
        <v>0</v>
      </c>
      <c r="U126">
        <v>0</v>
      </c>
      <c r="V126">
        <v>43487</v>
      </c>
      <c r="W126" t="s">
        <v>104</v>
      </c>
      <c r="X126" t="s">
        <v>105</v>
      </c>
      <c r="AD126" s="39">
        <v>123</v>
      </c>
      <c r="AE126" s="24" t="s">
        <v>442</v>
      </c>
      <c r="AF126" s="24" t="s">
        <v>161</v>
      </c>
      <c r="AG126" s="24" t="s">
        <v>443</v>
      </c>
      <c r="AH126" s="24" t="s">
        <v>444</v>
      </c>
      <c r="AI126">
        <v>5</v>
      </c>
      <c r="AJ126" s="29">
        <v>4348.68</v>
      </c>
      <c r="AK126" s="24" t="s">
        <v>177</v>
      </c>
      <c r="AL126" s="24" t="s">
        <v>445</v>
      </c>
      <c r="AM126" s="24" t="s">
        <v>164</v>
      </c>
      <c r="AN126" s="24" t="s">
        <v>178</v>
      </c>
      <c r="AO126" s="24" t="s">
        <v>442</v>
      </c>
      <c r="AP126" s="41"/>
    </row>
    <row r="127" spans="5:42" x14ac:dyDescent="0.25">
      <c r="E127" s="24" t="s">
        <v>139</v>
      </c>
      <c r="F127" s="24" t="s">
        <v>214</v>
      </c>
      <c r="G127">
        <v>8</v>
      </c>
      <c r="H127" t="s">
        <v>100</v>
      </c>
      <c r="I127" s="22" t="s">
        <v>107</v>
      </c>
      <c r="J127" s="22">
        <v>1072760001</v>
      </c>
      <c r="K127" t="s">
        <v>101</v>
      </c>
      <c r="L127" t="s">
        <v>156</v>
      </c>
      <c r="M127">
        <v>9</v>
      </c>
      <c r="N127">
        <v>4</v>
      </c>
      <c r="O127">
        <v>4</v>
      </c>
      <c r="P127" t="s">
        <v>103</v>
      </c>
      <c r="Q127" s="29">
        <v>4348.68</v>
      </c>
      <c r="R127">
        <v>17395</v>
      </c>
      <c r="S127">
        <v>20150108</v>
      </c>
      <c r="T127">
        <v>0</v>
      </c>
      <c r="U127">
        <v>0</v>
      </c>
      <c r="V127">
        <v>17395</v>
      </c>
      <c r="W127" t="s">
        <v>104</v>
      </c>
      <c r="X127" t="s">
        <v>105</v>
      </c>
      <c r="AD127" s="39">
        <v>123</v>
      </c>
      <c r="AE127" s="24" t="s">
        <v>442</v>
      </c>
      <c r="AF127" s="24" t="s">
        <v>161</v>
      </c>
      <c r="AG127" s="24" t="s">
        <v>446</v>
      </c>
      <c r="AH127" s="24" t="s">
        <v>447</v>
      </c>
      <c r="AI127">
        <v>5</v>
      </c>
      <c r="AJ127" s="29">
        <v>4348.68</v>
      </c>
      <c r="AK127" s="24" t="s">
        <v>177</v>
      </c>
      <c r="AL127" s="24" t="s">
        <v>448</v>
      </c>
      <c r="AM127" s="24" t="s">
        <v>164</v>
      </c>
      <c r="AN127" s="24" t="s">
        <v>178</v>
      </c>
      <c r="AO127" s="24" t="s">
        <v>442</v>
      </c>
      <c r="AP127" s="41"/>
    </row>
    <row r="128" spans="5:42" x14ac:dyDescent="0.25">
      <c r="E128" s="24" t="s">
        <v>139</v>
      </c>
      <c r="F128" s="24" t="s">
        <v>214</v>
      </c>
      <c r="G128">
        <v>9</v>
      </c>
      <c r="H128" t="s">
        <v>100</v>
      </c>
      <c r="I128" s="22" t="s">
        <v>107</v>
      </c>
      <c r="J128" s="22">
        <v>1075075701</v>
      </c>
      <c r="K128" t="s">
        <v>101</v>
      </c>
      <c r="L128" t="s">
        <v>156</v>
      </c>
      <c r="M128">
        <v>9</v>
      </c>
      <c r="N128">
        <v>8</v>
      </c>
      <c r="O128">
        <v>8</v>
      </c>
      <c r="P128" t="s">
        <v>103</v>
      </c>
      <c r="Q128" s="29">
        <v>4348.68</v>
      </c>
      <c r="R128">
        <v>34789</v>
      </c>
      <c r="S128">
        <v>20150114</v>
      </c>
      <c r="T128">
        <v>0</v>
      </c>
      <c r="U128">
        <v>0</v>
      </c>
      <c r="V128">
        <v>34789</v>
      </c>
      <c r="W128" t="s">
        <v>104</v>
      </c>
      <c r="X128" t="s">
        <v>105</v>
      </c>
      <c r="AD128" s="15">
        <v>124</v>
      </c>
      <c r="AE128" s="24" t="s">
        <v>449</v>
      </c>
      <c r="AF128" s="24" t="s">
        <v>161</v>
      </c>
      <c r="AG128" s="24" t="s">
        <v>450</v>
      </c>
      <c r="AH128" s="24" t="s">
        <v>451</v>
      </c>
      <c r="AI128">
        <v>4</v>
      </c>
      <c r="AJ128" s="29">
        <v>4348.68</v>
      </c>
      <c r="AK128" s="24" t="s">
        <v>177</v>
      </c>
      <c r="AL128" s="24" t="s">
        <v>448</v>
      </c>
      <c r="AM128" s="24" t="s">
        <v>164</v>
      </c>
      <c r="AN128" s="24" t="s">
        <v>178</v>
      </c>
      <c r="AO128" s="24" t="s">
        <v>449</v>
      </c>
      <c r="AP128" s="41"/>
    </row>
    <row r="129" spans="5:42" x14ac:dyDescent="0.25">
      <c r="E129" s="24" t="s">
        <v>139</v>
      </c>
      <c r="F129" s="24" t="s">
        <v>214</v>
      </c>
      <c r="G129">
        <v>10</v>
      </c>
      <c r="H129" t="s">
        <v>100</v>
      </c>
      <c r="I129" s="22" t="s">
        <v>107</v>
      </c>
      <c r="J129" s="22">
        <v>1071813701</v>
      </c>
      <c r="K129" t="s">
        <v>101</v>
      </c>
      <c r="L129" t="s">
        <v>156</v>
      </c>
      <c r="M129">
        <v>9</v>
      </c>
      <c r="N129">
        <v>6</v>
      </c>
      <c r="O129">
        <v>6</v>
      </c>
      <c r="P129" t="s">
        <v>103</v>
      </c>
      <c r="Q129" s="29">
        <v>4348.68</v>
      </c>
      <c r="R129">
        <v>26092</v>
      </c>
      <c r="S129">
        <v>20150106</v>
      </c>
      <c r="T129">
        <v>0</v>
      </c>
      <c r="U129">
        <v>0</v>
      </c>
      <c r="V129">
        <v>26092</v>
      </c>
      <c r="W129" t="s">
        <v>104</v>
      </c>
      <c r="X129" t="s">
        <v>105</v>
      </c>
      <c r="AD129">
        <v>125</v>
      </c>
      <c r="AE129" s="24" t="s">
        <v>452</v>
      </c>
      <c r="AF129" s="24" t="s">
        <v>161</v>
      </c>
      <c r="AG129" s="24" t="s">
        <v>453</v>
      </c>
      <c r="AH129" s="24" t="s">
        <v>454</v>
      </c>
      <c r="AI129">
        <v>8</v>
      </c>
      <c r="AJ129" s="29">
        <v>4348.68</v>
      </c>
      <c r="AK129" s="24" t="s">
        <v>177</v>
      </c>
      <c r="AL129" s="24" t="s">
        <v>448</v>
      </c>
      <c r="AM129" s="24" t="s">
        <v>164</v>
      </c>
      <c r="AN129" s="24" t="s">
        <v>178</v>
      </c>
      <c r="AO129" s="24" t="s">
        <v>452</v>
      </c>
      <c r="AP129" s="41"/>
    </row>
    <row r="130" spans="5:42" x14ac:dyDescent="0.25">
      <c r="E130" s="24" t="s">
        <v>139</v>
      </c>
      <c r="F130" s="24" t="s">
        <v>214</v>
      </c>
      <c r="G130">
        <v>11</v>
      </c>
      <c r="H130" t="s">
        <v>100</v>
      </c>
      <c r="I130" s="22" t="s">
        <v>107</v>
      </c>
      <c r="J130" s="22">
        <v>1074547901</v>
      </c>
      <c r="K130" t="s">
        <v>101</v>
      </c>
      <c r="L130" t="s">
        <v>156</v>
      </c>
      <c r="M130">
        <v>9</v>
      </c>
      <c r="N130">
        <v>4</v>
      </c>
      <c r="O130">
        <v>4</v>
      </c>
      <c r="P130" t="s">
        <v>103</v>
      </c>
      <c r="Q130" s="29">
        <v>4348.68</v>
      </c>
      <c r="R130">
        <v>17395</v>
      </c>
      <c r="S130">
        <v>20150113</v>
      </c>
      <c r="T130">
        <v>0</v>
      </c>
      <c r="U130">
        <v>0</v>
      </c>
      <c r="V130">
        <v>17395</v>
      </c>
      <c r="W130" t="s">
        <v>104</v>
      </c>
      <c r="X130" t="s">
        <v>105</v>
      </c>
      <c r="AD130">
        <v>126</v>
      </c>
      <c r="AE130" s="24" t="s">
        <v>455</v>
      </c>
      <c r="AF130" s="24" t="s">
        <v>161</v>
      </c>
      <c r="AG130" s="24" t="s">
        <v>456</v>
      </c>
      <c r="AH130" s="24" t="s">
        <v>457</v>
      </c>
      <c r="AI130">
        <v>6</v>
      </c>
      <c r="AJ130" s="29">
        <v>4348.68</v>
      </c>
      <c r="AK130" s="24" t="s">
        <v>177</v>
      </c>
      <c r="AL130" s="24" t="s">
        <v>176</v>
      </c>
      <c r="AM130" s="24" t="s">
        <v>164</v>
      </c>
      <c r="AN130" s="24" t="s">
        <v>178</v>
      </c>
      <c r="AO130" s="24" t="s">
        <v>455</v>
      </c>
      <c r="AP130" s="41"/>
    </row>
    <row r="131" spans="5:42" x14ac:dyDescent="0.25">
      <c r="E131" s="24" t="s">
        <v>139</v>
      </c>
      <c r="F131" s="24" t="s">
        <v>214</v>
      </c>
      <c r="G131">
        <v>12</v>
      </c>
      <c r="H131" t="s">
        <v>100</v>
      </c>
      <c r="I131" s="22" t="s">
        <v>107</v>
      </c>
      <c r="J131" s="22">
        <v>1072759901</v>
      </c>
      <c r="K131" t="s">
        <v>101</v>
      </c>
      <c r="L131" t="s">
        <v>216</v>
      </c>
      <c r="M131">
        <v>9</v>
      </c>
      <c r="N131">
        <v>14</v>
      </c>
      <c r="O131">
        <v>14</v>
      </c>
      <c r="P131" t="s">
        <v>103</v>
      </c>
      <c r="Q131" s="29">
        <v>4429.41</v>
      </c>
      <c r="R131">
        <v>62012</v>
      </c>
      <c r="S131">
        <v>20150108</v>
      </c>
      <c r="T131">
        <v>0</v>
      </c>
      <c r="U131">
        <v>0</v>
      </c>
      <c r="V131">
        <v>62012</v>
      </c>
      <c r="W131" t="s">
        <v>104</v>
      </c>
      <c r="X131" t="s">
        <v>105</v>
      </c>
      <c r="AD131">
        <v>127</v>
      </c>
      <c r="AE131" s="24" t="s">
        <v>458</v>
      </c>
      <c r="AF131" s="24" t="s">
        <v>161</v>
      </c>
      <c r="AG131" s="24" t="s">
        <v>459</v>
      </c>
      <c r="AH131" s="24" t="s">
        <v>460</v>
      </c>
      <c r="AI131">
        <v>4</v>
      </c>
      <c r="AJ131" s="29">
        <v>4348.68</v>
      </c>
      <c r="AK131" s="24" t="s">
        <v>177</v>
      </c>
      <c r="AL131" s="24" t="s">
        <v>448</v>
      </c>
      <c r="AM131" s="24" t="s">
        <v>164</v>
      </c>
      <c r="AN131" s="24" t="s">
        <v>178</v>
      </c>
      <c r="AO131" s="24" t="s">
        <v>458</v>
      </c>
      <c r="AP131" s="41"/>
    </row>
    <row r="132" spans="5:42" x14ac:dyDescent="0.25">
      <c r="E132" s="24" t="s">
        <v>139</v>
      </c>
      <c r="F132" s="24" t="s">
        <v>214</v>
      </c>
      <c r="G132">
        <v>13</v>
      </c>
      <c r="H132" t="s">
        <v>100</v>
      </c>
      <c r="I132" s="22" t="s">
        <v>107</v>
      </c>
      <c r="J132" s="22">
        <v>1073792301</v>
      </c>
      <c r="K132" t="s">
        <v>101</v>
      </c>
      <c r="L132" t="s">
        <v>216</v>
      </c>
      <c r="M132">
        <v>9</v>
      </c>
      <c r="N132">
        <v>12</v>
      </c>
      <c r="O132">
        <v>12</v>
      </c>
      <c r="P132" t="s">
        <v>103</v>
      </c>
      <c r="Q132" s="29">
        <v>4429.41</v>
      </c>
      <c r="R132">
        <v>53153</v>
      </c>
      <c r="S132">
        <v>20150112</v>
      </c>
      <c r="T132">
        <v>0</v>
      </c>
      <c r="U132">
        <v>0</v>
      </c>
      <c r="V132">
        <v>53153</v>
      </c>
      <c r="W132" t="s">
        <v>104</v>
      </c>
      <c r="X132" t="s">
        <v>105</v>
      </c>
      <c r="AD132" s="39">
        <v>128</v>
      </c>
      <c r="AE132" s="24" t="s">
        <v>461</v>
      </c>
      <c r="AF132" s="24" t="s">
        <v>161</v>
      </c>
      <c r="AG132" s="24" t="s">
        <v>462</v>
      </c>
      <c r="AH132" s="24" t="s">
        <v>463</v>
      </c>
      <c r="AI132">
        <v>13</v>
      </c>
      <c r="AJ132" s="29">
        <v>4429.41</v>
      </c>
      <c r="AK132" s="24" t="s">
        <v>464</v>
      </c>
      <c r="AL132" s="24" t="s">
        <v>176</v>
      </c>
      <c r="AM132" s="24" t="s">
        <v>164</v>
      </c>
      <c r="AN132" s="24" t="s">
        <v>465</v>
      </c>
      <c r="AO132" s="24" t="s">
        <v>461</v>
      </c>
      <c r="AP132" s="41"/>
    </row>
    <row r="133" spans="5:42" x14ac:dyDescent="0.25">
      <c r="E133" s="24" t="s">
        <v>139</v>
      </c>
      <c r="F133" s="24" t="s">
        <v>214</v>
      </c>
      <c r="G133">
        <v>14</v>
      </c>
      <c r="H133" t="s">
        <v>100</v>
      </c>
      <c r="I133" s="22" t="s">
        <v>107</v>
      </c>
      <c r="J133" s="22">
        <v>1075075801</v>
      </c>
      <c r="K133" t="s">
        <v>101</v>
      </c>
      <c r="L133" t="s">
        <v>216</v>
      </c>
      <c r="M133">
        <v>9</v>
      </c>
      <c r="N133">
        <v>6</v>
      </c>
      <c r="O133">
        <v>6</v>
      </c>
      <c r="P133" t="s">
        <v>103</v>
      </c>
      <c r="Q133" s="29">
        <v>4429.41</v>
      </c>
      <c r="R133">
        <v>26576</v>
      </c>
      <c r="S133">
        <v>20150114</v>
      </c>
      <c r="T133">
        <v>0</v>
      </c>
      <c r="U133">
        <v>0</v>
      </c>
      <c r="V133">
        <v>26576</v>
      </c>
      <c r="W133" t="s">
        <v>104</v>
      </c>
      <c r="X133" t="s">
        <v>105</v>
      </c>
      <c r="AD133" s="39">
        <v>128</v>
      </c>
      <c r="AE133" s="24" t="s">
        <v>461</v>
      </c>
      <c r="AF133" s="24" t="s">
        <v>161</v>
      </c>
      <c r="AG133" s="24" t="s">
        <v>462</v>
      </c>
      <c r="AH133" s="24" t="s">
        <v>466</v>
      </c>
      <c r="AI133">
        <v>1</v>
      </c>
      <c r="AJ133" s="29">
        <v>4429.41</v>
      </c>
      <c r="AK133" s="24" t="s">
        <v>464</v>
      </c>
      <c r="AL133" s="24" t="s">
        <v>176</v>
      </c>
      <c r="AM133" s="24" t="s">
        <v>164</v>
      </c>
      <c r="AN133" s="24" t="s">
        <v>465</v>
      </c>
      <c r="AO133" s="24" t="s">
        <v>461</v>
      </c>
      <c r="AP133" s="41"/>
    </row>
    <row r="134" spans="5:42" x14ac:dyDescent="0.25">
      <c r="E134" s="24" t="s">
        <v>139</v>
      </c>
      <c r="F134" s="24" t="s">
        <v>214</v>
      </c>
      <c r="G134">
        <v>15</v>
      </c>
      <c r="H134" t="s">
        <v>100</v>
      </c>
      <c r="I134" s="22" t="s">
        <v>107</v>
      </c>
      <c r="J134" s="22">
        <v>1073270901</v>
      </c>
      <c r="K134" t="s">
        <v>101</v>
      </c>
      <c r="L134" t="s">
        <v>216</v>
      </c>
      <c r="M134">
        <v>9</v>
      </c>
      <c r="N134">
        <v>2</v>
      </c>
      <c r="O134">
        <v>2</v>
      </c>
      <c r="P134" t="s">
        <v>103</v>
      </c>
      <c r="Q134" s="29">
        <v>4429.41</v>
      </c>
      <c r="R134">
        <v>8859</v>
      </c>
      <c r="S134">
        <v>20150109</v>
      </c>
      <c r="T134">
        <v>0</v>
      </c>
      <c r="U134">
        <v>0</v>
      </c>
      <c r="V134">
        <v>8859</v>
      </c>
      <c r="W134" t="s">
        <v>104</v>
      </c>
      <c r="X134" t="s">
        <v>105</v>
      </c>
      <c r="AD134" s="39">
        <v>128</v>
      </c>
      <c r="AE134" s="42" t="s">
        <v>461</v>
      </c>
      <c r="AF134" s="42" t="s">
        <v>161</v>
      </c>
      <c r="AG134" s="42" t="s">
        <v>467</v>
      </c>
      <c r="AH134" s="42" t="s">
        <v>468</v>
      </c>
      <c r="AI134" s="39">
        <v>19</v>
      </c>
      <c r="AJ134" s="43">
        <v>5471.05</v>
      </c>
      <c r="AK134" s="42" t="s">
        <v>469</v>
      </c>
      <c r="AL134" s="42" t="s">
        <v>470</v>
      </c>
      <c r="AM134" s="42" t="s">
        <v>164</v>
      </c>
      <c r="AN134" s="42" t="s">
        <v>471</v>
      </c>
      <c r="AO134" s="24" t="s">
        <v>461</v>
      </c>
      <c r="AP134" s="41"/>
    </row>
    <row r="135" spans="5:42" x14ac:dyDescent="0.25">
      <c r="E135" s="24" t="s">
        <v>139</v>
      </c>
      <c r="F135" s="24" t="s">
        <v>214</v>
      </c>
      <c r="G135">
        <v>16</v>
      </c>
      <c r="H135" t="s">
        <v>100</v>
      </c>
      <c r="I135" s="22" t="s">
        <v>107</v>
      </c>
      <c r="J135" s="22">
        <v>1074547801</v>
      </c>
      <c r="K135" t="s">
        <v>101</v>
      </c>
      <c r="L135" t="s">
        <v>216</v>
      </c>
      <c r="M135">
        <v>9</v>
      </c>
      <c r="N135">
        <v>6</v>
      </c>
      <c r="O135">
        <v>6</v>
      </c>
      <c r="P135" t="s">
        <v>103</v>
      </c>
      <c r="Q135" s="29">
        <v>4429.41</v>
      </c>
      <c r="R135">
        <v>26576</v>
      </c>
      <c r="S135">
        <v>20150113</v>
      </c>
      <c r="T135">
        <v>0</v>
      </c>
      <c r="U135">
        <v>0</v>
      </c>
      <c r="V135">
        <v>26576</v>
      </c>
      <c r="W135" t="s">
        <v>104</v>
      </c>
      <c r="X135" t="s">
        <v>105</v>
      </c>
      <c r="AD135">
        <v>129</v>
      </c>
      <c r="AE135" s="24" t="s">
        <v>472</v>
      </c>
      <c r="AF135" s="24" t="s">
        <v>161</v>
      </c>
      <c r="AG135" s="24" t="s">
        <v>473</v>
      </c>
      <c r="AH135" s="24" t="s">
        <v>474</v>
      </c>
      <c r="AI135">
        <v>12</v>
      </c>
      <c r="AJ135" s="29">
        <v>4429.41</v>
      </c>
      <c r="AK135" s="24" t="s">
        <v>464</v>
      </c>
      <c r="AL135" s="24" t="s">
        <v>176</v>
      </c>
      <c r="AM135" s="24" t="s">
        <v>164</v>
      </c>
      <c r="AN135" s="24" t="s">
        <v>465</v>
      </c>
      <c r="AO135" s="24" t="s">
        <v>472</v>
      </c>
      <c r="AP135" s="41"/>
    </row>
    <row r="136" spans="5:42" x14ac:dyDescent="0.25">
      <c r="E136" s="24" t="s">
        <v>139</v>
      </c>
      <c r="F136" s="24" t="s">
        <v>214</v>
      </c>
      <c r="G136">
        <v>17</v>
      </c>
      <c r="H136" t="s">
        <v>100</v>
      </c>
      <c r="I136" s="22" t="s">
        <v>107</v>
      </c>
      <c r="J136" s="22">
        <v>1074547701</v>
      </c>
      <c r="K136" t="s">
        <v>101</v>
      </c>
      <c r="L136" t="s">
        <v>157</v>
      </c>
      <c r="M136">
        <v>9</v>
      </c>
      <c r="N136">
        <v>4</v>
      </c>
      <c r="O136">
        <v>4</v>
      </c>
      <c r="P136" t="s">
        <v>103</v>
      </c>
      <c r="Q136" s="29">
        <v>3607.84</v>
      </c>
      <c r="R136">
        <v>14431</v>
      </c>
      <c r="S136">
        <v>20150113</v>
      </c>
      <c r="T136">
        <v>0</v>
      </c>
      <c r="U136">
        <v>0</v>
      </c>
      <c r="V136">
        <v>14431</v>
      </c>
      <c r="W136" t="s">
        <v>104</v>
      </c>
      <c r="X136" t="s">
        <v>105</v>
      </c>
      <c r="AD136">
        <v>130</v>
      </c>
      <c r="AE136" s="24" t="s">
        <v>475</v>
      </c>
      <c r="AF136" s="24" t="s">
        <v>161</v>
      </c>
      <c r="AG136" s="24" t="s">
        <v>476</v>
      </c>
      <c r="AH136" s="24" t="s">
        <v>477</v>
      </c>
      <c r="AI136">
        <v>6</v>
      </c>
      <c r="AJ136" s="29">
        <v>4429.41</v>
      </c>
      <c r="AK136" s="24" t="s">
        <v>464</v>
      </c>
      <c r="AL136" s="24" t="s">
        <v>176</v>
      </c>
      <c r="AM136" s="24" t="s">
        <v>164</v>
      </c>
      <c r="AN136" s="24" t="s">
        <v>465</v>
      </c>
      <c r="AO136" s="24" t="s">
        <v>475</v>
      </c>
      <c r="AP136" s="41"/>
    </row>
    <row r="137" spans="5:42" x14ac:dyDescent="0.25">
      <c r="E137" s="24" t="s">
        <v>139</v>
      </c>
      <c r="F137" s="24" t="s">
        <v>214</v>
      </c>
      <c r="G137">
        <v>18</v>
      </c>
      <c r="H137" t="s">
        <v>100</v>
      </c>
      <c r="I137" s="22" t="s">
        <v>107</v>
      </c>
      <c r="J137" s="22">
        <v>1075617201</v>
      </c>
      <c r="K137" t="s">
        <v>101</v>
      </c>
      <c r="L137" t="s">
        <v>157</v>
      </c>
      <c r="M137">
        <v>9</v>
      </c>
      <c r="N137">
        <v>18</v>
      </c>
      <c r="O137">
        <v>18</v>
      </c>
      <c r="P137" t="s">
        <v>103</v>
      </c>
      <c r="Q137" s="29">
        <v>3607.84</v>
      </c>
      <c r="R137">
        <v>64941</v>
      </c>
      <c r="S137">
        <v>20150115</v>
      </c>
      <c r="T137">
        <v>0</v>
      </c>
      <c r="U137">
        <v>0</v>
      </c>
      <c r="V137">
        <v>64941</v>
      </c>
      <c r="W137" t="s">
        <v>104</v>
      </c>
      <c r="X137" t="s">
        <v>105</v>
      </c>
      <c r="AD137">
        <v>131</v>
      </c>
      <c r="AE137" s="24" t="s">
        <v>478</v>
      </c>
      <c r="AF137" s="24" t="s">
        <v>161</v>
      </c>
      <c r="AG137" s="24" t="s">
        <v>479</v>
      </c>
      <c r="AH137" s="24" t="s">
        <v>480</v>
      </c>
      <c r="AI137">
        <v>2</v>
      </c>
      <c r="AJ137" s="29">
        <v>4429.41</v>
      </c>
      <c r="AK137" s="24" t="s">
        <v>464</v>
      </c>
      <c r="AL137" s="24" t="s">
        <v>176</v>
      </c>
      <c r="AM137" s="24" t="s">
        <v>164</v>
      </c>
      <c r="AN137" s="24" t="s">
        <v>465</v>
      </c>
      <c r="AO137" s="24" t="s">
        <v>478</v>
      </c>
      <c r="AP137" s="41"/>
    </row>
    <row r="138" spans="5:42" x14ac:dyDescent="0.25">
      <c r="E138" s="24" t="s">
        <v>139</v>
      </c>
      <c r="F138" s="24" t="s">
        <v>214</v>
      </c>
      <c r="G138">
        <v>19</v>
      </c>
      <c r="H138" t="s">
        <v>100</v>
      </c>
      <c r="I138" s="22" t="s">
        <v>107</v>
      </c>
      <c r="J138" s="22">
        <v>1071046301</v>
      </c>
      <c r="K138" t="s">
        <v>101</v>
      </c>
      <c r="L138" t="s">
        <v>158</v>
      </c>
      <c r="M138">
        <v>9</v>
      </c>
      <c r="N138">
        <v>12</v>
      </c>
      <c r="O138">
        <v>12</v>
      </c>
      <c r="P138" t="s">
        <v>103</v>
      </c>
      <c r="Q138" s="29">
        <v>4103.68</v>
      </c>
      <c r="R138">
        <v>49244</v>
      </c>
      <c r="S138">
        <v>20150105</v>
      </c>
      <c r="T138">
        <v>0</v>
      </c>
      <c r="U138">
        <v>0</v>
      </c>
      <c r="V138">
        <v>49244</v>
      </c>
      <c r="W138" t="s">
        <v>104</v>
      </c>
      <c r="X138" t="s">
        <v>105</v>
      </c>
      <c r="AD138">
        <v>132</v>
      </c>
      <c r="AE138" s="24" t="s">
        <v>481</v>
      </c>
      <c r="AF138" s="24" t="s">
        <v>161</v>
      </c>
      <c r="AG138" s="24" t="s">
        <v>482</v>
      </c>
      <c r="AH138" s="24" t="s">
        <v>483</v>
      </c>
      <c r="AI138">
        <v>6</v>
      </c>
      <c r="AJ138" s="29">
        <v>4429.41</v>
      </c>
      <c r="AK138" s="24" t="s">
        <v>464</v>
      </c>
      <c r="AL138" s="24" t="s">
        <v>176</v>
      </c>
      <c r="AM138" s="24" t="s">
        <v>164</v>
      </c>
      <c r="AN138" s="24" t="s">
        <v>465</v>
      </c>
      <c r="AO138" s="24" t="s">
        <v>481</v>
      </c>
      <c r="AP138" s="41"/>
    </row>
    <row r="139" spans="5:42" x14ac:dyDescent="0.25">
      <c r="E139" s="24" t="s">
        <v>139</v>
      </c>
      <c r="F139" s="24" t="s">
        <v>214</v>
      </c>
      <c r="G139">
        <v>20</v>
      </c>
      <c r="H139" t="s">
        <v>100</v>
      </c>
      <c r="I139" s="22" t="s">
        <v>107</v>
      </c>
      <c r="J139" s="22">
        <v>1074547601</v>
      </c>
      <c r="K139" t="s">
        <v>101</v>
      </c>
      <c r="L139" t="s">
        <v>158</v>
      </c>
      <c r="M139">
        <v>9</v>
      </c>
      <c r="N139">
        <v>2</v>
      </c>
      <c r="O139">
        <v>2</v>
      </c>
      <c r="P139" t="s">
        <v>103</v>
      </c>
      <c r="Q139" s="29">
        <v>4103.68</v>
      </c>
      <c r="R139">
        <v>8207</v>
      </c>
      <c r="S139">
        <v>20150113</v>
      </c>
      <c r="T139">
        <v>0</v>
      </c>
      <c r="U139">
        <v>0</v>
      </c>
      <c r="V139">
        <v>8207</v>
      </c>
      <c r="W139" t="s">
        <v>104</v>
      </c>
      <c r="X139" t="s">
        <v>105</v>
      </c>
      <c r="AD139">
        <v>133</v>
      </c>
      <c r="AE139" s="24" t="s">
        <v>484</v>
      </c>
      <c r="AF139" s="24" t="s">
        <v>161</v>
      </c>
      <c r="AG139" s="24" t="s">
        <v>485</v>
      </c>
      <c r="AH139" s="24" t="s">
        <v>486</v>
      </c>
      <c r="AI139">
        <v>4</v>
      </c>
      <c r="AJ139" s="29">
        <v>3607.84</v>
      </c>
      <c r="AK139" s="24" t="s">
        <v>179</v>
      </c>
      <c r="AL139" s="24" t="s">
        <v>176</v>
      </c>
      <c r="AM139" s="24" t="s">
        <v>164</v>
      </c>
      <c r="AN139" s="24" t="s">
        <v>180</v>
      </c>
      <c r="AO139" s="24" t="s">
        <v>484</v>
      </c>
      <c r="AP139" s="41"/>
    </row>
    <row r="140" spans="5:42" x14ac:dyDescent="0.25">
      <c r="E140" s="24" t="s">
        <v>139</v>
      </c>
      <c r="F140" s="24" t="s">
        <v>214</v>
      </c>
      <c r="G140">
        <v>21</v>
      </c>
      <c r="H140" t="s">
        <v>100</v>
      </c>
      <c r="I140" s="22" t="s">
        <v>107</v>
      </c>
      <c r="J140" s="22">
        <v>1071813801</v>
      </c>
      <c r="K140" t="s">
        <v>101</v>
      </c>
      <c r="L140" t="s">
        <v>158</v>
      </c>
      <c r="M140">
        <v>9</v>
      </c>
      <c r="N140">
        <v>4</v>
      </c>
      <c r="O140">
        <v>4</v>
      </c>
      <c r="P140" t="s">
        <v>103</v>
      </c>
      <c r="Q140" s="29">
        <v>4103.68</v>
      </c>
      <c r="R140">
        <v>16415</v>
      </c>
      <c r="S140">
        <v>20150106</v>
      </c>
      <c r="T140">
        <v>0</v>
      </c>
      <c r="U140">
        <v>0</v>
      </c>
      <c r="V140">
        <v>16415</v>
      </c>
      <c r="W140" t="s">
        <v>104</v>
      </c>
      <c r="X140" t="s">
        <v>105</v>
      </c>
      <c r="AD140" s="39">
        <v>134</v>
      </c>
      <c r="AE140" s="24" t="s">
        <v>487</v>
      </c>
      <c r="AF140" s="24" t="s">
        <v>161</v>
      </c>
      <c r="AG140" s="24" t="s">
        <v>488</v>
      </c>
      <c r="AH140" s="24" t="s">
        <v>489</v>
      </c>
      <c r="AI140">
        <v>14</v>
      </c>
      <c r="AJ140" s="29">
        <v>3607.84</v>
      </c>
      <c r="AK140" s="24" t="s">
        <v>179</v>
      </c>
      <c r="AL140" s="24" t="s">
        <v>176</v>
      </c>
      <c r="AM140" s="24" t="s">
        <v>164</v>
      </c>
      <c r="AN140" s="24" t="s">
        <v>180</v>
      </c>
      <c r="AO140" s="24" t="s">
        <v>487</v>
      </c>
      <c r="AP140" s="41"/>
    </row>
    <row r="141" spans="5:42" x14ac:dyDescent="0.25">
      <c r="E141" s="24" t="s">
        <v>139</v>
      </c>
      <c r="F141" s="24" t="s">
        <v>214</v>
      </c>
      <c r="G141">
        <v>22</v>
      </c>
      <c r="H141" t="s">
        <v>100</v>
      </c>
      <c r="I141" s="22" t="s">
        <v>112</v>
      </c>
      <c r="J141" s="22">
        <v>1071046201</v>
      </c>
      <c r="K141" t="s">
        <v>101</v>
      </c>
      <c r="L141" t="s">
        <v>113</v>
      </c>
      <c r="M141">
        <v>9</v>
      </c>
      <c r="N141">
        <v>32</v>
      </c>
      <c r="O141">
        <v>32</v>
      </c>
      <c r="P141" t="s">
        <v>103</v>
      </c>
      <c r="Q141" s="29">
        <v>94.64</v>
      </c>
      <c r="R141">
        <v>3028</v>
      </c>
      <c r="S141">
        <v>20150105</v>
      </c>
      <c r="T141">
        <v>0</v>
      </c>
      <c r="U141">
        <v>0</v>
      </c>
      <c r="V141">
        <v>3028</v>
      </c>
      <c r="W141" t="s">
        <v>104</v>
      </c>
      <c r="X141" t="s">
        <v>105</v>
      </c>
      <c r="AD141" s="39">
        <v>134</v>
      </c>
      <c r="AE141" s="24" t="s">
        <v>487</v>
      </c>
      <c r="AF141" s="24" t="s">
        <v>161</v>
      </c>
      <c r="AG141" s="24" t="s">
        <v>488</v>
      </c>
      <c r="AH141" s="24" t="s">
        <v>490</v>
      </c>
      <c r="AI141">
        <v>4</v>
      </c>
      <c r="AJ141" s="29">
        <v>3607.84</v>
      </c>
      <c r="AK141" s="24" t="s">
        <v>179</v>
      </c>
      <c r="AL141" s="24" t="s">
        <v>176</v>
      </c>
      <c r="AM141" s="24" t="s">
        <v>164</v>
      </c>
      <c r="AN141" s="24" t="s">
        <v>180</v>
      </c>
      <c r="AO141" s="24" t="s">
        <v>487</v>
      </c>
      <c r="AP141" s="41"/>
    </row>
    <row r="142" spans="5:42" x14ac:dyDescent="0.25">
      <c r="E142" s="24" t="s">
        <v>139</v>
      </c>
      <c r="F142" s="24" t="s">
        <v>217</v>
      </c>
      <c r="G142">
        <v>1</v>
      </c>
      <c r="H142" t="s">
        <v>100</v>
      </c>
      <c r="I142" s="22" t="s">
        <v>112</v>
      </c>
      <c r="J142" s="22">
        <v>1075617401</v>
      </c>
      <c r="K142" t="s">
        <v>101</v>
      </c>
      <c r="L142" t="s">
        <v>113</v>
      </c>
      <c r="M142">
        <v>9</v>
      </c>
      <c r="N142">
        <v>32</v>
      </c>
      <c r="O142">
        <v>32</v>
      </c>
      <c r="P142" t="s">
        <v>103</v>
      </c>
      <c r="Q142" s="29">
        <v>94.64</v>
      </c>
      <c r="R142">
        <v>3028</v>
      </c>
      <c r="S142">
        <v>20150115</v>
      </c>
      <c r="T142">
        <v>0</v>
      </c>
      <c r="U142">
        <v>0</v>
      </c>
      <c r="V142">
        <v>3028</v>
      </c>
      <c r="W142" t="s">
        <v>104</v>
      </c>
      <c r="X142" t="s">
        <v>105</v>
      </c>
      <c r="Y142">
        <v>3</v>
      </c>
      <c r="Z142">
        <v>272986</v>
      </c>
      <c r="AA142">
        <v>0</v>
      </c>
      <c r="AB142">
        <v>0</v>
      </c>
      <c r="AC142">
        <v>272986</v>
      </c>
      <c r="AD142">
        <v>135</v>
      </c>
      <c r="AE142" s="24" t="s">
        <v>491</v>
      </c>
      <c r="AF142" s="24" t="s">
        <v>161</v>
      </c>
      <c r="AG142" s="24" t="s">
        <v>492</v>
      </c>
      <c r="AH142" s="24" t="s">
        <v>493</v>
      </c>
      <c r="AI142">
        <v>12</v>
      </c>
      <c r="AJ142" s="29">
        <v>4103.68</v>
      </c>
      <c r="AK142" s="24" t="s">
        <v>181</v>
      </c>
      <c r="AL142" s="24" t="s">
        <v>176</v>
      </c>
      <c r="AM142" s="24" t="s">
        <v>164</v>
      </c>
      <c r="AN142" s="24" t="s">
        <v>182</v>
      </c>
      <c r="AO142" s="24" t="s">
        <v>491</v>
      </c>
      <c r="AP142" s="41"/>
    </row>
    <row r="143" spans="5:42" x14ac:dyDescent="0.25">
      <c r="E143" s="24" t="s">
        <v>139</v>
      </c>
      <c r="F143" s="24" t="s">
        <v>217</v>
      </c>
      <c r="G143">
        <v>2</v>
      </c>
      <c r="H143" t="s">
        <v>100</v>
      </c>
      <c r="I143" s="22" t="s">
        <v>112</v>
      </c>
      <c r="J143" s="22">
        <v>1074547501</v>
      </c>
      <c r="K143" t="s">
        <v>101</v>
      </c>
      <c r="L143" t="s">
        <v>113</v>
      </c>
      <c r="M143">
        <v>9</v>
      </c>
      <c r="N143">
        <v>32</v>
      </c>
      <c r="O143">
        <v>32</v>
      </c>
      <c r="P143" t="s">
        <v>103</v>
      </c>
      <c r="Q143" s="29">
        <v>94.64</v>
      </c>
      <c r="R143">
        <v>3028</v>
      </c>
      <c r="S143">
        <v>20150113</v>
      </c>
      <c r="T143">
        <v>0</v>
      </c>
      <c r="U143">
        <v>0</v>
      </c>
      <c r="V143">
        <v>3028</v>
      </c>
      <c r="W143" t="s">
        <v>104</v>
      </c>
      <c r="X143" t="s">
        <v>105</v>
      </c>
      <c r="AD143">
        <v>136</v>
      </c>
      <c r="AE143" s="24" t="s">
        <v>494</v>
      </c>
      <c r="AF143" s="24" t="s">
        <v>161</v>
      </c>
      <c r="AG143" s="24" t="s">
        <v>495</v>
      </c>
      <c r="AH143" s="24" t="s">
        <v>496</v>
      </c>
      <c r="AI143">
        <v>2</v>
      </c>
      <c r="AJ143" s="29">
        <v>4103.68</v>
      </c>
      <c r="AK143" s="24" t="s">
        <v>181</v>
      </c>
      <c r="AL143" s="24" t="s">
        <v>176</v>
      </c>
      <c r="AM143" s="24" t="s">
        <v>164</v>
      </c>
      <c r="AN143" s="24" t="s">
        <v>182</v>
      </c>
      <c r="AO143" s="24" t="s">
        <v>494</v>
      </c>
      <c r="AP143" s="41"/>
    </row>
    <row r="144" spans="5:42" x14ac:dyDescent="0.25">
      <c r="E144" s="24" t="s">
        <v>139</v>
      </c>
      <c r="F144" s="24" t="s">
        <v>217</v>
      </c>
      <c r="G144">
        <v>3</v>
      </c>
      <c r="H144" t="s">
        <v>100</v>
      </c>
      <c r="I144" s="22" t="s">
        <v>112</v>
      </c>
      <c r="J144" s="22">
        <v>1072759401</v>
      </c>
      <c r="K144" t="s">
        <v>101</v>
      </c>
      <c r="L144" t="s">
        <v>113</v>
      </c>
      <c r="M144">
        <v>9</v>
      </c>
      <c r="N144">
        <v>32</v>
      </c>
      <c r="O144">
        <v>32</v>
      </c>
      <c r="P144" t="s">
        <v>103</v>
      </c>
      <c r="Q144" s="29">
        <v>94.64</v>
      </c>
      <c r="R144">
        <v>3028</v>
      </c>
      <c r="S144">
        <v>20150108</v>
      </c>
      <c r="T144">
        <v>0</v>
      </c>
      <c r="U144">
        <v>0</v>
      </c>
      <c r="V144">
        <v>3028</v>
      </c>
      <c r="W144" t="s">
        <v>104</v>
      </c>
      <c r="X144" t="s">
        <v>105</v>
      </c>
      <c r="AD144">
        <v>137</v>
      </c>
      <c r="AE144" s="24" t="s">
        <v>497</v>
      </c>
      <c r="AF144" s="24" t="s">
        <v>161</v>
      </c>
      <c r="AG144" s="24" t="s">
        <v>498</v>
      </c>
      <c r="AH144" s="24" t="s">
        <v>499</v>
      </c>
      <c r="AI144">
        <v>4</v>
      </c>
      <c r="AJ144" s="29">
        <v>4103.68</v>
      </c>
      <c r="AK144" s="24" t="s">
        <v>181</v>
      </c>
      <c r="AL144" s="24" t="s">
        <v>176</v>
      </c>
      <c r="AM144" s="24" t="s">
        <v>164</v>
      </c>
      <c r="AN144" s="24" t="s">
        <v>182</v>
      </c>
      <c r="AO144" s="24" t="s">
        <v>497</v>
      </c>
      <c r="AP144" s="41"/>
    </row>
    <row r="145" spans="5:42" x14ac:dyDescent="0.25">
      <c r="E145" s="24" t="s">
        <v>139</v>
      </c>
      <c r="F145" s="24" t="s">
        <v>217</v>
      </c>
      <c r="G145">
        <v>4</v>
      </c>
      <c r="H145" t="s">
        <v>100</v>
      </c>
      <c r="I145" s="22" t="s">
        <v>112</v>
      </c>
      <c r="J145" s="22">
        <v>1071813901</v>
      </c>
      <c r="K145" t="s">
        <v>101</v>
      </c>
      <c r="L145" t="s">
        <v>113</v>
      </c>
      <c r="M145">
        <v>9</v>
      </c>
      <c r="N145">
        <v>32</v>
      </c>
      <c r="O145">
        <v>32</v>
      </c>
      <c r="P145" t="s">
        <v>103</v>
      </c>
      <c r="Q145" s="29">
        <v>94.64</v>
      </c>
      <c r="R145">
        <v>3028</v>
      </c>
      <c r="S145">
        <v>20150106</v>
      </c>
      <c r="T145">
        <v>0</v>
      </c>
      <c r="U145">
        <v>0</v>
      </c>
      <c r="V145">
        <v>3028</v>
      </c>
      <c r="W145" t="s">
        <v>104</v>
      </c>
      <c r="X145" t="s">
        <v>105</v>
      </c>
      <c r="AD145">
        <v>138</v>
      </c>
      <c r="AE145" s="24" t="s">
        <v>500</v>
      </c>
      <c r="AF145" s="24" t="s">
        <v>161</v>
      </c>
      <c r="AG145" s="24" t="s">
        <v>501</v>
      </c>
      <c r="AH145" s="24" t="s">
        <v>502</v>
      </c>
      <c r="AI145">
        <v>32</v>
      </c>
      <c r="AJ145" s="29">
        <v>94.64</v>
      </c>
      <c r="AK145" s="24" t="s">
        <v>183</v>
      </c>
      <c r="AL145" s="24" t="s">
        <v>184</v>
      </c>
      <c r="AM145" s="24" t="s">
        <v>164</v>
      </c>
      <c r="AN145" s="24" t="s">
        <v>185</v>
      </c>
      <c r="AO145" s="24" t="s">
        <v>500</v>
      </c>
      <c r="AP145" s="41"/>
    </row>
    <row r="146" spans="5:42" x14ac:dyDescent="0.25">
      <c r="E146" s="24" t="s">
        <v>139</v>
      </c>
      <c r="F146" s="24" t="s">
        <v>217</v>
      </c>
      <c r="G146">
        <v>5</v>
      </c>
      <c r="H146" t="s">
        <v>100</v>
      </c>
      <c r="I146" s="22" t="s">
        <v>112</v>
      </c>
      <c r="J146" s="22">
        <v>1072759301</v>
      </c>
      <c r="K146" t="s">
        <v>101</v>
      </c>
      <c r="L146" t="s">
        <v>113</v>
      </c>
      <c r="M146">
        <v>9</v>
      </c>
      <c r="N146">
        <v>32</v>
      </c>
      <c r="O146">
        <v>32</v>
      </c>
      <c r="P146" t="s">
        <v>103</v>
      </c>
      <c r="Q146" s="29">
        <v>94.64</v>
      </c>
      <c r="R146">
        <v>3028</v>
      </c>
      <c r="S146">
        <v>20150108</v>
      </c>
      <c r="T146">
        <v>0</v>
      </c>
      <c r="U146">
        <v>0</v>
      </c>
      <c r="V146">
        <v>3028</v>
      </c>
      <c r="W146" t="s">
        <v>104</v>
      </c>
      <c r="X146" t="s">
        <v>105</v>
      </c>
      <c r="AD146">
        <v>139</v>
      </c>
      <c r="AE146" s="24" t="s">
        <v>503</v>
      </c>
      <c r="AF146" s="24" t="s">
        <v>161</v>
      </c>
      <c r="AG146" s="24" t="s">
        <v>504</v>
      </c>
      <c r="AH146" s="24" t="s">
        <v>505</v>
      </c>
      <c r="AI146">
        <v>32</v>
      </c>
      <c r="AJ146" s="29">
        <v>94.64</v>
      </c>
      <c r="AK146" s="24" t="s">
        <v>183</v>
      </c>
      <c r="AL146" s="24" t="s">
        <v>184</v>
      </c>
      <c r="AM146" s="24" t="s">
        <v>164</v>
      </c>
      <c r="AN146" s="24" t="s">
        <v>185</v>
      </c>
      <c r="AO146" s="24" t="s">
        <v>503</v>
      </c>
      <c r="AP146" s="41"/>
    </row>
    <row r="147" spans="5:42" x14ac:dyDescent="0.25">
      <c r="E147" s="24" t="s">
        <v>139</v>
      </c>
      <c r="F147" s="24" t="s">
        <v>217</v>
      </c>
      <c r="G147">
        <v>6</v>
      </c>
      <c r="H147" t="s">
        <v>100</v>
      </c>
      <c r="I147" s="22" t="s">
        <v>112</v>
      </c>
      <c r="J147" s="22">
        <v>1075076201</v>
      </c>
      <c r="K147" t="s">
        <v>101</v>
      </c>
      <c r="L147" t="s">
        <v>113</v>
      </c>
      <c r="M147">
        <v>9</v>
      </c>
      <c r="N147">
        <v>32</v>
      </c>
      <c r="O147">
        <v>32</v>
      </c>
      <c r="P147" t="s">
        <v>103</v>
      </c>
      <c r="Q147" s="29">
        <v>94.64</v>
      </c>
      <c r="R147">
        <v>3028</v>
      </c>
      <c r="S147">
        <v>20150114</v>
      </c>
      <c r="T147">
        <v>0</v>
      </c>
      <c r="U147">
        <v>0</v>
      </c>
      <c r="V147">
        <v>3028</v>
      </c>
      <c r="W147" t="s">
        <v>104</v>
      </c>
      <c r="X147" t="s">
        <v>105</v>
      </c>
      <c r="AD147">
        <v>140</v>
      </c>
      <c r="AE147" s="24" t="s">
        <v>506</v>
      </c>
      <c r="AF147" s="24" t="s">
        <v>161</v>
      </c>
      <c r="AG147" s="24" t="s">
        <v>507</v>
      </c>
      <c r="AH147" s="24" t="s">
        <v>508</v>
      </c>
      <c r="AI147">
        <v>32</v>
      </c>
      <c r="AJ147" s="29">
        <v>94.64</v>
      </c>
      <c r="AK147" s="24" t="s">
        <v>183</v>
      </c>
      <c r="AL147" s="24" t="s">
        <v>184</v>
      </c>
      <c r="AM147" s="24" t="s">
        <v>164</v>
      </c>
      <c r="AN147" s="24" t="s">
        <v>185</v>
      </c>
      <c r="AO147" s="24" t="s">
        <v>506</v>
      </c>
      <c r="AP147" s="41"/>
    </row>
    <row r="148" spans="5:42" x14ac:dyDescent="0.25">
      <c r="E148" s="24" t="s">
        <v>139</v>
      </c>
      <c r="F148" s="24" t="s">
        <v>217</v>
      </c>
      <c r="G148">
        <v>7</v>
      </c>
      <c r="H148" t="s">
        <v>100</v>
      </c>
      <c r="I148" s="22" t="s">
        <v>112</v>
      </c>
      <c r="J148" s="22">
        <v>1077403701</v>
      </c>
      <c r="K148" t="s">
        <v>101</v>
      </c>
      <c r="L148" t="s">
        <v>113</v>
      </c>
      <c r="M148">
        <v>9</v>
      </c>
      <c r="N148">
        <v>32</v>
      </c>
      <c r="O148">
        <v>32</v>
      </c>
      <c r="P148" t="s">
        <v>103</v>
      </c>
      <c r="Q148" s="29">
        <v>94.64</v>
      </c>
      <c r="R148">
        <v>3028</v>
      </c>
      <c r="S148">
        <v>20150120</v>
      </c>
      <c r="T148">
        <v>0</v>
      </c>
      <c r="U148">
        <v>0</v>
      </c>
      <c r="V148">
        <v>3028</v>
      </c>
      <c r="W148" t="s">
        <v>104</v>
      </c>
      <c r="X148" t="s">
        <v>105</v>
      </c>
      <c r="AD148">
        <v>141</v>
      </c>
      <c r="AE148" s="24" t="s">
        <v>509</v>
      </c>
      <c r="AF148" s="24" t="s">
        <v>161</v>
      </c>
      <c r="AG148" s="24" t="s">
        <v>510</v>
      </c>
      <c r="AH148" s="24" t="s">
        <v>511</v>
      </c>
      <c r="AI148">
        <v>32</v>
      </c>
      <c r="AJ148" s="29">
        <v>94.64</v>
      </c>
      <c r="AK148" s="24" t="s">
        <v>183</v>
      </c>
      <c r="AL148" s="24" t="s">
        <v>184</v>
      </c>
      <c r="AM148" s="24" t="s">
        <v>164</v>
      </c>
      <c r="AN148" s="24" t="s">
        <v>185</v>
      </c>
      <c r="AO148" s="24" t="s">
        <v>509</v>
      </c>
      <c r="AP148" s="41"/>
    </row>
    <row r="149" spans="5:42" x14ac:dyDescent="0.25">
      <c r="E149" s="24" t="s">
        <v>139</v>
      </c>
      <c r="F149" s="24" t="s">
        <v>217</v>
      </c>
      <c r="G149">
        <v>8</v>
      </c>
      <c r="H149" t="s">
        <v>100</v>
      </c>
      <c r="I149" s="22" t="s">
        <v>112</v>
      </c>
      <c r="J149" s="22">
        <v>1074548101</v>
      </c>
      <c r="K149" t="s">
        <v>101</v>
      </c>
      <c r="L149" t="s">
        <v>113</v>
      </c>
      <c r="M149">
        <v>9</v>
      </c>
      <c r="N149">
        <v>32</v>
      </c>
      <c r="O149">
        <v>32</v>
      </c>
      <c r="P149" t="s">
        <v>103</v>
      </c>
      <c r="Q149" s="29">
        <v>94.64</v>
      </c>
      <c r="R149">
        <v>3028</v>
      </c>
      <c r="S149">
        <v>20150113</v>
      </c>
      <c r="T149">
        <v>0</v>
      </c>
      <c r="U149">
        <v>0</v>
      </c>
      <c r="V149">
        <v>3028</v>
      </c>
      <c r="W149" t="s">
        <v>104</v>
      </c>
      <c r="X149" t="s">
        <v>105</v>
      </c>
      <c r="AD149">
        <v>142</v>
      </c>
      <c r="AE149" s="24" t="s">
        <v>512</v>
      </c>
      <c r="AF149" s="24" t="s">
        <v>161</v>
      </c>
      <c r="AG149" s="24" t="s">
        <v>513</v>
      </c>
      <c r="AH149" s="24" t="s">
        <v>514</v>
      </c>
      <c r="AI149">
        <v>32</v>
      </c>
      <c r="AJ149" s="29">
        <v>94.64</v>
      </c>
      <c r="AK149" s="24" t="s">
        <v>183</v>
      </c>
      <c r="AL149" s="24" t="s">
        <v>184</v>
      </c>
      <c r="AM149" s="24" t="s">
        <v>164</v>
      </c>
      <c r="AN149" s="24" t="s">
        <v>185</v>
      </c>
      <c r="AO149" s="24" t="s">
        <v>512</v>
      </c>
      <c r="AP149" s="41"/>
    </row>
    <row r="150" spans="5:42" x14ac:dyDescent="0.25">
      <c r="E150" s="24" t="s">
        <v>139</v>
      </c>
      <c r="F150" s="24" t="s">
        <v>217</v>
      </c>
      <c r="G150">
        <v>9</v>
      </c>
      <c r="H150" t="s">
        <v>100</v>
      </c>
      <c r="I150" s="22" t="s">
        <v>112</v>
      </c>
      <c r="J150" s="22">
        <v>1076698801</v>
      </c>
      <c r="K150" t="s">
        <v>101</v>
      </c>
      <c r="L150" t="s">
        <v>113</v>
      </c>
      <c r="M150">
        <v>9</v>
      </c>
      <c r="N150">
        <v>32</v>
      </c>
      <c r="O150">
        <v>32</v>
      </c>
      <c r="P150" t="s">
        <v>103</v>
      </c>
      <c r="Q150" s="29">
        <v>94.64</v>
      </c>
      <c r="R150">
        <v>3028</v>
      </c>
      <c r="S150">
        <v>20150119</v>
      </c>
      <c r="T150">
        <v>0</v>
      </c>
      <c r="U150">
        <v>0</v>
      </c>
      <c r="V150">
        <v>3028</v>
      </c>
      <c r="W150" t="s">
        <v>104</v>
      </c>
      <c r="X150" t="s">
        <v>105</v>
      </c>
      <c r="AD150">
        <v>143</v>
      </c>
      <c r="AE150" s="24" t="s">
        <v>515</v>
      </c>
      <c r="AF150" s="24" t="s">
        <v>161</v>
      </c>
      <c r="AG150" s="24" t="s">
        <v>516</v>
      </c>
      <c r="AH150" s="24" t="s">
        <v>517</v>
      </c>
      <c r="AI150">
        <v>32</v>
      </c>
      <c r="AJ150" s="29">
        <v>94.64</v>
      </c>
      <c r="AK150" s="24" t="s">
        <v>183</v>
      </c>
      <c r="AL150" s="24" t="s">
        <v>184</v>
      </c>
      <c r="AM150" s="24" t="s">
        <v>164</v>
      </c>
      <c r="AN150" s="24" t="s">
        <v>185</v>
      </c>
      <c r="AO150" s="24" t="s">
        <v>515</v>
      </c>
      <c r="AP150" s="41"/>
    </row>
    <row r="151" spans="5:42" x14ac:dyDescent="0.25">
      <c r="E151" s="24" t="s">
        <v>139</v>
      </c>
      <c r="F151" s="24" t="s">
        <v>217</v>
      </c>
      <c r="G151">
        <v>10</v>
      </c>
      <c r="H151" t="s">
        <v>100</v>
      </c>
      <c r="I151" s="22" t="s">
        <v>112</v>
      </c>
      <c r="J151" s="22">
        <v>1071046501</v>
      </c>
      <c r="K151" t="s">
        <v>101</v>
      </c>
      <c r="L151" t="s">
        <v>114</v>
      </c>
      <c r="M151">
        <v>9</v>
      </c>
      <c r="N151">
        <v>32</v>
      </c>
      <c r="O151">
        <v>32</v>
      </c>
      <c r="P151" t="s">
        <v>103</v>
      </c>
      <c r="Q151" s="29">
        <v>99.88</v>
      </c>
      <c r="R151">
        <v>3196</v>
      </c>
      <c r="S151">
        <v>20150105</v>
      </c>
      <c r="T151">
        <v>0</v>
      </c>
      <c r="U151">
        <v>0</v>
      </c>
      <c r="V151">
        <v>3196</v>
      </c>
      <c r="W151" t="s">
        <v>104</v>
      </c>
      <c r="X151" t="s">
        <v>105</v>
      </c>
      <c r="AD151">
        <v>144</v>
      </c>
      <c r="AE151" s="24" t="s">
        <v>518</v>
      </c>
      <c r="AF151" s="24" t="s">
        <v>161</v>
      </c>
      <c r="AG151" s="24" t="s">
        <v>519</v>
      </c>
      <c r="AH151" s="24" t="s">
        <v>520</v>
      </c>
      <c r="AI151">
        <v>32</v>
      </c>
      <c r="AJ151" s="29">
        <v>94.64</v>
      </c>
      <c r="AK151" s="24" t="s">
        <v>183</v>
      </c>
      <c r="AL151" s="24" t="s">
        <v>184</v>
      </c>
      <c r="AM151" s="24" t="s">
        <v>164</v>
      </c>
      <c r="AN151" s="24" t="s">
        <v>185</v>
      </c>
      <c r="AO151" s="24" t="s">
        <v>518</v>
      </c>
      <c r="AP151" s="41"/>
    </row>
    <row r="152" spans="5:42" x14ac:dyDescent="0.25">
      <c r="E152" s="24" t="s">
        <v>139</v>
      </c>
      <c r="F152" s="24" t="s">
        <v>217</v>
      </c>
      <c r="G152">
        <v>11</v>
      </c>
      <c r="H152" t="s">
        <v>100</v>
      </c>
      <c r="I152" s="22" t="s">
        <v>112</v>
      </c>
      <c r="J152" s="22">
        <v>1073270701</v>
      </c>
      <c r="K152" t="s">
        <v>101</v>
      </c>
      <c r="L152" t="s">
        <v>114</v>
      </c>
      <c r="M152">
        <v>9</v>
      </c>
      <c r="N152">
        <v>32</v>
      </c>
      <c r="O152">
        <v>32</v>
      </c>
      <c r="P152" t="s">
        <v>103</v>
      </c>
      <c r="Q152" s="29">
        <v>99.88</v>
      </c>
      <c r="R152">
        <v>3196</v>
      </c>
      <c r="S152">
        <v>20150109</v>
      </c>
      <c r="T152">
        <v>0</v>
      </c>
      <c r="U152">
        <v>0</v>
      </c>
      <c r="V152">
        <v>3196</v>
      </c>
      <c r="W152" t="s">
        <v>104</v>
      </c>
      <c r="X152" t="s">
        <v>105</v>
      </c>
      <c r="AD152">
        <v>145</v>
      </c>
      <c r="AE152" s="24" t="s">
        <v>521</v>
      </c>
      <c r="AF152" s="24" t="s">
        <v>161</v>
      </c>
      <c r="AG152" s="24" t="s">
        <v>522</v>
      </c>
      <c r="AH152" s="24" t="s">
        <v>523</v>
      </c>
      <c r="AI152">
        <v>32</v>
      </c>
      <c r="AJ152" s="29">
        <v>94.64</v>
      </c>
      <c r="AK152" s="24" t="s">
        <v>183</v>
      </c>
      <c r="AL152" s="24" t="s">
        <v>184</v>
      </c>
      <c r="AM152" s="24" t="s">
        <v>164</v>
      </c>
      <c r="AN152" s="24" t="s">
        <v>185</v>
      </c>
      <c r="AO152" s="24" t="s">
        <v>521</v>
      </c>
      <c r="AP152" s="41"/>
    </row>
    <row r="153" spans="5:42" x14ac:dyDescent="0.25">
      <c r="E153" s="24" t="s">
        <v>139</v>
      </c>
      <c r="F153" s="24" t="s">
        <v>217</v>
      </c>
      <c r="G153">
        <v>12</v>
      </c>
      <c r="H153" t="s">
        <v>100</v>
      </c>
      <c r="I153" s="22" t="s">
        <v>112</v>
      </c>
      <c r="J153" s="22">
        <v>1075075901</v>
      </c>
      <c r="K153" t="s">
        <v>101</v>
      </c>
      <c r="L153" t="s">
        <v>114</v>
      </c>
      <c r="M153">
        <v>9</v>
      </c>
      <c r="N153">
        <v>32</v>
      </c>
      <c r="O153">
        <v>32</v>
      </c>
      <c r="P153" t="s">
        <v>103</v>
      </c>
      <c r="Q153" s="29">
        <v>99.88</v>
      </c>
      <c r="R153">
        <v>3196</v>
      </c>
      <c r="S153">
        <v>20150114</v>
      </c>
      <c r="T153">
        <v>0</v>
      </c>
      <c r="U153">
        <v>0</v>
      </c>
      <c r="V153">
        <v>3196</v>
      </c>
      <c r="W153" t="s">
        <v>104</v>
      </c>
      <c r="X153" t="s">
        <v>105</v>
      </c>
      <c r="AD153">
        <v>146</v>
      </c>
      <c r="AE153" s="24" t="s">
        <v>524</v>
      </c>
      <c r="AF153" s="24" t="s">
        <v>161</v>
      </c>
      <c r="AG153" s="24" t="s">
        <v>525</v>
      </c>
      <c r="AH153" s="24" t="s">
        <v>526</v>
      </c>
      <c r="AI153">
        <v>32</v>
      </c>
      <c r="AJ153" s="29">
        <v>94.64</v>
      </c>
      <c r="AK153" s="24" t="s">
        <v>183</v>
      </c>
      <c r="AL153" s="24" t="s">
        <v>184</v>
      </c>
      <c r="AM153" s="24" t="s">
        <v>164</v>
      </c>
      <c r="AN153" s="24" t="s">
        <v>185</v>
      </c>
      <c r="AO153" s="24" t="s">
        <v>524</v>
      </c>
      <c r="AP153" s="41"/>
    </row>
    <row r="154" spans="5:42" x14ac:dyDescent="0.25">
      <c r="E154" s="24" t="s">
        <v>139</v>
      </c>
      <c r="F154" s="24" t="s">
        <v>217</v>
      </c>
      <c r="G154">
        <v>13</v>
      </c>
      <c r="H154" t="s">
        <v>100</v>
      </c>
      <c r="I154" s="22" t="s">
        <v>112</v>
      </c>
      <c r="J154" s="22">
        <v>1072265601</v>
      </c>
      <c r="K154" t="s">
        <v>101</v>
      </c>
      <c r="L154" t="s">
        <v>114</v>
      </c>
      <c r="M154">
        <v>9</v>
      </c>
      <c r="N154">
        <v>32</v>
      </c>
      <c r="O154">
        <v>32</v>
      </c>
      <c r="P154" t="s">
        <v>103</v>
      </c>
      <c r="Q154" s="29">
        <v>99.88</v>
      </c>
      <c r="R154">
        <v>3196</v>
      </c>
      <c r="S154">
        <v>20150107</v>
      </c>
      <c r="T154">
        <v>0</v>
      </c>
      <c r="U154">
        <v>0</v>
      </c>
      <c r="V154">
        <v>3196</v>
      </c>
      <c r="W154" t="s">
        <v>104</v>
      </c>
      <c r="X154" t="s">
        <v>105</v>
      </c>
      <c r="AD154">
        <v>147</v>
      </c>
      <c r="AE154" s="24" t="s">
        <v>527</v>
      </c>
      <c r="AF154" s="24" t="s">
        <v>161</v>
      </c>
      <c r="AG154" s="24" t="s">
        <v>528</v>
      </c>
      <c r="AH154" s="24" t="s">
        <v>529</v>
      </c>
      <c r="AI154">
        <v>32</v>
      </c>
      <c r="AJ154" s="29">
        <v>94.64</v>
      </c>
      <c r="AK154" s="24" t="s">
        <v>183</v>
      </c>
      <c r="AL154" s="24" t="s">
        <v>184</v>
      </c>
      <c r="AM154" s="24" t="s">
        <v>164</v>
      </c>
      <c r="AN154" s="24" t="s">
        <v>185</v>
      </c>
      <c r="AO154" s="24" t="s">
        <v>527</v>
      </c>
      <c r="AP154" s="41"/>
    </row>
    <row r="155" spans="5:42" x14ac:dyDescent="0.25">
      <c r="E155" s="24" t="s">
        <v>139</v>
      </c>
      <c r="F155" s="24" t="s">
        <v>217</v>
      </c>
      <c r="G155">
        <v>14</v>
      </c>
      <c r="H155" t="s">
        <v>100</v>
      </c>
      <c r="I155" s="22" t="s">
        <v>112</v>
      </c>
      <c r="J155" s="22">
        <v>1077403501</v>
      </c>
      <c r="K155" t="s">
        <v>101</v>
      </c>
      <c r="L155" t="s">
        <v>114</v>
      </c>
      <c r="M155">
        <v>9</v>
      </c>
      <c r="N155">
        <v>32</v>
      </c>
      <c r="O155">
        <v>32</v>
      </c>
      <c r="P155" t="s">
        <v>103</v>
      </c>
      <c r="Q155" s="29">
        <v>99.88</v>
      </c>
      <c r="R155">
        <v>3196</v>
      </c>
      <c r="S155">
        <v>20150120</v>
      </c>
      <c r="T155">
        <v>0</v>
      </c>
      <c r="U155">
        <v>0</v>
      </c>
      <c r="V155">
        <v>3196</v>
      </c>
      <c r="W155" t="s">
        <v>104</v>
      </c>
      <c r="X155" t="s">
        <v>105</v>
      </c>
      <c r="AD155">
        <v>148</v>
      </c>
      <c r="AE155" s="24" t="s">
        <v>530</v>
      </c>
      <c r="AF155" s="24" t="s">
        <v>161</v>
      </c>
      <c r="AG155" s="24" t="s">
        <v>531</v>
      </c>
      <c r="AH155" s="24" t="s">
        <v>532</v>
      </c>
      <c r="AI155">
        <v>32</v>
      </c>
      <c r="AJ155" s="29">
        <v>99.88</v>
      </c>
      <c r="AK155" s="24" t="s">
        <v>186</v>
      </c>
      <c r="AL155" s="24" t="s">
        <v>184</v>
      </c>
      <c r="AM155" s="24" t="s">
        <v>164</v>
      </c>
      <c r="AN155" s="24" t="s">
        <v>187</v>
      </c>
      <c r="AO155" s="24" t="s">
        <v>530</v>
      </c>
      <c r="AP155" s="41"/>
    </row>
    <row r="156" spans="5:42" x14ac:dyDescent="0.25">
      <c r="E156" s="24" t="s">
        <v>139</v>
      </c>
      <c r="F156" s="24" t="s">
        <v>217</v>
      </c>
      <c r="G156">
        <v>15</v>
      </c>
      <c r="H156" t="s">
        <v>100</v>
      </c>
      <c r="I156" s="22" t="s">
        <v>112</v>
      </c>
      <c r="J156" s="22">
        <v>1076138301</v>
      </c>
      <c r="K156" t="s">
        <v>101</v>
      </c>
      <c r="L156" t="s">
        <v>114</v>
      </c>
      <c r="M156">
        <v>9</v>
      </c>
      <c r="N156">
        <v>32</v>
      </c>
      <c r="O156">
        <v>32</v>
      </c>
      <c r="P156" t="s">
        <v>103</v>
      </c>
      <c r="Q156" s="29">
        <v>99.88</v>
      </c>
      <c r="R156">
        <v>3196</v>
      </c>
      <c r="S156">
        <v>20150119</v>
      </c>
      <c r="T156">
        <v>0</v>
      </c>
      <c r="U156">
        <v>0</v>
      </c>
      <c r="V156">
        <v>3196</v>
      </c>
      <c r="W156" t="s">
        <v>104</v>
      </c>
      <c r="X156" t="s">
        <v>105</v>
      </c>
      <c r="AD156">
        <v>149</v>
      </c>
      <c r="AE156" s="24" t="s">
        <v>533</v>
      </c>
      <c r="AF156" s="24" t="s">
        <v>161</v>
      </c>
      <c r="AG156" s="24" t="s">
        <v>534</v>
      </c>
      <c r="AH156" s="24" t="s">
        <v>535</v>
      </c>
      <c r="AI156">
        <v>32</v>
      </c>
      <c r="AJ156" s="29">
        <v>99.88</v>
      </c>
      <c r="AK156" s="24" t="s">
        <v>186</v>
      </c>
      <c r="AL156" s="24" t="s">
        <v>184</v>
      </c>
      <c r="AM156" s="24" t="s">
        <v>164</v>
      </c>
      <c r="AN156" s="24" t="s">
        <v>187</v>
      </c>
      <c r="AO156" s="24" t="s">
        <v>533</v>
      </c>
      <c r="AP156" s="41"/>
    </row>
    <row r="157" spans="5:42" x14ac:dyDescent="0.25">
      <c r="E157" s="24" t="s">
        <v>139</v>
      </c>
      <c r="F157" s="24" t="s">
        <v>217</v>
      </c>
      <c r="G157">
        <v>16</v>
      </c>
      <c r="H157" t="s">
        <v>100</v>
      </c>
      <c r="I157" s="22" t="s">
        <v>112</v>
      </c>
      <c r="J157" s="22">
        <v>1075617301</v>
      </c>
      <c r="K157" t="s">
        <v>101</v>
      </c>
      <c r="L157" t="s">
        <v>114</v>
      </c>
      <c r="M157">
        <v>9</v>
      </c>
      <c r="N157">
        <v>32</v>
      </c>
      <c r="O157">
        <v>32</v>
      </c>
      <c r="P157" t="s">
        <v>103</v>
      </c>
      <c r="Q157" s="29">
        <v>99.88</v>
      </c>
      <c r="R157">
        <v>3196</v>
      </c>
      <c r="S157">
        <v>20150115</v>
      </c>
      <c r="T157">
        <v>0</v>
      </c>
      <c r="U157">
        <v>0</v>
      </c>
      <c r="V157">
        <v>3196</v>
      </c>
      <c r="W157" t="s">
        <v>104</v>
      </c>
      <c r="X157" t="s">
        <v>105</v>
      </c>
      <c r="AD157">
        <v>150</v>
      </c>
      <c r="AE157" s="24" t="s">
        <v>536</v>
      </c>
      <c r="AF157" s="24" t="s">
        <v>161</v>
      </c>
      <c r="AG157" s="24" t="s">
        <v>537</v>
      </c>
      <c r="AH157" s="24" t="s">
        <v>538</v>
      </c>
      <c r="AI157">
        <v>32</v>
      </c>
      <c r="AJ157" s="29">
        <v>99.88</v>
      </c>
      <c r="AK157" s="24" t="s">
        <v>186</v>
      </c>
      <c r="AL157" s="24" t="s">
        <v>184</v>
      </c>
      <c r="AM157" s="24" t="s">
        <v>164</v>
      </c>
      <c r="AN157" s="24" t="s">
        <v>187</v>
      </c>
      <c r="AO157" s="24" t="s">
        <v>536</v>
      </c>
      <c r="AP157" s="41"/>
    </row>
    <row r="158" spans="5:42" x14ac:dyDescent="0.25">
      <c r="E158" s="24" t="s">
        <v>139</v>
      </c>
      <c r="F158" s="24" t="s">
        <v>217</v>
      </c>
      <c r="G158">
        <v>17</v>
      </c>
      <c r="H158" t="s">
        <v>100</v>
      </c>
      <c r="I158" s="22" t="s">
        <v>145</v>
      </c>
      <c r="J158" s="22">
        <v>1071813601</v>
      </c>
      <c r="K158" t="s">
        <v>101</v>
      </c>
      <c r="L158" t="s">
        <v>115</v>
      </c>
      <c r="M158">
        <v>9</v>
      </c>
      <c r="N158">
        <v>12</v>
      </c>
      <c r="O158">
        <v>12</v>
      </c>
      <c r="P158" t="s">
        <v>103</v>
      </c>
      <c r="Q158" s="29">
        <v>2659.05</v>
      </c>
      <c r="R158">
        <v>31909</v>
      </c>
      <c r="S158">
        <v>20150106</v>
      </c>
      <c r="T158">
        <v>0</v>
      </c>
      <c r="U158">
        <v>0</v>
      </c>
      <c r="V158">
        <v>31909</v>
      </c>
      <c r="W158" t="s">
        <v>104</v>
      </c>
      <c r="X158" t="s">
        <v>105</v>
      </c>
      <c r="AD158">
        <v>151</v>
      </c>
      <c r="AE158" s="24" t="s">
        <v>539</v>
      </c>
      <c r="AF158" s="24" t="s">
        <v>161</v>
      </c>
      <c r="AG158" s="24" t="s">
        <v>540</v>
      </c>
      <c r="AH158" s="24" t="s">
        <v>541</v>
      </c>
      <c r="AI158">
        <v>32</v>
      </c>
      <c r="AJ158" s="29">
        <v>99.88</v>
      </c>
      <c r="AK158" s="24" t="s">
        <v>186</v>
      </c>
      <c r="AL158" s="24" t="s">
        <v>184</v>
      </c>
      <c r="AM158" s="24" t="s">
        <v>164</v>
      </c>
      <c r="AN158" s="24" t="s">
        <v>187</v>
      </c>
      <c r="AO158" s="24" t="s">
        <v>539</v>
      </c>
      <c r="AP158" s="41"/>
    </row>
    <row r="159" spans="5:42" x14ac:dyDescent="0.25">
      <c r="E159" s="24" t="s">
        <v>139</v>
      </c>
      <c r="F159" s="24" t="s">
        <v>217</v>
      </c>
      <c r="G159">
        <v>18</v>
      </c>
      <c r="H159" t="s">
        <v>100</v>
      </c>
      <c r="I159" s="22" t="s">
        <v>145</v>
      </c>
      <c r="J159" s="22">
        <v>1075617501</v>
      </c>
      <c r="K159" t="s">
        <v>101</v>
      </c>
      <c r="L159" t="s">
        <v>115</v>
      </c>
      <c r="M159">
        <v>9</v>
      </c>
      <c r="N159">
        <v>12</v>
      </c>
      <c r="O159">
        <v>12</v>
      </c>
      <c r="P159" t="s">
        <v>103</v>
      </c>
      <c r="Q159" s="29">
        <v>2659.05</v>
      </c>
      <c r="R159">
        <v>31909</v>
      </c>
      <c r="S159">
        <v>20150115</v>
      </c>
      <c r="T159">
        <v>0</v>
      </c>
      <c r="U159">
        <v>0</v>
      </c>
      <c r="V159">
        <v>31909</v>
      </c>
      <c r="W159" t="s">
        <v>104</v>
      </c>
      <c r="X159" t="s">
        <v>105</v>
      </c>
      <c r="AD159">
        <v>152</v>
      </c>
      <c r="AE159" s="24" t="s">
        <v>542</v>
      </c>
      <c r="AF159" s="24" t="s">
        <v>161</v>
      </c>
      <c r="AG159" s="24" t="s">
        <v>543</v>
      </c>
      <c r="AH159" s="24" t="s">
        <v>544</v>
      </c>
      <c r="AI159">
        <v>32</v>
      </c>
      <c r="AJ159" s="29">
        <v>99.88</v>
      </c>
      <c r="AK159" s="24" t="s">
        <v>186</v>
      </c>
      <c r="AL159" s="24" t="s">
        <v>184</v>
      </c>
      <c r="AM159" s="24" t="s">
        <v>164</v>
      </c>
      <c r="AN159" s="24" t="s">
        <v>187</v>
      </c>
      <c r="AO159" s="24" t="s">
        <v>542</v>
      </c>
      <c r="AP159" s="41"/>
    </row>
    <row r="160" spans="5:42" x14ac:dyDescent="0.25">
      <c r="E160" s="24" t="s">
        <v>139</v>
      </c>
      <c r="F160" s="24" t="s">
        <v>217</v>
      </c>
      <c r="G160">
        <v>19</v>
      </c>
      <c r="H160" t="s">
        <v>100</v>
      </c>
      <c r="I160" s="22" t="s">
        <v>145</v>
      </c>
      <c r="J160" s="22">
        <v>1072759101</v>
      </c>
      <c r="K160" t="s">
        <v>101</v>
      </c>
      <c r="L160" t="s">
        <v>115</v>
      </c>
      <c r="M160">
        <v>9</v>
      </c>
      <c r="N160">
        <v>24</v>
      </c>
      <c r="O160">
        <v>24</v>
      </c>
      <c r="P160" t="s">
        <v>103</v>
      </c>
      <c r="Q160" s="29">
        <v>2659.05</v>
      </c>
      <c r="R160">
        <v>63817</v>
      </c>
      <c r="S160">
        <v>20150108</v>
      </c>
      <c r="T160">
        <v>0</v>
      </c>
      <c r="U160">
        <v>0</v>
      </c>
      <c r="V160">
        <v>63817</v>
      </c>
      <c r="W160" t="s">
        <v>104</v>
      </c>
      <c r="X160" t="s">
        <v>105</v>
      </c>
      <c r="AD160">
        <v>153</v>
      </c>
      <c r="AE160" s="24" t="s">
        <v>545</v>
      </c>
      <c r="AF160" s="24" t="s">
        <v>161</v>
      </c>
      <c r="AG160" s="24" t="s">
        <v>546</v>
      </c>
      <c r="AH160" s="24" t="s">
        <v>547</v>
      </c>
      <c r="AI160">
        <v>32</v>
      </c>
      <c r="AJ160" s="29">
        <v>99.88</v>
      </c>
      <c r="AK160" s="24" t="s">
        <v>186</v>
      </c>
      <c r="AL160" s="24" t="s">
        <v>184</v>
      </c>
      <c r="AM160" s="24" t="s">
        <v>164</v>
      </c>
      <c r="AN160" s="24" t="s">
        <v>187</v>
      </c>
      <c r="AO160" s="24" t="s">
        <v>545</v>
      </c>
      <c r="AP160" s="41"/>
    </row>
    <row r="161" spans="5:42" x14ac:dyDescent="0.25">
      <c r="E161" s="24" t="s">
        <v>139</v>
      </c>
      <c r="F161" s="24" t="s">
        <v>217</v>
      </c>
      <c r="G161">
        <v>20</v>
      </c>
      <c r="H161" t="s">
        <v>100</v>
      </c>
      <c r="I161" s="22" t="s">
        <v>145</v>
      </c>
      <c r="J161" s="22">
        <v>1072265701</v>
      </c>
      <c r="K161" t="s">
        <v>101</v>
      </c>
      <c r="L161" t="s">
        <v>115</v>
      </c>
      <c r="M161">
        <v>9</v>
      </c>
      <c r="N161">
        <v>12</v>
      </c>
      <c r="O161">
        <v>12</v>
      </c>
      <c r="P161" t="s">
        <v>103</v>
      </c>
      <c r="Q161" s="29">
        <v>2659.05</v>
      </c>
      <c r="R161">
        <v>31909</v>
      </c>
      <c r="S161">
        <v>20150107</v>
      </c>
      <c r="T161">
        <v>0</v>
      </c>
      <c r="U161">
        <v>0</v>
      </c>
      <c r="V161">
        <v>31909</v>
      </c>
      <c r="W161" t="s">
        <v>104</v>
      </c>
      <c r="X161" t="s">
        <v>105</v>
      </c>
      <c r="AD161">
        <v>154</v>
      </c>
      <c r="AE161" s="24" t="s">
        <v>548</v>
      </c>
      <c r="AF161" s="24" t="s">
        <v>161</v>
      </c>
      <c r="AG161" s="24" t="s">
        <v>549</v>
      </c>
      <c r="AH161" s="24" t="s">
        <v>550</v>
      </c>
      <c r="AI161">
        <v>32</v>
      </c>
      <c r="AJ161" s="29">
        <v>99.88</v>
      </c>
      <c r="AK161" s="24" t="s">
        <v>186</v>
      </c>
      <c r="AL161" s="24" t="s">
        <v>184</v>
      </c>
      <c r="AM161" s="24" t="s">
        <v>164</v>
      </c>
      <c r="AN161" s="24" t="s">
        <v>187</v>
      </c>
      <c r="AO161" s="24" t="s">
        <v>548</v>
      </c>
      <c r="AP161" s="41"/>
    </row>
    <row r="162" spans="5:42" x14ac:dyDescent="0.25">
      <c r="E162" s="24" t="s">
        <v>139</v>
      </c>
      <c r="F162" s="24" t="s">
        <v>217</v>
      </c>
      <c r="G162">
        <v>21</v>
      </c>
      <c r="H162" t="s">
        <v>100</v>
      </c>
      <c r="I162" s="22" t="s">
        <v>145</v>
      </c>
      <c r="J162" s="22">
        <v>1075076301</v>
      </c>
      <c r="K162" t="s">
        <v>101</v>
      </c>
      <c r="L162" t="s">
        <v>115</v>
      </c>
      <c r="M162">
        <v>9</v>
      </c>
      <c r="N162">
        <v>12</v>
      </c>
      <c r="O162">
        <v>12</v>
      </c>
      <c r="P162" t="s">
        <v>103</v>
      </c>
      <c r="Q162" s="29">
        <v>2659.05</v>
      </c>
      <c r="R162">
        <v>31909</v>
      </c>
      <c r="S162">
        <v>20150114</v>
      </c>
      <c r="T162">
        <v>0</v>
      </c>
      <c r="U162">
        <v>0</v>
      </c>
      <c r="V162">
        <v>31909</v>
      </c>
      <c r="W162" t="s">
        <v>104</v>
      </c>
      <c r="X162" t="s">
        <v>105</v>
      </c>
      <c r="AD162">
        <v>155</v>
      </c>
      <c r="AE162" s="24" t="s">
        <v>551</v>
      </c>
      <c r="AF162" s="24" t="s">
        <v>188</v>
      </c>
      <c r="AG162" s="24" t="s">
        <v>552</v>
      </c>
      <c r="AH162" s="24" t="s">
        <v>553</v>
      </c>
      <c r="AI162">
        <v>12</v>
      </c>
      <c r="AJ162" s="29">
        <v>2659.05</v>
      </c>
      <c r="AK162" s="24" t="s">
        <v>189</v>
      </c>
      <c r="AL162" s="24" t="s">
        <v>190</v>
      </c>
      <c r="AM162" s="24" t="s">
        <v>164</v>
      </c>
      <c r="AN162" s="24" t="s">
        <v>191</v>
      </c>
      <c r="AO162" s="24" t="s">
        <v>551</v>
      </c>
      <c r="AP162" s="41"/>
    </row>
    <row r="163" spans="5:42" x14ac:dyDescent="0.25">
      <c r="E163" s="24" t="s">
        <v>139</v>
      </c>
      <c r="F163" s="24" t="s">
        <v>217</v>
      </c>
      <c r="G163">
        <v>22</v>
      </c>
      <c r="H163" t="s">
        <v>100</v>
      </c>
      <c r="I163" s="22" t="s">
        <v>145</v>
      </c>
      <c r="J163" s="22">
        <v>1076698901</v>
      </c>
      <c r="K163" t="s">
        <v>101</v>
      </c>
      <c r="L163" t="s">
        <v>115</v>
      </c>
      <c r="M163">
        <v>9</v>
      </c>
      <c r="N163">
        <v>12</v>
      </c>
      <c r="O163">
        <v>12</v>
      </c>
      <c r="P163" t="s">
        <v>103</v>
      </c>
      <c r="Q163" s="29">
        <v>2659.05</v>
      </c>
      <c r="R163">
        <v>31909</v>
      </c>
      <c r="S163">
        <v>20150119</v>
      </c>
      <c r="T163">
        <v>0</v>
      </c>
      <c r="U163">
        <v>0</v>
      </c>
      <c r="V163">
        <v>31909</v>
      </c>
      <c r="W163" t="s">
        <v>104</v>
      </c>
      <c r="X163" t="s">
        <v>105</v>
      </c>
      <c r="AD163">
        <v>156</v>
      </c>
      <c r="AE163" s="24" t="s">
        <v>554</v>
      </c>
      <c r="AF163" s="24" t="s">
        <v>188</v>
      </c>
      <c r="AG163" s="24" t="s">
        <v>555</v>
      </c>
      <c r="AH163" s="24" t="s">
        <v>556</v>
      </c>
      <c r="AI163">
        <v>12</v>
      </c>
      <c r="AJ163" s="29">
        <v>2659.05</v>
      </c>
      <c r="AK163" s="24" t="s">
        <v>189</v>
      </c>
      <c r="AL163" s="24" t="s">
        <v>190</v>
      </c>
      <c r="AM163" s="24" t="s">
        <v>164</v>
      </c>
      <c r="AN163" s="24" t="s">
        <v>191</v>
      </c>
      <c r="AO163" s="24" t="s">
        <v>554</v>
      </c>
      <c r="AP163" s="41"/>
    </row>
    <row r="164" spans="5:42" x14ac:dyDescent="0.25">
      <c r="E164" s="24" t="s">
        <v>139</v>
      </c>
      <c r="F164" s="24" t="s">
        <v>218</v>
      </c>
      <c r="G164">
        <v>1</v>
      </c>
      <c r="H164" t="s">
        <v>100</v>
      </c>
      <c r="I164" s="22" t="s">
        <v>145</v>
      </c>
      <c r="J164" s="22">
        <v>1077403801</v>
      </c>
      <c r="K164" t="s">
        <v>101</v>
      </c>
      <c r="L164" t="s">
        <v>115</v>
      </c>
      <c r="M164">
        <v>9</v>
      </c>
      <c r="N164">
        <v>12</v>
      </c>
      <c r="O164">
        <v>12</v>
      </c>
      <c r="P164" t="s">
        <v>103</v>
      </c>
      <c r="Q164" s="29">
        <v>2659.05</v>
      </c>
      <c r="R164">
        <v>31909</v>
      </c>
      <c r="S164">
        <v>20150120</v>
      </c>
      <c r="T164">
        <v>0</v>
      </c>
      <c r="U164">
        <v>0</v>
      </c>
      <c r="V164">
        <v>31909</v>
      </c>
      <c r="W164" t="s">
        <v>104</v>
      </c>
      <c r="X164" t="s">
        <v>105</v>
      </c>
      <c r="Y164">
        <v>3</v>
      </c>
      <c r="Z164">
        <v>467804</v>
      </c>
      <c r="AA164">
        <v>0</v>
      </c>
      <c r="AB164">
        <v>0</v>
      </c>
      <c r="AC164">
        <v>467804</v>
      </c>
      <c r="AD164">
        <v>157</v>
      </c>
      <c r="AE164" s="24" t="s">
        <v>557</v>
      </c>
      <c r="AF164" s="24" t="s">
        <v>188</v>
      </c>
      <c r="AG164" s="24" t="s">
        <v>558</v>
      </c>
      <c r="AH164" s="24" t="s">
        <v>559</v>
      </c>
      <c r="AI164">
        <v>24</v>
      </c>
      <c r="AJ164" s="29">
        <v>2659.05</v>
      </c>
      <c r="AK164" s="24" t="s">
        <v>189</v>
      </c>
      <c r="AL164" s="24" t="s">
        <v>190</v>
      </c>
      <c r="AM164" s="24" t="s">
        <v>164</v>
      </c>
      <c r="AN164" s="24" t="s">
        <v>191</v>
      </c>
      <c r="AO164" s="24" t="s">
        <v>557</v>
      </c>
      <c r="AP164" s="41"/>
    </row>
    <row r="165" spans="5:42" x14ac:dyDescent="0.25">
      <c r="E165" s="24" t="s">
        <v>139</v>
      </c>
      <c r="F165" s="24" t="s">
        <v>218</v>
      </c>
      <c r="G165">
        <v>2</v>
      </c>
      <c r="H165" t="s">
        <v>100</v>
      </c>
      <c r="I165" s="22" t="s">
        <v>219</v>
      </c>
      <c r="J165" s="22">
        <v>1073270801</v>
      </c>
      <c r="K165" t="s">
        <v>101</v>
      </c>
      <c r="L165" t="s">
        <v>116</v>
      </c>
      <c r="M165">
        <v>9</v>
      </c>
      <c r="N165">
        <v>16</v>
      </c>
      <c r="O165">
        <v>16</v>
      </c>
      <c r="P165" t="s">
        <v>103</v>
      </c>
      <c r="Q165" s="29">
        <v>2671.22</v>
      </c>
      <c r="R165">
        <v>42740</v>
      </c>
      <c r="S165">
        <v>20150109</v>
      </c>
      <c r="T165">
        <v>0</v>
      </c>
      <c r="U165">
        <v>0</v>
      </c>
      <c r="V165">
        <v>42740</v>
      </c>
      <c r="W165" t="s">
        <v>104</v>
      </c>
      <c r="X165" t="s">
        <v>105</v>
      </c>
      <c r="AD165">
        <v>158</v>
      </c>
      <c r="AE165" s="24" t="s">
        <v>560</v>
      </c>
      <c r="AF165" s="24" t="s">
        <v>188</v>
      </c>
      <c r="AG165" s="24" t="s">
        <v>561</v>
      </c>
      <c r="AH165" s="24" t="s">
        <v>562</v>
      </c>
      <c r="AI165">
        <v>12</v>
      </c>
      <c r="AJ165" s="29">
        <v>2659.05</v>
      </c>
      <c r="AK165" s="24" t="s">
        <v>189</v>
      </c>
      <c r="AL165" s="24" t="s">
        <v>190</v>
      </c>
      <c r="AM165" s="24" t="s">
        <v>164</v>
      </c>
      <c r="AN165" s="24" t="s">
        <v>191</v>
      </c>
      <c r="AO165" s="24" t="s">
        <v>560</v>
      </c>
      <c r="AP165" s="41"/>
    </row>
    <row r="166" spans="5:42" x14ac:dyDescent="0.25">
      <c r="E166" s="24" t="s">
        <v>139</v>
      </c>
      <c r="F166" s="24" t="s">
        <v>218</v>
      </c>
      <c r="G166">
        <v>3</v>
      </c>
      <c r="H166" t="s">
        <v>100</v>
      </c>
      <c r="I166" s="22" t="s">
        <v>219</v>
      </c>
      <c r="J166" s="22">
        <v>1075076401</v>
      </c>
      <c r="K166" t="s">
        <v>101</v>
      </c>
      <c r="L166" t="s">
        <v>116</v>
      </c>
      <c r="M166">
        <v>9</v>
      </c>
      <c r="N166">
        <v>16</v>
      </c>
      <c r="O166">
        <v>16</v>
      </c>
      <c r="P166" t="s">
        <v>103</v>
      </c>
      <c r="Q166" s="29">
        <v>2671.22</v>
      </c>
      <c r="R166">
        <v>42740</v>
      </c>
      <c r="S166">
        <v>20150114</v>
      </c>
      <c r="T166">
        <v>0</v>
      </c>
      <c r="U166">
        <v>0</v>
      </c>
      <c r="V166">
        <v>42740</v>
      </c>
      <c r="W166" t="s">
        <v>104</v>
      </c>
      <c r="X166" t="s">
        <v>105</v>
      </c>
      <c r="AD166">
        <v>159</v>
      </c>
      <c r="AE166" s="24" t="s">
        <v>563</v>
      </c>
      <c r="AF166" s="24" t="s">
        <v>188</v>
      </c>
      <c r="AG166" s="24" t="s">
        <v>564</v>
      </c>
      <c r="AH166" s="24" t="s">
        <v>565</v>
      </c>
      <c r="AI166">
        <v>12</v>
      </c>
      <c r="AJ166" s="29">
        <v>2659.05</v>
      </c>
      <c r="AK166" s="24" t="s">
        <v>189</v>
      </c>
      <c r="AL166" s="24" t="s">
        <v>190</v>
      </c>
      <c r="AM166" s="24" t="s">
        <v>164</v>
      </c>
      <c r="AN166" s="24" t="s">
        <v>191</v>
      </c>
      <c r="AO166" s="24" t="s">
        <v>563</v>
      </c>
      <c r="AP166" s="41"/>
    </row>
    <row r="167" spans="5:42" x14ac:dyDescent="0.25">
      <c r="E167" s="24" t="s">
        <v>139</v>
      </c>
      <c r="F167" s="24" t="s">
        <v>218</v>
      </c>
      <c r="G167">
        <v>4</v>
      </c>
      <c r="H167" t="s">
        <v>100</v>
      </c>
      <c r="I167" s="22" t="s">
        <v>219</v>
      </c>
      <c r="J167" s="22">
        <v>1073792001</v>
      </c>
      <c r="K167" t="s">
        <v>101</v>
      </c>
      <c r="L167" t="s">
        <v>116</v>
      </c>
      <c r="M167">
        <v>9</v>
      </c>
      <c r="N167">
        <v>16</v>
      </c>
      <c r="O167">
        <v>16</v>
      </c>
      <c r="P167" t="s">
        <v>103</v>
      </c>
      <c r="Q167" s="29">
        <v>2671.22</v>
      </c>
      <c r="R167">
        <v>42740</v>
      </c>
      <c r="S167">
        <v>20150112</v>
      </c>
      <c r="T167">
        <v>0</v>
      </c>
      <c r="U167">
        <v>0</v>
      </c>
      <c r="V167">
        <v>42740</v>
      </c>
      <c r="W167" t="s">
        <v>104</v>
      </c>
      <c r="X167" t="s">
        <v>105</v>
      </c>
      <c r="AD167">
        <v>160</v>
      </c>
      <c r="AE167" s="24" t="s">
        <v>566</v>
      </c>
      <c r="AF167" s="24" t="s">
        <v>188</v>
      </c>
      <c r="AG167" s="24" t="s">
        <v>567</v>
      </c>
      <c r="AH167" s="24" t="s">
        <v>568</v>
      </c>
      <c r="AI167">
        <v>12</v>
      </c>
      <c r="AJ167" s="29">
        <v>2659.05</v>
      </c>
      <c r="AK167" s="24" t="s">
        <v>189</v>
      </c>
      <c r="AL167" s="24" t="s">
        <v>190</v>
      </c>
      <c r="AM167" s="24" t="s">
        <v>164</v>
      </c>
      <c r="AN167" s="24" t="s">
        <v>191</v>
      </c>
      <c r="AO167" s="24" t="s">
        <v>566</v>
      </c>
    </row>
    <row r="168" spans="5:42" x14ac:dyDescent="0.25">
      <c r="E168" s="24" t="s">
        <v>139</v>
      </c>
      <c r="F168" s="24" t="s">
        <v>218</v>
      </c>
      <c r="G168">
        <v>5</v>
      </c>
      <c r="H168" t="s">
        <v>100</v>
      </c>
      <c r="I168" s="22" t="s">
        <v>220</v>
      </c>
      <c r="J168" s="22">
        <v>1000138801</v>
      </c>
      <c r="K168" t="s">
        <v>101</v>
      </c>
      <c r="L168" t="s">
        <v>221</v>
      </c>
      <c r="M168">
        <v>9</v>
      </c>
      <c r="N168">
        <v>1</v>
      </c>
      <c r="O168">
        <v>1</v>
      </c>
      <c r="P168" t="s">
        <v>103</v>
      </c>
      <c r="Q168" s="29">
        <v>2671.22</v>
      </c>
      <c r="R168">
        <v>2671</v>
      </c>
      <c r="S168">
        <v>20140822</v>
      </c>
      <c r="T168">
        <v>0</v>
      </c>
      <c r="U168">
        <v>0</v>
      </c>
      <c r="V168">
        <v>2671</v>
      </c>
      <c r="W168" t="s">
        <v>104</v>
      </c>
      <c r="X168" t="s">
        <v>105</v>
      </c>
      <c r="AD168">
        <v>161</v>
      </c>
      <c r="AE168" s="24" t="s">
        <v>569</v>
      </c>
      <c r="AF168" s="24" t="s">
        <v>188</v>
      </c>
      <c r="AG168" s="24" t="s">
        <v>570</v>
      </c>
      <c r="AH168" s="24" t="s">
        <v>571</v>
      </c>
      <c r="AI168">
        <v>12</v>
      </c>
      <c r="AJ168" s="29">
        <v>2659.05</v>
      </c>
      <c r="AK168" s="24" t="s">
        <v>189</v>
      </c>
      <c r="AL168" s="24" t="s">
        <v>190</v>
      </c>
      <c r="AM168" s="24" t="s">
        <v>164</v>
      </c>
      <c r="AN168" s="24" t="s">
        <v>191</v>
      </c>
      <c r="AO168" s="24" t="s">
        <v>569</v>
      </c>
    </row>
    <row r="169" spans="5:42" x14ac:dyDescent="0.25">
      <c r="E169" s="24" t="s">
        <v>139</v>
      </c>
      <c r="F169" s="24" t="s">
        <v>218</v>
      </c>
      <c r="G169">
        <v>6</v>
      </c>
      <c r="H169" t="s">
        <v>100</v>
      </c>
      <c r="I169" s="22" t="s">
        <v>220</v>
      </c>
      <c r="J169" s="22">
        <v>1000138901</v>
      </c>
      <c r="K169" t="s">
        <v>101</v>
      </c>
      <c r="L169" t="s">
        <v>222</v>
      </c>
      <c r="M169">
        <v>9</v>
      </c>
      <c r="N169">
        <v>1</v>
      </c>
      <c r="O169">
        <v>1</v>
      </c>
      <c r="P169" t="s">
        <v>103</v>
      </c>
      <c r="Q169" s="29">
        <v>2671.22</v>
      </c>
      <c r="R169">
        <v>2671</v>
      </c>
      <c r="S169">
        <v>20140822</v>
      </c>
      <c r="T169">
        <v>0</v>
      </c>
      <c r="U169">
        <v>0</v>
      </c>
      <c r="V169">
        <v>2671</v>
      </c>
      <c r="W169" t="s">
        <v>104</v>
      </c>
      <c r="X169" t="s">
        <v>105</v>
      </c>
      <c r="AD169">
        <v>162</v>
      </c>
      <c r="AE169" s="24" t="s">
        <v>572</v>
      </c>
      <c r="AF169" s="24" t="s">
        <v>160</v>
      </c>
      <c r="AG169" s="24" t="s">
        <v>160</v>
      </c>
      <c r="AH169" s="24" t="s">
        <v>160</v>
      </c>
      <c r="AI169" t="s">
        <v>160</v>
      </c>
      <c r="AJ169" s="29" t="s">
        <v>160</v>
      </c>
      <c r="AK169" s="24" t="s">
        <v>160</v>
      </c>
      <c r="AL169" s="24" t="s">
        <v>160</v>
      </c>
      <c r="AM169" s="24" t="s">
        <v>160</v>
      </c>
      <c r="AN169" s="24" t="s">
        <v>160</v>
      </c>
      <c r="AO169" s="24" t="s">
        <v>160</v>
      </c>
    </row>
    <row r="170" spans="5:42" x14ac:dyDescent="0.25">
      <c r="E170" s="24" t="s">
        <v>139</v>
      </c>
      <c r="F170" s="24" t="s">
        <v>218</v>
      </c>
      <c r="G170">
        <v>7</v>
      </c>
      <c r="H170" t="s">
        <v>100</v>
      </c>
      <c r="I170" s="22" t="s">
        <v>152</v>
      </c>
      <c r="J170" s="22">
        <v>1071814001</v>
      </c>
      <c r="K170" t="s">
        <v>101</v>
      </c>
      <c r="L170" t="s">
        <v>154</v>
      </c>
      <c r="M170">
        <v>9</v>
      </c>
      <c r="N170">
        <v>40</v>
      </c>
      <c r="O170">
        <v>40</v>
      </c>
      <c r="P170" t="s">
        <v>103</v>
      </c>
      <c r="Q170" s="29">
        <v>2712.81</v>
      </c>
      <c r="R170">
        <v>108512</v>
      </c>
      <c r="S170">
        <v>20150106</v>
      </c>
      <c r="T170">
        <v>0</v>
      </c>
      <c r="U170">
        <v>0</v>
      </c>
      <c r="V170">
        <v>108512</v>
      </c>
      <c r="W170" t="s">
        <v>104</v>
      </c>
      <c r="X170" t="s">
        <v>105</v>
      </c>
      <c r="AD170">
        <v>163</v>
      </c>
      <c r="AE170" s="24" t="s">
        <v>573</v>
      </c>
      <c r="AF170" s="24" t="s">
        <v>160</v>
      </c>
      <c r="AG170" s="24" t="s">
        <v>160</v>
      </c>
      <c r="AH170" s="24" t="s">
        <v>160</v>
      </c>
      <c r="AI170" t="s">
        <v>160</v>
      </c>
      <c r="AJ170" s="29" t="s">
        <v>160</v>
      </c>
      <c r="AK170" s="24" t="s">
        <v>160</v>
      </c>
      <c r="AL170" s="24" t="s">
        <v>160</v>
      </c>
      <c r="AM170" s="24" t="s">
        <v>160</v>
      </c>
      <c r="AN170" s="24" t="s">
        <v>160</v>
      </c>
      <c r="AO170" s="24" t="s">
        <v>160</v>
      </c>
    </row>
    <row r="171" spans="5:42" x14ac:dyDescent="0.25">
      <c r="E171" s="24" t="s">
        <v>139</v>
      </c>
      <c r="F171" s="24" t="s">
        <v>218</v>
      </c>
      <c r="G171">
        <v>8</v>
      </c>
      <c r="H171" t="s">
        <v>100</v>
      </c>
      <c r="I171" s="22" t="s">
        <v>152</v>
      </c>
      <c r="J171" s="22">
        <v>1075617701</v>
      </c>
      <c r="K171" t="s">
        <v>101</v>
      </c>
      <c r="L171" t="s">
        <v>154</v>
      </c>
      <c r="M171">
        <v>9</v>
      </c>
      <c r="N171">
        <v>40</v>
      </c>
      <c r="O171">
        <v>40</v>
      </c>
      <c r="P171" t="s">
        <v>103</v>
      </c>
      <c r="Q171" s="29">
        <v>2712.81</v>
      </c>
      <c r="R171">
        <v>108512</v>
      </c>
      <c r="S171">
        <v>20150115</v>
      </c>
      <c r="T171">
        <v>0</v>
      </c>
      <c r="U171">
        <v>0</v>
      </c>
      <c r="V171">
        <v>108512</v>
      </c>
      <c r="W171" t="s">
        <v>104</v>
      </c>
      <c r="X171" t="s">
        <v>105</v>
      </c>
      <c r="AD171">
        <v>164</v>
      </c>
      <c r="AE171" s="24" t="s">
        <v>574</v>
      </c>
      <c r="AF171" s="24" t="s">
        <v>160</v>
      </c>
      <c r="AG171" s="24" t="s">
        <v>160</v>
      </c>
      <c r="AH171" s="24" t="s">
        <v>160</v>
      </c>
      <c r="AI171" t="s">
        <v>160</v>
      </c>
      <c r="AJ171" s="29" t="s">
        <v>160</v>
      </c>
      <c r="AK171" s="24" t="s">
        <v>160</v>
      </c>
      <c r="AL171" s="24" t="s">
        <v>160</v>
      </c>
      <c r="AM171" s="24" t="s">
        <v>160</v>
      </c>
      <c r="AN171" s="24" t="s">
        <v>160</v>
      </c>
      <c r="AO171" s="24" t="s">
        <v>160</v>
      </c>
    </row>
    <row r="172" spans="5:42" x14ac:dyDescent="0.25">
      <c r="E172" s="24" t="s">
        <v>139</v>
      </c>
      <c r="F172" s="24" t="s">
        <v>218</v>
      </c>
      <c r="G172">
        <v>9</v>
      </c>
      <c r="H172" t="s">
        <v>100</v>
      </c>
      <c r="I172" s="22" t="s">
        <v>117</v>
      </c>
      <c r="J172" s="22">
        <v>1073792101</v>
      </c>
      <c r="K172" t="s">
        <v>101</v>
      </c>
      <c r="L172" t="s">
        <v>118</v>
      </c>
      <c r="M172">
        <v>9</v>
      </c>
      <c r="N172">
        <v>52</v>
      </c>
      <c r="O172">
        <v>52</v>
      </c>
      <c r="P172" t="s">
        <v>103</v>
      </c>
      <c r="Q172" s="29">
        <v>123.24</v>
      </c>
      <c r="R172">
        <v>6408</v>
      </c>
      <c r="S172">
        <v>20150112</v>
      </c>
      <c r="T172">
        <v>0</v>
      </c>
      <c r="U172">
        <v>0</v>
      </c>
      <c r="V172">
        <v>6408</v>
      </c>
      <c r="W172" t="s">
        <v>104</v>
      </c>
      <c r="X172" t="s">
        <v>105</v>
      </c>
      <c r="AD172">
        <v>165</v>
      </c>
      <c r="AE172" s="24" t="s">
        <v>575</v>
      </c>
      <c r="AF172" s="24" t="s">
        <v>160</v>
      </c>
      <c r="AG172" s="24" t="s">
        <v>160</v>
      </c>
      <c r="AH172" s="24" t="s">
        <v>160</v>
      </c>
      <c r="AI172" t="s">
        <v>160</v>
      </c>
      <c r="AJ172" s="29" t="s">
        <v>160</v>
      </c>
      <c r="AK172" s="24" t="s">
        <v>160</v>
      </c>
      <c r="AL172" s="24" t="s">
        <v>160</v>
      </c>
      <c r="AM172" s="24" t="s">
        <v>160</v>
      </c>
      <c r="AN172" s="24" t="s">
        <v>160</v>
      </c>
      <c r="AO172" s="24" t="s">
        <v>160</v>
      </c>
    </row>
    <row r="173" spans="5:42" x14ac:dyDescent="0.25">
      <c r="E173" s="24" t="s">
        <v>139</v>
      </c>
      <c r="F173" s="24" t="s">
        <v>218</v>
      </c>
      <c r="G173">
        <v>10</v>
      </c>
      <c r="H173" t="s">
        <v>100</v>
      </c>
      <c r="I173" s="22" t="s">
        <v>117</v>
      </c>
      <c r="J173" s="22">
        <v>1072266001</v>
      </c>
      <c r="K173" t="s">
        <v>101</v>
      </c>
      <c r="L173" t="s">
        <v>119</v>
      </c>
      <c r="M173">
        <v>9</v>
      </c>
      <c r="N173">
        <v>52</v>
      </c>
      <c r="O173">
        <v>52</v>
      </c>
      <c r="P173" t="s">
        <v>103</v>
      </c>
      <c r="Q173" s="29">
        <v>459.22</v>
      </c>
      <c r="R173">
        <v>23879</v>
      </c>
      <c r="S173">
        <v>20150107</v>
      </c>
      <c r="T173">
        <v>0</v>
      </c>
      <c r="U173">
        <v>0</v>
      </c>
      <c r="V173">
        <v>23879</v>
      </c>
      <c r="W173" t="s">
        <v>104</v>
      </c>
      <c r="X173" t="s">
        <v>105</v>
      </c>
      <c r="AD173">
        <v>166</v>
      </c>
      <c r="AE173" s="24" t="s">
        <v>576</v>
      </c>
      <c r="AF173" s="24" t="s">
        <v>160</v>
      </c>
      <c r="AG173" s="24" t="s">
        <v>160</v>
      </c>
      <c r="AH173" s="24" t="s">
        <v>160</v>
      </c>
      <c r="AI173" t="s">
        <v>160</v>
      </c>
      <c r="AJ173" s="29" t="s">
        <v>160</v>
      </c>
      <c r="AK173" s="24" t="s">
        <v>160</v>
      </c>
      <c r="AL173" s="24" t="s">
        <v>160</v>
      </c>
      <c r="AM173" s="24" t="s">
        <v>160</v>
      </c>
      <c r="AN173" s="24" t="s">
        <v>160</v>
      </c>
      <c r="AO173" s="24" t="s">
        <v>160</v>
      </c>
    </row>
    <row r="174" spans="5:42" x14ac:dyDescent="0.25">
      <c r="E174" s="24" t="s">
        <v>139</v>
      </c>
      <c r="F174" s="24" t="s">
        <v>218</v>
      </c>
      <c r="G174">
        <v>11</v>
      </c>
      <c r="H174" t="s">
        <v>100</v>
      </c>
      <c r="I174" s="22" t="s">
        <v>117</v>
      </c>
      <c r="J174" s="22">
        <v>1075617901</v>
      </c>
      <c r="K174" t="s">
        <v>101</v>
      </c>
      <c r="L174" t="s">
        <v>119</v>
      </c>
      <c r="M174">
        <v>9</v>
      </c>
      <c r="N174">
        <v>52</v>
      </c>
      <c r="O174">
        <v>52</v>
      </c>
      <c r="P174" t="s">
        <v>103</v>
      </c>
      <c r="Q174" s="29">
        <v>459.22</v>
      </c>
      <c r="R174">
        <v>23879</v>
      </c>
      <c r="S174">
        <v>20150115</v>
      </c>
      <c r="T174">
        <v>0</v>
      </c>
      <c r="U174">
        <v>0</v>
      </c>
      <c r="V174">
        <v>23879</v>
      </c>
      <c r="W174" t="s">
        <v>104</v>
      </c>
      <c r="X174" t="s">
        <v>105</v>
      </c>
      <c r="AD174">
        <v>167</v>
      </c>
      <c r="AE174" s="24" t="s">
        <v>577</v>
      </c>
      <c r="AF174" s="24" t="s">
        <v>188</v>
      </c>
      <c r="AG174" s="24" t="s">
        <v>578</v>
      </c>
      <c r="AH174" s="24" t="s">
        <v>579</v>
      </c>
      <c r="AI174">
        <v>40</v>
      </c>
      <c r="AJ174" s="29">
        <v>2712.81</v>
      </c>
      <c r="AK174" s="24" t="s">
        <v>192</v>
      </c>
      <c r="AL174" s="24" t="s">
        <v>193</v>
      </c>
      <c r="AM174" s="24" t="s">
        <v>164</v>
      </c>
      <c r="AN174" s="24" t="s">
        <v>194</v>
      </c>
      <c r="AO174" s="24" t="s">
        <v>577</v>
      </c>
    </row>
    <row r="175" spans="5:42" x14ac:dyDescent="0.25">
      <c r="E175" s="24" t="s">
        <v>139</v>
      </c>
      <c r="F175" s="24" t="s">
        <v>218</v>
      </c>
      <c r="G175">
        <v>12</v>
      </c>
      <c r="H175" t="s">
        <v>100</v>
      </c>
      <c r="I175" s="22" t="s">
        <v>223</v>
      </c>
      <c r="J175" s="22">
        <v>1075617801</v>
      </c>
      <c r="K175" t="s">
        <v>101</v>
      </c>
      <c r="L175" t="s">
        <v>159</v>
      </c>
      <c r="M175">
        <v>9</v>
      </c>
      <c r="N175">
        <v>1</v>
      </c>
      <c r="O175">
        <v>1</v>
      </c>
      <c r="P175" t="s">
        <v>103</v>
      </c>
      <c r="Q175" s="29">
        <v>613.11</v>
      </c>
      <c r="R175">
        <v>613</v>
      </c>
      <c r="S175">
        <v>20150115</v>
      </c>
      <c r="T175">
        <v>0</v>
      </c>
      <c r="U175">
        <v>0</v>
      </c>
      <c r="V175">
        <v>613</v>
      </c>
      <c r="W175" t="s">
        <v>104</v>
      </c>
      <c r="X175" t="s">
        <v>105</v>
      </c>
      <c r="AD175">
        <v>168</v>
      </c>
      <c r="AE175" s="24" t="s">
        <v>580</v>
      </c>
      <c r="AF175" s="24" t="s">
        <v>160</v>
      </c>
      <c r="AG175" s="24" t="s">
        <v>160</v>
      </c>
      <c r="AH175" s="24" t="s">
        <v>160</v>
      </c>
      <c r="AI175" t="s">
        <v>160</v>
      </c>
      <c r="AJ175" s="29" t="s">
        <v>160</v>
      </c>
      <c r="AK175" s="24" t="s">
        <v>160</v>
      </c>
      <c r="AL175" s="24" t="s">
        <v>160</v>
      </c>
      <c r="AM175" s="24" t="s">
        <v>160</v>
      </c>
      <c r="AN175" s="24" t="s">
        <v>160</v>
      </c>
      <c r="AO175" s="24" t="s">
        <v>160</v>
      </c>
    </row>
    <row r="176" spans="5:42" x14ac:dyDescent="0.25">
      <c r="E176" s="24" t="s">
        <v>139</v>
      </c>
      <c r="F176" s="24" t="s">
        <v>218</v>
      </c>
      <c r="G176">
        <v>13</v>
      </c>
      <c r="H176" t="s">
        <v>100</v>
      </c>
      <c r="I176" s="22" t="s">
        <v>223</v>
      </c>
      <c r="J176" s="22">
        <v>1076138501</v>
      </c>
      <c r="K176" t="s">
        <v>101</v>
      </c>
      <c r="L176" t="s">
        <v>159</v>
      </c>
      <c r="M176">
        <v>9</v>
      </c>
      <c r="N176">
        <v>4</v>
      </c>
      <c r="O176">
        <v>4</v>
      </c>
      <c r="P176" t="s">
        <v>103</v>
      </c>
      <c r="Q176" s="29">
        <v>613.11</v>
      </c>
      <c r="R176">
        <v>2452</v>
      </c>
      <c r="S176">
        <v>20150119</v>
      </c>
      <c r="T176">
        <v>0</v>
      </c>
      <c r="U176">
        <v>0</v>
      </c>
      <c r="V176">
        <v>2452</v>
      </c>
      <c r="W176" t="s">
        <v>104</v>
      </c>
      <c r="X176" t="s">
        <v>105</v>
      </c>
      <c r="AD176">
        <v>169</v>
      </c>
      <c r="AE176" s="24" t="s">
        <v>581</v>
      </c>
      <c r="AF176" s="24" t="s">
        <v>160</v>
      </c>
      <c r="AG176" s="24" t="s">
        <v>160</v>
      </c>
      <c r="AH176" s="24" t="s">
        <v>160</v>
      </c>
      <c r="AI176" t="s">
        <v>160</v>
      </c>
      <c r="AJ176" s="29" t="s">
        <v>160</v>
      </c>
      <c r="AK176" s="24" t="s">
        <v>160</v>
      </c>
      <c r="AL176" s="24" t="s">
        <v>160</v>
      </c>
      <c r="AM176" s="24" t="s">
        <v>160</v>
      </c>
      <c r="AN176" s="24" t="s">
        <v>160</v>
      </c>
      <c r="AO176" s="24" t="s">
        <v>160</v>
      </c>
    </row>
    <row r="177" spans="5:41" x14ac:dyDescent="0.25">
      <c r="E177" s="24" t="s">
        <v>139</v>
      </c>
      <c r="F177" s="24" t="s">
        <v>218</v>
      </c>
      <c r="G177">
        <v>14</v>
      </c>
      <c r="H177" t="s">
        <v>100</v>
      </c>
      <c r="I177" s="22" t="s">
        <v>220</v>
      </c>
      <c r="J177" s="22">
        <v>1067227301</v>
      </c>
      <c r="K177" t="s">
        <v>101</v>
      </c>
      <c r="L177" t="s">
        <v>224</v>
      </c>
      <c r="M177">
        <v>9</v>
      </c>
      <c r="N177">
        <v>3</v>
      </c>
      <c r="O177">
        <v>3</v>
      </c>
      <c r="P177" t="s">
        <v>103</v>
      </c>
      <c r="Q177" s="29">
        <v>459.22</v>
      </c>
      <c r="R177">
        <v>1378</v>
      </c>
      <c r="S177">
        <v>20150112</v>
      </c>
      <c r="T177">
        <v>0</v>
      </c>
      <c r="U177">
        <v>0</v>
      </c>
      <c r="V177">
        <v>1378</v>
      </c>
      <c r="W177" t="s">
        <v>104</v>
      </c>
      <c r="X177" t="s">
        <v>105</v>
      </c>
      <c r="AD177">
        <v>170</v>
      </c>
      <c r="AE177" s="24" t="s">
        <v>582</v>
      </c>
      <c r="AF177" s="24" t="s">
        <v>160</v>
      </c>
      <c r="AG177" s="24" t="s">
        <v>160</v>
      </c>
      <c r="AH177" s="24" t="s">
        <v>160</v>
      </c>
      <c r="AI177" t="s">
        <v>160</v>
      </c>
      <c r="AJ177" s="29" t="s">
        <v>160</v>
      </c>
      <c r="AK177" s="24" t="s">
        <v>160</v>
      </c>
      <c r="AL177" s="24" t="s">
        <v>160</v>
      </c>
      <c r="AM177" s="24" t="s">
        <v>160</v>
      </c>
      <c r="AN177" s="24" t="s">
        <v>160</v>
      </c>
      <c r="AO177" s="24" t="s">
        <v>160</v>
      </c>
    </row>
    <row r="178" spans="5:41" x14ac:dyDescent="0.25">
      <c r="E178" s="24" t="s">
        <v>139</v>
      </c>
      <c r="F178" s="24" t="s">
        <v>218</v>
      </c>
      <c r="G178">
        <v>15</v>
      </c>
      <c r="H178" t="s">
        <v>100</v>
      </c>
      <c r="I178" s="22" t="s">
        <v>220</v>
      </c>
      <c r="J178" s="22">
        <v>1034396501</v>
      </c>
      <c r="K178" t="s">
        <v>101</v>
      </c>
      <c r="L178" t="s">
        <v>224</v>
      </c>
      <c r="M178">
        <v>9</v>
      </c>
      <c r="N178">
        <v>1</v>
      </c>
      <c r="O178">
        <v>1</v>
      </c>
      <c r="P178" t="s">
        <v>103</v>
      </c>
      <c r="Q178" s="29">
        <v>459.22</v>
      </c>
      <c r="R178">
        <v>459</v>
      </c>
      <c r="S178">
        <v>20141016</v>
      </c>
      <c r="T178">
        <v>0</v>
      </c>
      <c r="U178">
        <v>0</v>
      </c>
      <c r="V178">
        <v>459</v>
      </c>
      <c r="W178" t="s">
        <v>104</v>
      </c>
      <c r="X178" t="s">
        <v>105</v>
      </c>
      <c r="AD178">
        <v>171</v>
      </c>
      <c r="AE178" s="24" t="s">
        <v>583</v>
      </c>
      <c r="AF178" s="24" t="s">
        <v>160</v>
      </c>
      <c r="AG178" s="24" t="s">
        <v>160</v>
      </c>
      <c r="AH178" s="24" t="s">
        <v>160</v>
      </c>
      <c r="AI178" t="s">
        <v>160</v>
      </c>
      <c r="AJ178" s="29" t="s">
        <v>160</v>
      </c>
      <c r="AK178" s="24" t="s">
        <v>160</v>
      </c>
      <c r="AL178" s="24" t="s">
        <v>160</v>
      </c>
      <c r="AM178" s="24" t="s">
        <v>160</v>
      </c>
      <c r="AN178" s="24" t="s">
        <v>160</v>
      </c>
      <c r="AO178" s="24" t="s">
        <v>160</v>
      </c>
    </row>
    <row r="179" spans="5:41" x14ac:dyDescent="0.25">
      <c r="E179" s="24" t="s">
        <v>139</v>
      </c>
      <c r="F179" s="24" t="s">
        <v>218</v>
      </c>
      <c r="G179">
        <v>16</v>
      </c>
      <c r="H179" t="s">
        <v>100</v>
      </c>
      <c r="I179" s="22" t="s">
        <v>220</v>
      </c>
      <c r="J179" s="22">
        <v>1000167701</v>
      </c>
      <c r="K179" t="s">
        <v>101</v>
      </c>
      <c r="L179" t="s">
        <v>224</v>
      </c>
      <c r="M179">
        <v>9</v>
      </c>
      <c r="N179">
        <v>4</v>
      </c>
      <c r="O179">
        <v>4</v>
      </c>
      <c r="P179" t="s">
        <v>103</v>
      </c>
      <c r="Q179" s="29">
        <v>459.22</v>
      </c>
      <c r="R179">
        <v>1837</v>
      </c>
      <c r="S179">
        <v>20140809</v>
      </c>
      <c r="T179">
        <v>0</v>
      </c>
      <c r="U179">
        <v>0</v>
      </c>
      <c r="V179">
        <v>1837</v>
      </c>
      <c r="W179" t="s">
        <v>104</v>
      </c>
      <c r="X179" t="s">
        <v>105</v>
      </c>
      <c r="AD179">
        <v>172</v>
      </c>
      <c r="AE179" s="24" t="s">
        <v>584</v>
      </c>
      <c r="AF179" s="24" t="s">
        <v>160</v>
      </c>
      <c r="AG179" s="24" t="s">
        <v>160</v>
      </c>
      <c r="AH179" s="24" t="s">
        <v>160</v>
      </c>
      <c r="AI179" t="s">
        <v>160</v>
      </c>
      <c r="AJ179" s="29" t="s">
        <v>160</v>
      </c>
      <c r="AK179" s="24" t="s">
        <v>160</v>
      </c>
      <c r="AL179" s="24" t="s">
        <v>160</v>
      </c>
      <c r="AM179" s="24" t="s">
        <v>160</v>
      </c>
      <c r="AN179" s="24" t="s">
        <v>160</v>
      </c>
      <c r="AO179" s="24" t="s">
        <v>160</v>
      </c>
    </row>
    <row r="180" spans="5:41" x14ac:dyDescent="0.25">
      <c r="E180" s="24" t="s">
        <v>139</v>
      </c>
      <c r="F180" s="24" t="s">
        <v>218</v>
      </c>
      <c r="G180">
        <v>17</v>
      </c>
      <c r="H180" t="s">
        <v>100</v>
      </c>
      <c r="I180" s="22" t="s">
        <v>225</v>
      </c>
      <c r="J180" s="22">
        <v>1071326001</v>
      </c>
      <c r="K180" t="s">
        <v>101</v>
      </c>
      <c r="L180" t="s">
        <v>120</v>
      </c>
      <c r="M180">
        <v>9</v>
      </c>
      <c r="N180">
        <v>40</v>
      </c>
      <c r="O180">
        <v>40</v>
      </c>
      <c r="P180" t="s">
        <v>103</v>
      </c>
      <c r="Q180" s="29">
        <v>232.87</v>
      </c>
      <c r="R180">
        <v>9315</v>
      </c>
      <c r="S180">
        <v>20150108</v>
      </c>
      <c r="T180">
        <v>0</v>
      </c>
      <c r="U180">
        <v>0</v>
      </c>
      <c r="V180">
        <v>9315</v>
      </c>
      <c r="W180" t="s">
        <v>104</v>
      </c>
      <c r="X180" t="s">
        <v>105</v>
      </c>
      <c r="AD180">
        <v>173</v>
      </c>
      <c r="AE180" s="24" t="s">
        <v>585</v>
      </c>
      <c r="AF180" s="24" t="s">
        <v>160</v>
      </c>
      <c r="AG180" s="24" t="s">
        <v>160</v>
      </c>
      <c r="AH180" s="24" t="s">
        <v>160</v>
      </c>
      <c r="AI180" t="s">
        <v>160</v>
      </c>
      <c r="AJ180" s="29" t="s">
        <v>160</v>
      </c>
      <c r="AK180" s="24" t="s">
        <v>160</v>
      </c>
      <c r="AL180" s="24" t="s">
        <v>160</v>
      </c>
      <c r="AM180" s="24" t="s">
        <v>160</v>
      </c>
      <c r="AN180" s="24" t="s">
        <v>160</v>
      </c>
      <c r="AO180" s="24" t="s">
        <v>160</v>
      </c>
    </row>
    <row r="181" spans="5:41" x14ac:dyDescent="0.25">
      <c r="E181" s="24" t="s">
        <v>139</v>
      </c>
      <c r="F181" s="24" t="s">
        <v>218</v>
      </c>
      <c r="G181">
        <v>18</v>
      </c>
      <c r="H181" t="s">
        <v>100</v>
      </c>
      <c r="I181" s="22" t="s">
        <v>225</v>
      </c>
      <c r="J181" s="22">
        <v>1071326101</v>
      </c>
      <c r="K181" t="s">
        <v>101</v>
      </c>
      <c r="L181" t="s">
        <v>120</v>
      </c>
      <c r="M181">
        <v>9</v>
      </c>
      <c r="N181">
        <v>40</v>
      </c>
      <c r="O181">
        <v>40</v>
      </c>
      <c r="P181" t="s">
        <v>103</v>
      </c>
      <c r="Q181" s="29">
        <v>232.87</v>
      </c>
      <c r="R181">
        <v>9315</v>
      </c>
      <c r="S181">
        <v>20150115</v>
      </c>
      <c r="T181">
        <v>0</v>
      </c>
      <c r="U181">
        <v>0</v>
      </c>
      <c r="V181">
        <v>9315</v>
      </c>
      <c r="W181" t="s">
        <v>104</v>
      </c>
      <c r="X181" t="s">
        <v>105</v>
      </c>
      <c r="AD181">
        <v>174</v>
      </c>
      <c r="AE181" s="24" t="s">
        <v>586</v>
      </c>
      <c r="AF181" s="24" t="s">
        <v>160</v>
      </c>
      <c r="AG181" s="24" t="s">
        <v>160</v>
      </c>
      <c r="AH181" s="24" t="s">
        <v>160</v>
      </c>
      <c r="AI181" t="s">
        <v>160</v>
      </c>
      <c r="AJ181" s="29" t="s">
        <v>160</v>
      </c>
      <c r="AK181" s="24" t="s">
        <v>160</v>
      </c>
      <c r="AL181" s="24" t="s">
        <v>160</v>
      </c>
      <c r="AM181" s="24" t="s">
        <v>160</v>
      </c>
      <c r="AN181" s="24" t="s">
        <v>160</v>
      </c>
      <c r="AO181" s="24" t="s">
        <v>160</v>
      </c>
    </row>
    <row r="182" spans="5:41" x14ac:dyDescent="0.25">
      <c r="E182" s="24" t="s">
        <v>139</v>
      </c>
      <c r="F182" s="24" t="s">
        <v>218</v>
      </c>
      <c r="G182">
        <v>19</v>
      </c>
      <c r="H182" t="s">
        <v>100</v>
      </c>
      <c r="I182" s="22" t="s">
        <v>225</v>
      </c>
      <c r="J182" s="22">
        <v>1071326201</v>
      </c>
      <c r="K182" t="s">
        <v>101</v>
      </c>
      <c r="L182" t="s">
        <v>121</v>
      </c>
      <c r="M182">
        <v>9</v>
      </c>
      <c r="N182">
        <v>40</v>
      </c>
      <c r="O182">
        <v>40</v>
      </c>
      <c r="P182" t="s">
        <v>103</v>
      </c>
      <c r="Q182" s="29">
        <v>53.63</v>
      </c>
      <c r="R182">
        <v>2145</v>
      </c>
      <c r="S182">
        <v>20150108</v>
      </c>
      <c r="T182">
        <v>0</v>
      </c>
      <c r="U182">
        <v>0</v>
      </c>
      <c r="V182">
        <v>2145</v>
      </c>
      <c r="W182" t="s">
        <v>104</v>
      </c>
      <c r="X182" t="s">
        <v>105</v>
      </c>
      <c r="AD182">
        <v>175</v>
      </c>
      <c r="AE182" s="24" t="s">
        <v>587</v>
      </c>
      <c r="AF182" s="24" t="s">
        <v>588</v>
      </c>
      <c r="AG182" s="24" t="s">
        <v>589</v>
      </c>
      <c r="AH182" s="24" t="s">
        <v>590</v>
      </c>
      <c r="AI182">
        <v>1</v>
      </c>
      <c r="AJ182" s="29">
        <v>1114.8499999999999</v>
      </c>
      <c r="AK182" s="24" t="s">
        <v>591</v>
      </c>
      <c r="AL182" s="24" t="s">
        <v>592</v>
      </c>
      <c r="AM182" s="24" t="s">
        <v>265</v>
      </c>
      <c r="AN182" s="24" t="s">
        <v>593</v>
      </c>
      <c r="AO182" s="24" t="s">
        <v>587</v>
      </c>
    </row>
    <row r="183" spans="5:41" x14ac:dyDescent="0.25">
      <c r="E183" s="24" t="s">
        <v>139</v>
      </c>
      <c r="F183" s="24" t="s">
        <v>218</v>
      </c>
      <c r="G183">
        <v>20</v>
      </c>
      <c r="H183" t="s">
        <v>100</v>
      </c>
      <c r="I183" s="22" t="s">
        <v>225</v>
      </c>
      <c r="J183" s="22">
        <v>1071326301</v>
      </c>
      <c r="K183" t="s">
        <v>101</v>
      </c>
      <c r="L183" t="s">
        <v>121</v>
      </c>
      <c r="M183">
        <v>9</v>
      </c>
      <c r="N183">
        <v>40</v>
      </c>
      <c r="O183">
        <v>40</v>
      </c>
      <c r="P183" t="s">
        <v>103</v>
      </c>
      <c r="Q183" s="29">
        <v>53.63</v>
      </c>
      <c r="R183">
        <v>2145</v>
      </c>
      <c r="S183">
        <v>20150115</v>
      </c>
      <c r="T183">
        <v>0</v>
      </c>
      <c r="U183">
        <v>0</v>
      </c>
      <c r="V183">
        <v>2145</v>
      </c>
      <c r="W183" t="s">
        <v>104</v>
      </c>
      <c r="X183" t="s">
        <v>105</v>
      </c>
      <c r="AD183">
        <v>176</v>
      </c>
      <c r="AE183" s="24" t="s">
        <v>594</v>
      </c>
      <c r="AF183" s="24" t="s">
        <v>160</v>
      </c>
      <c r="AG183" s="24" t="s">
        <v>160</v>
      </c>
      <c r="AH183" s="24" t="s">
        <v>160</v>
      </c>
      <c r="AI183" t="s">
        <v>160</v>
      </c>
      <c r="AJ183" s="29" t="s">
        <v>160</v>
      </c>
      <c r="AK183" s="24" t="s">
        <v>160</v>
      </c>
      <c r="AL183" s="24" t="s">
        <v>160</v>
      </c>
      <c r="AM183" s="24" t="s">
        <v>160</v>
      </c>
      <c r="AN183" s="24" t="s">
        <v>160</v>
      </c>
      <c r="AO183" s="24" t="s">
        <v>160</v>
      </c>
    </row>
    <row r="184" spans="5:41" x14ac:dyDescent="0.25">
      <c r="E184" s="24" t="s">
        <v>139</v>
      </c>
      <c r="F184" s="24" t="s">
        <v>218</v>
      </c>
      <c r="G184">
        <v>21</v>
      </c>
      <c r="H184" t="s">
        <v>100</v>
      </c>
      <c r="I184" s="22" t="s">
        <v>226</v>
      </c>
      <c r="J184" s="22">
        <v>1072504101</v>
      </c>
      <c r="K184" t="s">
        <v>101</v>
      </c>
      <c r="L184" t="s">
        <v>227</v>
      </c>
      <c r="M184">
        <v>9</v>
      </c>
      <c r="N184">
        <v>3</v>
      </c>
      <c r="O184">
        <v>3</v>
      </c>
      <c r="P184" t="s">
        <v>103</v>
      </c>
      <c r="Q184" s="29">
        <v>143.46</v>
      </c>
      <c r="R184">
        <v>430</v>
      </c>
      <c r="S184">
        <v>20150112</v>
      </c>
      <c r="T184">
        <v>0</v>
      </c>
      <c r="U184">
        <v>0</v>
      </c>
      <c r="V184">
        <v>430</v>
      </c>
      <c r="W184" t="s">
        <v>104</v>
      </c>
      <c r="X184" t="s">
        <v>105</v>
      </c>
      <c r="AD184">
        <v>177</v>
      </c>
      <c r="AE184" s="24" t="s">
        <v>595</v>
      </c>
      <c r="AF184" s="24" t="s">
        <v>160</v>
      </c>
      <c r="AG184" s="24" t="s">
        <v>160</v>
      </c>
      <c r="AH184" s="24" t="s">
        <v>160</v>
      </c>
      <c r="AI184" t="s">
        <v>160</v>
      </c>
      <c r="AJ184" s="29" t="s">
        <v>160</v>
      </c>
      <c r="AK184" s="24" t="s">
        <v>160</v>
      </c>
      <c r="AL184" s="24" t="s">
        <v>160</v>
      </c>
      <c r="AM184" s="24" t="s">
        <v>160</v>
      </c>
      <c r="AN184" s="24" t="s">
        <v>160</v>
      </c>
      <c r="AO184" s="24" t="s">
        <v>160</v>
      </c>
    </row>
    <row r="185" spans="5:41" x14ac:dyDescent="0.25">
      <c r="E185" s="24" t="s">
        <v>139</v>
      </c>
      <c r="F185" s="24" t="s">
        <v>218</v>
      </c>
      <c r="G185">
        <v>22</v>
      </c>
      <c r="H185" t="s">
        <v>100</v>
      </c>
      <c r="I185" s="22" t="s">
        <v>226</v>
      </c>
      <c r="J185" s="22">
        <v>1072504201</v>
      </c>
      <c r="K185" t="s">
        <v>101</v>
      </c>
      <c r="L185" t="s">
        <v>228</v>
      </c>
      <c r="M185">
        <v>9</v>
      </c>
      <c r="N185">
        <v>3</v>
      </c>
      <c r="O185">
        <v>3</v>
      </c>
      <c r="P185" t="s">
        <v>103</v>
      </c>
      <c r="Q185" s="29">
        <v>351.31</v>
      </c>
      <c r="R185">
        <v>1054</v>
      </c>
      <c r="S185">
        <v>20150112</v>
      </c>
      <c r="T185">
        <v>0</v>
      </c>
      <c r="U185">
        <v>0</v>
      </c>
      <c r="V185">
        <v>1054</v>
      </c>
      <c r="W185" t="s">
        <v>104</v>
      </c>
      <c r="X185" t="s">
        <v>105</v>
      </c>
      <c r="AD185">
        <v>178</v>
      </c>
      <c r="AE185" s="24" t="s">
        <v>596</v>
      </c>
      <c r="AF185" s="24" t="s">
        <v>160</v>
      </c>
      <c r="AG185" s="24" t="s">
        <v>160</v>
      </c>
      <c r="AH185" s="24" t="s">
        <v>160</v>
      </c>
      <c r="AI185" t="s">
        <v>160</v>
      </c>
      <c r="AJ185" s="29" t="s">
        <v>160</v>
      </c>
      <c r="AK185" s="24" t="s">
        <v>160</v>
      </c>
      <c r="AL185" s="24" t="s">
        <v>160</v>
      </c>
      <c r="AM185" s="24" t="s">
        <v>160</v>
      </c>
      <c r="AN185" s="24" t="s">
        <v>160</v>
      </c>
      <c r="AO185" s="24" t="s">
        <v>160</v>
      </c>
    </row>
    <row r="186" spans="5:41" x14ac:dyDescent="0.25">
      <c r="E186" s="24" t="s">
        <v>139</v>
      </c>
      <c r="F186" s="24" t="s">
        <v>229</v>
      </c>
      <c r="G186">
        <v>1</v>
      </c>
      <c r="H186" t="s">
        <v>100</v>
      </c>
      <c r="I186" s="22" t="s">
        <v>112</v>
      </c>
      <c r="J186" s="22">
        <v>1072759701</v>
      </c>
      <c r="K186" t="s">
        <v>101</v>
      </c>
      <c r="L186" t="s">
        <v>122</v>
      </c>
      <c r="M186">
        <v>9</v>
      </c>
      <c r="N186">
        <v>100</v>
      </c>
      <c r="O186">
        <v>100</v>
      </c>
      <c r="P186" t="s">
        <v>103</v>
      </c>
      <c r="Q186" s="29">
        <v>18.739999999999998</v>
      </c>
      <c r="R186">
        <v>1874</v>
      </c>
      <c r="S186">
        <v>20150108</v>
      </c>
      <c r="T186">
        <v>0</v>
      </c>
      <c r="U186">
        <v>0</v>
      </c>
      <c r="V186">
        <v>1874</v>
      </c>
      <c r="W186" t="s">
        <v>104</v>
      </c>
      <c r="X186" t="s">
        <v>105</v>
      </c>
      <c r="Y186">
        <v>3</v>
      </c>
      <c r="Z186">
        <v>9370</v>
      </c>
      <c r="AA186">
        <v>0</v>
      </c>
      <c r="AB186">
        <v>0</v>
      </c>
      <c r="AC186">
        <v>9370</v>
      </c>
      <c r="AD186">
        <v>179</v>
      </c>
      <c r="AE186" s="24" t="s">
        <v>597</v>
      </c>
      <c r="AF186" s="24" t="s">
        <v>160</v>
      </c>
      <c r="AG186" s="24" t="s">
        <v>160</v>
      </c>
      <c r="AH186" s="24" t="s">
        <v>160</v>
      </c>
      <c r="AI186" t="s">
        <v>160</v>
      </c>
      <c r="AJ186" s="29" t="s">
        <v>160</v>
      </c>
      <c r="AK186" s="24" t="s">
        <v>160</v>
      </c>
      <c r="AL186" s="24" t="s">
        <v>160</v>
      </c>
      <c r="AM186" s="24" t="s">
        <v>160</v>
      </c>
      <c r="AN186" s="24" t="s">
        <v>160</v>
      </c>
      <c r="AO186" s="24" t="s">
        <v>160</v>
      </c>
    </row>
    <row r="187" spans="5:41" x14ac:dyDescent="0.25">
      <c r="E187" s="24" t="s">
        <v>139</v>
      </c>
      <c r="F187" s="24" t="s">
        <v>229</v>
      </c>
      <c r="G187">
        <v>2</v>
      </c>
      <c r="H187" t="s">
        <v>100</v>
      </c>
      <c r="I187" s="22" t="s">
        <v>112</v>
      </c>
      <c r="J187" s="22">
        <v>1075617601</v>
      </c>
      <c r="K187" t="s">
        <v>101</v>
      </c>
      <c r="L187" t="s">
        <v>122</v>
      </c>
      <c r="M187">
        <v>9</v>
      </c>
      <c r="N187">
        <v>100</v>
      </c>
      <c r="O187">
        <v>100</v>
      </c>
      <c r="P187" t="s">
        <v>103</v>
      </c>
      <c r="Q187" s="29">
        <v>18.739999999999998</v>
      </c>
      <c r="R187">
        <v>1874</v>
      </c>
      <c r="S187">
        <v>20150115</v>
      </c>
      <c r="T187">
        <v>0</v>
      </c>
      <c r="U187">
        <v>0</v>
      </c>
      <c r="V187">
        <v>1874</v>
      </c>
      <c r="W187" t="s">
        <v>104</v>
      </c>
      <c r="X187" t="s">
        <v>105</v>
      </c>
      <c r="AD187">
        <v>180</v>
      </c>
      <c r="AE187" s="24" t="s">
        <v>598</v>
      </c>
      <c r="AF187" s="24" t="s">
        <v>160</v>
      </c>
      <c r="AG187" s="24" t="s">
        <v>160</v>
      </c>
      <c r="AH187" s="24" t="s">
        <v>160</v>
      </c>
      <c r="AI187" t="s">
        <v>160</v>
      </c>
      <c r="AJ187" s="29" t="s">
        <v>160</v>
      </c>
      <c r="AK187" s="24" t="s">
        <v>160</v>
      </c>
      <c r="AL187" s="24" t="s">
        <v>160</v>
      </c>
      <c r="AM187" s="24" t="s">
        <v>160</v>
      </c>
      <c r="AN187" s="24" t="s">
        <v>160</v>
      </c>
      <c r="AO187" s="24" t="s">
        <v>160</v>
      </c>
    </row>
    <row r="188" spans="5:41" x14ac:dyDescent="0.25">
      <c r="E188" s="24" t="s">
        <v>139</v>
      </c>
      <c r="F188" s="24" t="s">
        <v>229</v>
      </c>
      <c r="G188">
        <v>3</v>
      </c>
      <c r="H188" t="s">
        <v>100</v>
      </c>
      <c r="I188" s="22" t="s">
        <v>112</v>
      </c>
      <c r="J188" s="22">
        <v>1077403901</v>
      </c>
      <c r="K188" t="s">
        <v>101</v>
      </c>
      <c r="L188" t="s">
        <v>122</v>
      </c>
      <c r="M188">
        <v>9</v>
      </c>
      <c r="N188">
        <v>100</v>
      </c>
      <c r="O188">
        <v>100</v>
      </c>
      <c r="P188" t="s">
        <v>103</v>
      </c>
      <c r="Q188" s="29">
        <v>18.739999999999998</v>
      </c>
      <c r="R188">
        <v>1874</v>
      </c>
      <c r="S188">
        <v>20150120</v>
      </c>
      <c r="T188">
        <v>0</v>
      </c>
      <c r="U188">
        <v>0</v>
      </c>
      <c r="V188">
        <v>1874</v>
      </c>
      <c r="W188" t="s">
        <v>104</v>
      </c>
      <c r="X188" t="s">
        <v>105</v>
      </c>
      <c r="AD188">
        <v>181</v>
      </c>
      <c r="AE188" s="24" t="s">
        <v>599</v>
      </c>
      <c r="AF188" s="24" t="s">
        <v>160</v>
      </c>
      <c r="AG188" s="24" t="s">
        <v>160</v>
      </c>
      <c r="AH188" s="24" t="s">
        <v>160</v>
      </c>
      <c r="AI188" t="s">
        <v>160</v>
      </c>
      <c r="AJ188" s="29" t="s">
        <v>160</v>
      </c>
      <c r="AK188" s="24" t="s">
        <v>160</v>
      </c>
      <c r="AL188" s="24" t="s">
        <v>160</v>
      </c>
      <c r="AM188" s="24" t="s">
        <v>160</v>
      </c>
      <c r="AN188" s="24" t="s">
        <v>160</v>
      </c>
      <c r="AO188" s="24" t="s">
        <v>160</v>
      </c>
    </row>
    <row r="189" spans="5:41" x14ac:dyDescent="0.25">
      <c r="E189" s="24" t="s">
        <v>139</v>
      </c>
      <c r="F189" s="24" t="s">
        <v>229</v>
      </c>
      <c r="G189">
        <v>4</v>
      </c>
      <c r="H189" t="s">
        <v>100</v>
      </c>
      <c r="I189" s="22" t="s">
        <v>112</v>
      </c>
      <c r="J189" s="22">
        <v>1072759801</v>
      </c>
      <c r="K189" t="s">
        <v>101</v>
      </c>
      <c r="L189" t="s">
        <v>122</v>
      </c>
      <c r="M189">
        <v>9</v>
      </c>
      <c r="N189">
        <v>100</v>
      </c>
      <c r="O189">
        <v>100</v>
      </c>
      <c r="P189" t="s">
        <v>103</v>
      </c>
      <c r="Q189" s="29">
        <v>18.739999999999998</v>
      </c>
      <c r="R189">
        <v>1874</v>
      </c>
      <c r="S189">
        <v>20150108</v>
      </c>
      <c r="T189">
        <v>0</v>
      </c>
      <c r="U189">
        <v>0</v>
      </c>
      <c r="V189">
        <v>1874</v>
      </c>
      <c r="W189" t="s">
        <v>104</v>
      </c>
      <c r="X189" t="s">
        <v>105</v>
      </c>
      <c r="AD189">
        <v>182</v>
      </c>
      <c r="AE189" s="24" t="s">
        <v>600</v>
      </c>
      <c r="AF189" s="24" t="s">
        <v>160</v>
      </c>
      <c r="AG189" s="24" t="s">
        <v>160</v>
      </c>
      <c r="AH189" s="24" t="s">
        <v>160</v>
      </c>
      <c r="AI189" t="s">
        <v>160</v>
      </c>
      <c r="AJ189" s="29" t="s">
        <v>160</v>
      </c>
      <c r="AK189" s="24" t="s">
        <v>160</v>
      </c>
      <c r="AL189" s="24" t="s">
        <v>160</v>
      </c>
      <c r="AM189" s="24" t="s">
        <v>160</v>
      </c>
      <c r="AN189" s="24" t="s">
        <v>160</v>
      </c>
      <c r="AO189" s="24" t="s">
        <v>160</v>
      </c>
    </row>
    <row r="190" spans="5:41" x14ac:dyDescent="0.25">
      <c r="E190" s="24" t="s">
        <v>139</v>
      </c>
      <c r="F190" s="24" t="s">
        <v>229</v>
      </c>
      <c r="G190">
        <v>5</v>
      </c>
      <c r="H190" t="s">
        <v>100</v>
      </c>
      <c r="I190" s="22" t="s">
        <v>112</v>
      </c>
      <c r="J190" s="22">
        <v>1075617001</v>
      </c>
      <c r="K190" t="s">
        <v>101</v>
      </c>
      <c r="L190" t="s">
        <v>122</v>
      </c>
      <c r="M190">
        <v>9</v>
      </c>
      <c r="N190">
        <v>100</v>
      </c>
      <c r="O190">
        <v>100</v>
      </c>
      <c r="P190" t="s">
        <v>103</v>
      </c>
      <c r="Q190" s="29">
        <v>18.739999999999998</v>
      </c>
      <c r="R190">
        <v>1874</v>
      </c>
      <c r="S190">
        <v>20150115</v>
      </c>
      <c r="T190">
        <v>0</v>
      </c>
      <c r="U190">
        <v>0</v>
      </c>
      <c r="V190">
        <v>1874</v>
      </c>
      <c r="W190" t="s">
        <v>104</v>
      </c>
      <c r="X190" t="s">
        <v>105</v>
      </c>
      <c r="AD190">
        <v>183</v>
      </c>
      <c r="AE190" s="24" t="s">
        <v>601</v>
      </c>
      <c r="AF190" s="24" t="s">
        <v>161</v>
      </c>
      <c r="AG190" s="24" t="s">
        <v>602</v>
      </c>
      <c r="AH190" s="24" t="s">
        <v>603</v>
      </c>
      <c r="AI190">
        <v>100</v>
      </c>
      <c r="AJ190" s="29">
        <v>18.739999999999998</v>
      </c>
      <c r="AK190" s="24" t="s">
        <v>195</v>
      </c>
      <c r="AL190" s="24" t="s">
        <v>196</v>
      </c>
      <c r="AM190" s="24" t="s">
        <v>164</v>
      </c>
      <c r="AN190" s="24" t="s">
        <v>197</v>
      </c>
      <c r="AO190" s="24" t="s">
        <v>601</v>
      </c>
    </row>
    <row r="191" spans="5:41" x14ac:dyDescent="0.25">
      <c r="E191" s="24" t="s">
        <v>139</v>
      </c>
      <c r="F191" s="24" t="s">
        <v>230</v>
      </c>
      <c r="G191">
        <v>1</v>
      </c>
      <c r="H191" t="s">
        <v>100</v>
      </c>
      <c r="I191" s="22">
        <v>412027</v>
      </c>
      <c r="J191" s="22" t="s">
        <v>123</v>
      </c>
      <c r="K191" t="s">
        <v>125</v>
      </c>
      <c r="L191" t="s">
        <v>123</v>
      </c>
      <c r="M191" t="s">
        <v>126</v>
      </c>
      <c r="N191">
        <v>0</v>
      </c>
      <c r="O191">
        <v>0</v>
      </c>
      <c r="P191" t="s">
        <v>124</v>
      </c>
      <c r="Q191" s="29">
        <v>0</v>
      </c>
      <c r="R191">
        <v>0</v>
      </c>
      <c r="S191">
        <v>20150115</v>
      </c>
      <c r="T191">
        <v>0</v>
      </c>
      <c r="U191">
        <v>86114</v>
      </c>
      <c r="V191">
        <v>0</v>
      </c>
      <c r="Y191">
        <v>3</v>
      </c>
      <c r="Z191">
        <v>0</v>
      </c>
      <c r="AA191">
        <v>0</v>
      </c>
      <c r="AB191">
        <v>86390</v>
      </c>
      <c r="AC191">
        <v>0</v>
      </c>
      <c r="AD191">
        <v>184</v>
      </c>
      <c r="AE191" s="24" t="s">
        <v>604</v>
      </c>
      <c r="AF191" s="24" t="s">
        <v>161</v>
      </c>
      <c r="AG191" s="24" t="s">
        <v>605</v>
      </c>
      <c r="AH191" s="24" t="s">
        <v>606</v>
      </c>
      <c r="AI191">
        <v>100</v>
      </c>
      <c r="AJ191" s="29">
        <v>18.739999999999998</v>
      </c>
      <c r="AK191" s="24" t="s">
        <v>195</v>
      </c>
      <c r="AL191" s="24" t="s">
        <v>196</v>
      </c>
      <c r="AM191" s="24" t="s">
        <v>164</v>
      </c>
      <c r="AN191" s="24" t="s">
        <v>197</v>
      </c>
      <c r="AO191" s="24" t="s">
        <v>604</v>
      </c>
    </row>
    <row r="192" spans="5:41" x14ac:dyDescent="0.25">
      <c r="E192" s="24" t="s">
        <v>139</v>
      </c>
      <c r="F192" s="24" t="s">
        <v>230</v>
      </c>
      <c r="G192">
        <v>2</v>
      </c>
      <c r="H192" t="s">
        <v>100</v>
      </c>
      <c r="I192" s="22" t="s">
        <v>231</v>
      </c>
      <c r="J192" s="22" t="s">
        <v>123</v>
      </c>
      <c r="K192" t="s">
        <v>101</v>
      </c>
      <c r="L192" t="s">
        <v>106</v>
      </c>
      <c r="M192">
        <v>9</v>
      </c>
      <c r="N192">
        <v>0</v>
      </c>
      <c r="O192">
        <v>0</v>
      </c>
      <c r="P192" t="s">
        <v>124</v>
      </c>
      <c r="Q192" s="29">
        <v>0</v>
      </c>
      <c r="R192">
        <v>0</v>
      </c>
      <c r="S192">
        <v>20150115</v>
      </c>
      <c r="T192">
        <v>0</v>
      </c>
      <c r="U192">
        <v>138</v>
      </c>
      <c r="V192">
        <v>0</v>
      </c>
      <c r="AD192">
        <v>185</v>
      </c>
      <c r="AE192" s="24" t="s">
        <v>607</v>
      </c>
      <c r="AF192" s="24" t="s">
        <v>161</v>
      </c>
      <c r="AG192" s="24" t="s">
        <v>608</v>
      </c>
      <c r="AH192" s="24" t="s">
        <v>609</v>
      </c>
      <c r="AI192">
        <v>100</v>
      </c>
      <c r="AJ192" s="29">
        <v>18.739999999999998</v>
      </c>
      <c r="AK192" s="24" t="s">
        <v>195</v>
      </c>
      <c r="AL192" s="24" t="s">
        <v>196</v>
      </c>
      <c r="AM192" s="24" t="s">
        <v>164</v>
      </c>
      <c r="AN192" s="24" t="s">
        <v>197</v>
      </c>
      <c r="AO192" s="24" t="s">
        <v>607</v>
      </c>
    </row>
    <row r="193" spans="5:41" x14ac:dyDescent="0.25">
      <c r="E193" s="24" t="s">
        <v>139</v>
      </c>
      <c r="F193" s="24" t="s">
        <v>230</v>
      </c>
      <c r="G193">
        <v>3</v>
      </c>
      <c r="H193" t="s">
        <v>100</v>
      </c>
      <c r="I193" s="22" t="s">
        <v>232</v>
      </c>
      <c r="J193" s="22" t="s">
        <v>123</v>
      </c>
      <c r="K193" t="s">
        <v>101</v>
      </c>
      <c r="L193" t="s">
        <v>233</v>
      </c>
      <c r="M193">
        <v>9</v>
      </c>
      <c r="N193">
        <v>0</v>
      </c>
      <c r="O193">
        <v>0</v>
      </c>
      <c r="P193" t="s">
        <v>124</v>
      </c>
      <c r="Q193" s="29">
        <v>0</v>
      </c>
      <c r="R193">
        <v>0</v>
      </c>
      <c r="S193">
        <v>20150115</v>
      </c>
      <c r="T193">
        <v>0</v>
      </c>
      <c r="U193">
        <v>138</v>
      </c>
      <c r="V193">
        <v>0</v>
      </c>
      <c r="AD193">
        <v>186</v>
      </c>
      <c r="AE193" s="24" t="s">
        <v>610</v>
      </c>
      <c r="AF193" s="24" t="s">
        <v>161</v>
      </c>
      <c r="AG193" s="24" t="s">
        <v>611</v>
      </c>
      <c r="AH193" s="24" t="s">
        <v>612</v>
      </c>
      <c r="AI193">
        <v>100</v>
      </c>
      <c r="AJ193" s="29">
        <v>18.739999999999998</v>
      </c>
      <c r="AK193" s="24" t="s">
        <v>195</v>
      </c>
      <c r="AL193" s="24" t="s">
        <v>196</v>
      </c>
      <c r="AM193" s="24" t="s">
        <v>164</v>
      </c>
      <c r="AN193" s="24" t="s">
        <v>197</v>
      </c>
      <c r="AO193" s="24" t="s">
        <v>610</v>
      </c>
    </row>
    <row r="194" spans="5:41" x14ac:dyDescent="0.25">
      <c r="E194" s="24" t="s">
        <v>139</v>
      </c>
      <c r="F194" s="24" t="s">
        <v>234</v>
      </c>
      <c r="G194">
        <v>1</v>
      </c>
      <c r="H194" t="s">
        <v>100</v>
      </c>
      <c r="I194" s="22" t="s">
        <v>207</v>
      </c>
      <c r="J194" s="22">
        <v>1078488501</v>
      </c>
      <c r="K194" t="s">
        <v>101</v>
      </c>
      <c r="L194" t="s">
        <v>208</v>
      </c>
      <c r="M194">
        <v>9</v>
      </c>
      <c r="N194">
        <v>4</v>
      </c>
      <c r="O194">
        <v>4</v>
      </c>
      <c r="P194" t="s">
        <v>103</v>
      </c>
      <c r="Q194" s="29">
        <v>5305.56</v>
      </c>
      <c r="R194">
        <v>21222</v>
      </c>
      <c r="S194">
        <v>20150121</v>
      </c>
      <c r="T194">
        <v>0</v>
      </c>
      <c r="U194">
        <v>0</v>
      </c>
      <c r="V194">
        <v>21222</v>
      </c>
      <c r="W194" t="s">
        <v>104</v>
      </c>
      <c r="X194" t="s">
        <v>105</v>
      </c>
      <c r="Y194">
        <v>3</v>
      </c>
      <c r="Z194">
        <v>1253554</v>
      </c>
      <c r="AA194">
        <v>0</v>
      </c>
      <c r="AB194">
        <v>0</v>
      </c>
      <c r="AC194">
        <v>1253554</v>
      </c>
      <c r="AD194">
        <v>187</v>
      </c>
      <c r="AE194" s="24" t="s">
        <v>613</v>
      </c>
      <c r="AF194" s="24" t="s">
        <v>161</v>
      </c>
      <c r="AG194" s="24" t="s">
        <v>614</v>
      </c>
      <c r="AH194" s="24" t="s">
        <v>615</v>
      </c>
      <c r="AI194">
        <v>100</v>
      </c>
      <c r="AJ194" s="29">
        <v>18.739999999999998</v>
      </c>
      <c r="AK194" s="24" t="s">
        <v>195</v>
      </c>
      <c r="AL194" s="24" t="s">
        <v>196</v>
      </c>
      <c r="AM194" s="24" t="s">
        <v>164</v>
      </c>
      <c r="AN194" s="24" t="s">
        <v>197</v>
      </c>
      <c r="AO194" s="24" t="s">
        <v>613</v>
      </c>
    </row>
    <row r="195" spans="5:41" x14ac:dyDescent="0.25">
      <c r="E195" s="24" t="s">
        <v>139</v>
      </c>
      <c r="F195" s="24" t="s">
        <v>234</v>
      </c>
      <c r="G195">
        <v>2</v>
      </c>
      <c r="H195" t="s">
        <v>100</v>
      </c>
      <c r="I195" s="22" t="s">
        <v>207</v>
      </c>
      <c r="J195" s="22">
        <v>1080261801</v>
      </c>
      <c r="K195" t="s">
        <v>101</v>
      </c>
      <c r="L195" t="s">
        <v>208</v>
      </c>
      <c r="M195">
        <v>9</v>
      </c>
      <c r="N195">
        <v>1</v>
      </c>
      <c r="O195">
        <v>1</v>
      </c>
      <c r="P195" t="s">
        <v>103</v>
      </c>
      <c r="Q195" s="29">
        <v>5305.56</v>
      </c>
      <c r="R195">
        <v>5306</v>
      </c>
      <c r="S195">
        <v>20150126</v>
      </c>
      <c r="T195">
        <v>0</v>
      </c>
      <c r="U195">
        <v>0</v>
      </c>
      <c r="V195">
        <v>5306</v>
      </c>
      <c r="W195" t="s">
        <v>104</v>
      </c>
      <c r="X195" t="s">
        <v>105</v>
      </c>
      <c r="AD195">
        <v>188</v>
      </c>
      <c r="AE195" s="24" t="s">
        <v>123</v>
      </c>
      <c r="AF195" s="24" t="s">
        <v>616</v>
      </c>
      <c r="AG195" s="24" t="s">
        <v>617</v>
      </c>
      <c r="AH195" s="24" t="s">
        <v>618</v>
      </c>
      <c r="AI195">
        <v>24</v>
      </c>
      <c r="AJ195" s="29">
        <v>2.06</v>
      </c>
      <c r="AK195" s="24" t="s">
        <v>619</v>
      </c>
      <c r="AL195" s="24" t="s">
        <v>620</v>
      </c>
      <c r="AM195" s="24" t="s">
        <v>164</v>
      </c>
      <c r="AN195" s="24" t="s">
        <v>621</v>
      </c>
    </row>
    <row r="196" spans="5:41" x14ac:dyDescent="0.25">
      <c r="E196" s="24" t="s">
        <v>139</v>
      </c>
      <c r="F196" s="24" t="s">
        <v>234</v>
      </c>
      <c r="G196">
        <v>3</v>
      </c>
      <c r="H196" t="s">
        <v>100</v>
      </c>
      <c r="I196" s="22" t="s">
        <v>207</v>
      </c>
      <c r="J196" s="22">
        <v>1079423401</v>
      </c>
      <c r="K196" t="s">
        <v>101</v>
      </c>
      <c r="L196" t="s">
        <v>210</v>
      </c>
      <c r="M196">
        <v>9</v>
      </c>
      <c r="N196">
        <v>2</v>
      </c>
      <c r="O196">
        <v>2</v>
      </c>
      <c r="P196" t="s">
        <v>103</v>
      </c>
      <c r="Q196" s="29">
        <v>5719.34</v>
      </c>
      <c r="R196">
        <v>11439</v>
      </c>
      <c r="S196">
        <v>20150123</v>
      </c>
      <c r="T196">
        <v>0</v>
      </c>
      <c r="U196">
        <v>0</v>
      </c>
      <c r="V196">
        <v>11439</v>
      </c>
      <c r="W196" t="s">
        <v>104</v>
      </c>
      <c r="X196" t="s">
        <v>105</v>
      </c>
      <c r="AD196">
        <v>189</v>
      </c>
      <c r="AE196" s="24" t="s">
        <v>123</v>
      </c>
      <c r="AF196" s="24" t="s">
        <v>616</v>
      </c>
      <c r="AG196" s="24" t="s">
        <v>617</v>
      </c>
      <c r="AH196" s="24" t="s">
        <v>618</v>
      </c>
      <c r="AI196">
        <v>24</v>
      </c>
      <c r="AJ196" s="29">
        <v>2.06</v>
      </c>
      <c r="AK196" s="24" t="s">
        <v>619</v>
      </c>
      <c r="AL196" s="24" t="s">
        <v>620</v>
      </c>
      <c r="AM196" s="24" t="s">
        <v>164</v>
      </c>
      <c r="AN196" s="24" t="s">
        <v>621</v>
      </c>
    </row>
    <row r="197" spans="5:41" x14ac:dyDescent="0.25">
      <c r="E197" s="24" t="s">
        <v>139</v>
      </c>
      <c r="F197" s="24" t="s">
        <v>234</v>
      </c>
      <c r="G197">
        <v>4</v>
      </c>
      <c r="H197" t="s">
        <v>100</v>
      </c>
      <c r="I197" s="22" t="s">
        <v>207</v>
      </c>
      <c r="J197" s="22">
        <v>1080882401</v>
      </c>
      <c r="K197" t="s">
        <v>101</v>
      </c>
      <c r="L197" t="s">
        <v>210</v>
      </c>
      <c r="M197">
        <v>9</v>
      </c>
      <c r="N197">
        <v>11</v>
      </c>
      <c r="O197">
        <v>11</v>
      </c>
      <c r="P197" t="s">
        <v>103</v>
      </c>
      <c r="Q197" s="29">
        <v>5719.34</v>
      </c>
      <c r="R197">
        <v>62913</v>
      </c>
      <c r="S197">
        <v>20150127</v>
      </c>
      <c r="T197">
        <v>0</v>
      </c>
      <c r="U197">
        <v>0</v>
      </c>
      <c r="V197">
        <v>62913</v>
      </c>
      <c r="W197" t="s">
        <v>104</v>
      </c>
      <c r="X197" t="s">
        <v>105</v>
      </c>
      <c r="AD197">
        <v>190</v>
      </c>
      <c r="AE197" s="24" t="s">
        <v>123</v>
      </c>
      <c r="AF197" s="24" t="s">
        <v>616</v>
      </c>
      <c r="AG197" s="24" t="s">
        <v>617</v>
      </c>
      <c r="AH197" s="24" t="s">
        <v>618</v>
      </c>
      <c r="AI197">
        <v>24</v>
      </c>
      <c r="AJ197" s="29">
        <v>2.06</v>
      </c>
      <c r="AK197" s="24" t="s">
        <v>619</v>
      </c>
      <c r="AL197" s="24" t="s">
        <v>620</v>
      </c>
      <c r="AM197" s="24" t="s">
        <v>164</v>
      </c>
      <c r="AN197" s="24" t="s">
        <v>621</v>
      </c>
    </row>
    <row r="198" spans="5:41" x14ac:dyDescent="0.25">
      <c r="E198" s="24" t="s">
        <v>139</v>
      </c>
      <c r="F198" s="24" t="s">
        <v>234</v>
      </c>
      <c r="G198">
        <v>5</v>
      </c>
      <c r="H198" t="s">
        <v>100</v>
      </c>
      <c r="I198" s="22" t="s">
        <v>207</v>
      </c>
      <c r="J198" s="22">
        <v>1079911401</v>
      </c>
      <c r="K198" t="s">
        <v>101</v>
      </c>
      <c r="L198" t="s">
        <v>210</v>
      </c>
      <c r="M198">
        <v>9</v>
      </c>
      <c r="N198">
        <v>2</v>
      </c>
      <c r="O198">
        <v>2</v>
      </c>
      <c r="P198" t="s">
        <v>103</v>
      </c>
      <c r="Q198" s="29">
        <v>5719.34</v>
      </c>
      <c r="R198">
        <v>11439</v>
      </c>
      <c r="S198">
        <v>20150123</v>
      </c>
      <c r="T198">
        <v>0</v>
      </c>
      <c r="U198">
        <v>0</v>
      </c>
      <c r="V198">
        <v>11439</v>
      </c>
      <c r="W198" t="s">
        <v>104</v>
      </c>
      <c r="X198" t="s">
        <v>105</v>
      </c>
      <c r="AD198">
        <v>191</v>
      </c>
      <c r="AE198" s="24" t="s">
        <v>622</v>
      </c>
      <c r="AF198" s="24" t="s">
        <v>160</v>
      </c>
      <c r="AG198" s="24" t="s">
        <v>160</v>
      </c>
      <c r="AH198" s="24" t="s">
        <v>160</v>
      </c>
      <c r="AI198" t="s">
        <v>160</v>
      </c>
      <c r="AJ198" s="29" t="s">
        <v>160</v>
      </c>
      <c r="AK198" s="24" t="s">
        <v>160</v>
      </c>
      <c r="AL198" s="24" t="s">
        <v>160</v>
      </c>
      <c r="AM198" s="24" t="s">
        <v>160</v>
      </c>
      <c r="AN198" s="24" t="s">
        <v>160</v>
      </c>
      <c r="AO198" s="24" t="s">
        <v>160</v>
      </c>
    </row>
    <row r="199" spans="5:41" x14ac:dyDescent="0.25">
      <c r="E199" s="24" t="s">
        <v>139</v>
      </c>
      <c r="F199" s="24" t="s">
        <v>234</v>
      </c>
      <c r="G199">
        <v>6</v>
      </c>
      <c r="H199" t="s">
        <v>100</v>
      </c>
      <c r="I199" s="22" t="s">
        <v>207</v>
      </c>
      <c r="J199" s="22">
        <v>1078654701</v>
      </c>
      <c r="K199" t="s">
        <v>101</v>
      </c>
      <c r="L199" t="s">
        <v>210</v>
      </c>
      <c r="M199">
        <v>9</v>
      </c>
      <c r="N199">
        <v>3</v>
      </c>
      <c r="O199">
        <v>3</v>
      </c>
      <c r="P199" t="s">
        <v>103</v>
      </c>
      <c r="Q199" s="29">
        <v>5719.34</v>
      </c>
      <c r="R199">
        <v>17158</v>
      </c>
      <c r="S199">
        <v>20150121</v>
      </c>
      <c r="T199">
        <v>0</v>
      </c>
      <c r="U199">
        <v>0</v>
      </c>
      <c r="V199">
        <v>17158</v>
      </c>
      <c r="W199" t="s">
        <v>104</v>
      </c>
      <c r="X199" t="s">
        <v>105</v>
      </c>
      <c r="AD199">
        <v>192</v>
      </c>
      <c r="AE199" s="24" t="s">
        <v>623</v>
      </c>
      <c r="AF199" s="24" t="s">
        <v>160</v>
      </c>
      <c r="AG199" s="24" t="s">
        <v>160</v>
      </c>
      <c r="AH199" s="24" t="s">
        <v>160</v>
      </c>
      <c r="AI199" t="s">
        <v>160</v>
      </c>
      <c r="AJ199" s="29" t="s">
        <v>160</v>
      </c>
      <c r="AK199" s="24" t="s">
        <v>160</v>
      </c>
      <c r="AL199" s="24" t="s">
        <v>160</v>
      </c>
      <c r="AM199" s="24" t="s">
        <v>160</v>
      </c>
      <c r="AN199" s="24" t="s">
        <v>160</v>
      </c>
      <c r="AO199" s="24" t="s">
        <v>160</v>
      </c>
    </row>
    <row r="200" spans="5:41" x14ac:dyDescent="0.25">
      <c r="E200" s="24" t="s">
        <v>139</v>
      </c>
      <c r="F200" s="24" t="s">
        <v>234</v>
      </c>
      <c r="G200">
        <v>7</v>
      </c>
      <c r="H200" t="s">
        <v>100</v>
      </c>
      <c r="I200" s="22" t="s">
        <v>207</v>
      </c>
      <c r="J200" s="22">
        <v>1078958701</v>
      </c>
      <c r="K200" t="s">
        <v>101</v>
      </c>
      <c r="L200" t="s">
        <v>210</v>
      </c>
      <c r="M200">
        <v>9</v>
      </c>
      <c r="N200">
        <v>1</v>
      </c>
      <c r="O200">
        <v>1</v>
      </c>
      <c r="P200" t="s">
        <v>103</v>
      </c>
      <c r="Q200" s="29">
        <v>5719.34</v>
      </c>
      <c r="R200">
        <v>5719</v>
      </c>
      <c r="S200">
        <v>20150122</v>
      </c>
      <c r="T200">
        <v>0</v>
      </c>
      <c r="U200">
        <v>0</v>
      </c>
      <c r="V200">
        <v>5719</v>
      </c>
      <c r="W200" t="s">
        <v>104</v>
      </c>
      <c r="X200" t="s">
        <v>105</v>
      </c>
      <c r="AD200">
        <v>193</v>
      </c>
      <c r="AE200" s="24" t="s">
        <v>624</v>
      </c>
      <c r="AF200" s="24" t="s">
        <v>160</v>
      </c>
      <c r="AG200" s="24" t="s">
        <v>160</v>
      </c>
      <c r="AH200" s="24" t="s">
        <v>160</v>
      </c>
      <c r="AI200" t="s">
        <v>160</v>
      </c>
      <c r="AJ200" s="29" t="s">
        <v>160</v>
      </c>
      <c r="AK200" s="24" t="s">
        <v>160</v>
      </c>
      <c r="AL200" s="24" t="s">
        <v>160</v>
      </c>
      <c r="AM200" s="24" t="s">
        <v>160</v>
      </c>
      <c r="AN200" s="24" t="s">
        <v>160</v>
      </c>
      <c r="AO200" s="24" t="s">
        <v>160</v>
      </c>
    </row>
    <row r="201" spans="5:41" x14ac:dyDescent="0.25">
      <c r="E201" s="24" t="s">
        <v>139</v>
      </c>
      <c r="F201" s="24" t="s">
        <v>234</v>
      </c>
      <c r="G201">
        <v>8</v>
      </c>
      <c r="H201" t="s">
        <v>100</v>
      </c>
      <c r="I201" s="22" t="s">
        <v>207</v>
      </c>
      <c r="J201" s="22">
        <v>1081178801</v>
      </c>
      <c r="K201" t="s">
        <v>101</v>
      </c>
      <c r="L201" t="s">
        <v>210</v>
      </c>
      <c r="M201">
        <v>9</v>
      </c>
      <c r="N201">
        <v>14</v>
      </c>
      <c r="O201">
        <v>14</v>
      </c>
      <c r="P201" t="s">
        <v>103</v>
      </c>
      <c r="Q201" s="29">
        <v>5719.34</v>
      </c>
      <c r="R201">
        <v>80071</v>
      </c>
      <c r="S201">
        <v>20150128</v>
      </c>
      <c r="T201">
        <v>0</v>
      </c>
      <c r="U201">
        <v>0</v>
      </c>
      <c r="V201">
        <v>80071</v>
      </c>
      <c r="W201" t="s">
        <v>104</v>
      </c>
      <c r="X201" t="s">
        <v>105</v>
      </c>
      <c r="AD201">
        <v>194</v>
      </c>
      <c r="AE201" s="24" t="s">
        <v>625</v>
      </c>
      <c r="AF201" s="24" t="s">
        <v>160</v>
      </c>
      <c r="AG201" s="24" t="s">
        <v>160</v>
      </c>
      <c r="AH201" s="24" t="s">
        <v>160</v>
      </c>
      <c r="AI201" t="s">
        <v>160</v>
      </c>
      <c r="AJ201" s="29" t="s">
        <v>160</v>
      </c>
      <c r="AK201" s="24" t="s">
        <v>160</v>
      </c>
      <c r="AL201" s="24" t="s">
        <v>160</v>
      </c>
      <c r="AM201" s="24" t="s">
        <v>160</v>
      </c>
      <c r="AN201" s="24" t="s">
        <v>160</v>
      </c>
      <c r="AO201" s="24" t="s">
        <v>160</v>
      </c>
    </row>
    <row r="202" spans="5:41" x14ac:dyDescent="0.25">
      <c r="E202" s="24" t="s">
        <v>139</v>
      </c>
      <c r="F202" s="24" t="s">
        <v>234</v>
      </c>
      <c r="G202">
        <v>9</v>
      </c>
      <c r="H202" t="s">
        <v>100</v>
      </c>
      <c r="I202" s="22" t="s">
        <v>207</v>
      </c>
      <c r="J202" s="22">
        <v>1081633201</v>
      </c>
      <c r="K202" t="s">
        <v>101</v>
      </c>
      <c r="L202" t="s">
        <v>210</v>
      </c>
      <c r="M202">
        <v>9</v>
      </c>
      <c r="N202">
        <v>14</v>
      </c>
      <c r="O202">
        <v>14</v>
      </c>
      <c r="P202" t="s">
        <v>103</v>
      </c>
      <c r="Q202" s="29">
        <v>5719.34</v>
      </c>
      <c r="R202">
        <v>80071</v>
      </c>
      <c r="S202">
        <v>20150129</v>
      </c>
      <c r="T202">
        <v>0</v>
      </c>
      <c r="U202">
        <v>0</v>
      </c>
      <c r="V202">
        <v>80071</v>
      </c>
      <c r="W202" t="s">
        <v>104</v>
      </c>
      <c r="X202" t="s">
        <v>105</v>
      </c>
      <c r="AD202">
        <v>195</v>
      </c>
      <c r="AE202" s="24" t="s">
        <v>626</v>
      </c>
      <c r="AF202" s="24" t="s">
        <v>160</v>
      </c>
      <c r="AG202" s="24" t="s">
        <v>160</v>
      </c>
      <c r="AH202" s="24" t="s">
        <v>160</v>
      </c>
      <c r="AI202" t="s">
        <v>160</v>
      </c>
      <c r="AJ202" s="29" t="s">
        <v>160</v>
      </c>
      <c r="AK202" s="24" t="s">
        <v>160</v>
      </c>
      <c r="AL202" s="24" t="s">
        <v>160</v>
      </c>
      <c r="AM202" s="24" t="s">
        <v>160</v>
      </c>
      <c r="AN202" s="24" t="s">
        <v>160</v>
      </c>
      <c r="AO202" s="24" t="s">
        <v>160</v>
      </c>
    </row>
    <row r="203" spans="5:41" x14ac:dyDescent="0.25">
      <c r="E203" s="24" t="s">
        <v>139</v>
      </c>
      <c r="F203" s="24" t="s">
        <v>234</v>
      </c>
      <c r="G203">
        <v>10</v>
      </c>
      <c r="H203" t="s">
        <v>100</v>
      </c>
      <c r="I203" s="22" t="s">
        <v>207</v>
      </c>
      <c r="J203" s="22">
        <v>1081334201</v>
      </c>
      <c r="K203" t="s">
        <v>101</v>
      </c>
      <c r="L203" t="s">
        <v>210</v>
      </c>
      <c r="M203">
        <v>9</v>
      </c>
      <c r="N203">
        <v>8</v>
      </c>
      <c r="O203">
        <v>8</v>
      </c>
      <c r="P203" t="s">
        <v>103</v>
      </c>
      <c r="Q203" s="29">
        <v>5719.34</v>
      </c>
      <c r="R203">
        <v>45755</v>
      </c>
      <c r="S203">
        <v>20150128</v>
      </c>
      <c r="T203">
        <v>0</v>
      </c>
      <c r="U203">
        <v>0</v>
      </c>
      <c r="V203">
        <v>45755</v>
      </c>
      <c r="W203" t="s">
        <v>104</v>
      </c>
      <c r="X203" t="s">
        <v>105</v>
      </c>
      <c r="AD203">
        <v>196</v>
      </c>
      <c r="AE203" s="24" t="s">
        <v>627</v>
      </c>
      <c r="AF203" s="24" t="s">
        <v>160</v>
      </c>
      <c r="AG203" s="24" t="s">
        <v>160</v>
      </c>
      <c r="AH203" s="24" t="s">
        <v>160</v>
      </c>
      <c r="AI203" t="s">
        <v>160</v>
      </c>
      <c r="AJ203" s="29" t="s">
        <v>160</v>
      </c>
      <c r="AK203" s="24" t="s">
        <v>160</v>
      </c>
      <c r="AL203" s="24" t="s">
        <v>160</v>
      </c>
      <c r="AM203" s="24" t="s">
        <v>160</v>
      </c>
      <c r="AN203" s="24" t="s">
        <v>160</v>
      </c>
      <c r="AO203" s="24" t="s">
        <v>160</v>
      </c>
    </row>
    <row r="204" spans="5:41" x14ac:dyDescent="0.25">
      <c r="E204" s="24" t="s">
        <v>139</v>
      </c>
      <c r="F204" s="24" t="s">
        <v>234</v>
      </c>
      <c r="G204">
        <v>11</v>
      </c>
      <c r="H204" t="s">
        <v>100</v>
      </c>
      <c r="I204" s="22" t="s">
        <v>207</v>
      </c>
      <c r="J204" s="22">
        <v>1078488601</v>
      </c>
      <c r="K204" t="s">
        <v>101</v>
      </c>
      <c r="L204" t="s">
        <v>210</v>
      </c>
      <c r="M204">
        <v>9</v>
      </c>
      <c r="N204">
        <v>3</v>
      </c>
      <c r="O204">
        <v>3</v>
      </c>
      <c r="P204" t="s">
        <v>103</v>
      </c>
      <c r="Q204" s="29">
        <v>5719.34</v>
      </c>
      <c r="R204">
        <v>17158</v>
      </c>
      <c r="S204">
        <v>20150121</v>
      </c>
      <c r="T204">
        <v>0</v>
      </c>
      <c r="U204">
        <v>0</v>
      </c>
      <c r="V204">
        <v>17158</v>
      </c>
      <c r="W204" t="s">
        <v>104</v>
      </c>
      <c r="X204" t="s">
        <v>105</v>
      </c>
      <c r="AD204">
        <v>197</v>
      </c>
      <c r="AE204" s="24" t="s">
        <v>628</v>
      </c>
      <c r="AF204" s="24" t="s">
        <v>160</v>
      </c>
      <c r="AG204" s="24" t="s">
        <v>160</v>
      </c>
      <c r="AH204" s="24" t="s">
        <v>160</v>
      </c>
      <c r="AI204" t="s">
        <v>160</v>
      </c>
      <c r="AJ204" s="29" t="s">
        <v>160</v>
      </c>
      <c r="AK204" s="24" t="s">
        <v>160</v>
      </c>
      <c r="AL204" s="24" t="s">
        <v>160</v>
      </c>
      <c r="AM204" s="24" t="s">
        <v>160</v>
      </c>
      <c r="AN204" s="24" t="s">
        <v>160</v>
      </c>
      <c r="AO204" s="24" t="s">
        <v>160</v>
      </c>
    </row>
    <row r="205" spans="5:41" x14ac:dyDescent="0.25">
      <c r="E205" s="24" t="s">
        <v>139</v>
      </c>
      <c r="F205" s="24" t="s">
        <v>234</v>
      </c>
      <c r="G205">
        <v>12</v>
      </c>
      <c r="H205" t="s">
        <v>100</v>
      </c>
      <c r="I205" s="22" t="s">
        <v>141</v>
      </c>
      <c r="J205" s="22">
        <v>1077885901</v>
      </c>
      <c r="K205" t="s">
        <v>101</v>
      </c>
      <c r="L205" t="s">
        <v>102</v>
      </c>
      <c r="M205">
        <v>9</v>
      </c>
      <c r="N205">
        <v>20</v>
      </c>
      <c r="O205">
        <v>20</v>
      </c>
      <c r="P205" t="s">
        <v>103</v>
      </c>
      <c r="Q205" s="29">
        <v>4899.1400000000003</v>
      </c>
      <c r="R205">
        <v>97983</v>
      </c>
      <c r="S205">
        <v>20150121</v>
      </c>
      <c r="T205">
        <v>0</v>
      </c>
      <c r="U205">
        <v>0</v>
      </c>
      <c r="V205">
        <v>97983</v>
      </c>
      <c r="W205" t="s">
        <v>104</v>
      </c>
      <c r="X205" t="s">
        <v>105</v>
      </c>
      <c r="AD205">
        <v>198</v>
      </c>
      <c r="AE205" s="24" t="s">
        <v>629</v>
      </c>
      <c r="AF205" s="24" t="s">
        <v>160</v>
      </c>
      <c r="AG205" s="24" t="s">
        <v>160</v>
      </c>
      <c r="AH205" s="24" t="s">
        <v>160</v>
      </c>
      <c r="AI205" t="s">
        <v>160</v>
      </c>
      <c r="AJ205" s="29" t="s">
        <v>160</v>
      </c>
      <c r="AK205" s="24" t="s">
        <v>160</v>
      </c>
      <c r="AL205" s="24" t="s">
        <v>160</v>
      </c>
      <c r="AM205" s="24" t="s">
        <v>160</v>
      </c>
      <c r="AN205" s="24" t="s">
        <v>160</v>
      </c>
      <c r="AO205" s="24" t="s">
        <v>160</v>
      </c>
    </row>
    <row r="206" spans="5:41" x14ac:dyDescent="0.25">
      <c r="E206" s="24" t="s">
        <v>139</v>
      </c>
      <c r="F206" s="24" t="s">
        <v>234</v>
      </c>
      <c r="G206">
        <v>13</v>
      </c>
      <c r="H206" t="s">
        <v>100</v>
      </c>
      <c r="I206" s="22" t="s">
        <v>141</v>
      </c>
      <c r="J206" s="22">
        <v>1080138201</v>
      </c>
      <c r="K206" t="s">
        <v>101</v>
      </c>
      <c r="L206" t="s">
        <v>102</v>
      </c>
      <c r="M206">
        <v>9</v>
      </c>
      <c r="N206">
        <v>5</v>
      </c>
      <c r="O206">
        <v>5</v>
      </c>
      <c r="P206" t="s">
        <v>103</v>
      </c>
      <c r="Q206" s="29">
        <v>4899.1400000000003</v>
      </c>
      <c r="R206">
        <v>24496</v>
      </c>
      <c r="S206">
        <v>20150128</v>
      </c>
      <c r="T206">
        <v>0</v>
      </c>
      <c r="U206">
        <v>0</v>
      </c>
      <c r="V206">
        <v>24496</v>
      </c>
      <c r="W206" t="s">
        <v>104</v>
      </c>
      <c r="X206" t="s">
        <v>105</v>
      </c>
      <c r="AD206">
        <v>199</v>
      </c>
      <c r="AE206" s="24" t="s">
        <v>630</v>
      </c>
      <c r="AF206" s="24" t="s">
        <v>160</v>
      </c>
      <c r="AG206" s="24" t="s">
        <v>160</v>
      </c>
      <c r="AH206" s="24" t="s">
        <v>160</v>
      </c>
      <c r="AI206" t="s">
        <v>160</v>
      </c>
      <c r="AJ206" s="29" t="s">
        <v>160</v>
      </c>
      <c r="AK206" s="24" t="s">
        <v>160</v>
      </c>
      <c r="AL206" s="24" t="s">
        <v>160</v>
      </c>
      <c r="AM206" s="24" t="s">
        <v>160</v>
      </c>
      <c r="AN206" s="24" t="s">
        <v>160</v>
      </c>
      <c r="AO206" s="24" t="s">
        <v>160</v>
      </c>
    </row>
    <row r="207" spans="5:41" x14ac:dyDescent="0.25">
      <c r="E207" s="24" t="s">
        <v>139</v>
      </c>
      <c r="F207" s="24" t="s">
        <v>234</v>
      </c>
      <c r="G207">
        <v>14</v>
      </c>
      <c r="H207" t="s">
        <v>100</v>
      </c>
      <c r="I207" s="22" t="s">
        <v>141</v>
      </c>
      <c r="J207" s="22">
        <v>1081097811</v>
      </c>
      <c r="K207" t="s">
        <v>101</v>
      </c>
      <c r="L207" t="s">
        <v>102</v>
      </c>
      <c r="M207">
        <v>9</v>
      </c>
      <c r="N207">
        <v>22</v>
      </c>
      <c r="O207">
        <v>22</v>
      </c>
      <c r="P207" t="s">
        <v>103</v>
      </c>
      <c r="Q207" s="29">
        <v>4899.1400000000003</v>
      </c>
      <c r="R207">
        <v>107781</v>
      </c>
      <c r="S207">
        <v>20150130</v>
      </c>
      <c r="T207">
        <v>0</v>
      </c>
      <c r="U207">
        <v>0</v>
      </c>
      <c r="V207">
        <v>107781</v>
      </c>
      <c r="W207" t="s">
        <v>104</v>
      </c>
      <c r="X207" t="s">
        <v>105</v>
      </c>
      <c r="AD207">
        <v>200</v>
      </c>
      <c r="AE207" s="24" t="s">
        <v>631</v>
      </c>
      <c r="AF207" s="24" t="s">
        <v>160</v>
      </c>
      <c r="AG207" s="24" t="s">
        <v>160</v>
      </c>
      <c r="AH207" s="24" t="s">
        <v>160</v>
      </c>
      <c r="AI207" t="s">
        <v>160</v>
      </c>
      <c r="AJ207" s="29" t="s">
        <v>160</v>
      </c>
      <c r="AK207" s="24" t="s">
        <v>160</v>
      </c>
      <c r="AL207" s="24" t="s">
        <v>160</v>
      </c>
      <c r="AM207" s="24" t="s">
        <v>160</v>
      </c>
      <c r="AN207" s="24" t="s">
        <v>160</v>
      </c>
      <c r="AO207" s="24" t="s">
        <v>160</v>
      </c>
    </row>
    <row r="208" spans="5:41" x14ac:dyDescent="0.25">
      <c r="E208" s="24" t="s">
        <v>139</v>
      </c>
      <c r="F208" s="24" t="s">
        <v>234</v>
      </c>
      <c r="G208">
        <v>15</v>
      </c>
      <c r="H208" t="s">
        <v>100</v>
      </c>
      <c r="I208" s="22" t="s">
        <v>141</v>
      </c>
      <c r="J208" s="22">
        <v>1080655801</v>
      </c>
      <c r="K208" t="s">
        <v>101</v>
      </c>
      <c r="L208" t="s">
        <v>102</v>
      </c>
      <c r="M208">
        <v>9</v>
      </c>
      <c r="N208">
        <v>14</v>
      </c>
      <c r="O208">
        <v>14</v>
      </c>
      <c r="P208" t="s">
        <v>103</v>
      </c>
      <c r="Q208" s="29">
        <v>4899.1400000000003</v>
      </c>
      <c r="R208">
        <v>68588</v>
      </c>
      <c r="S208">
        <v>20150128</v>
      </c>
      <c r="T208">
        <v>0</v>
      </c>
      <c r="U208">
        <v>0</v>
      </c>
      <c r="V208">
        <v>68588</v>
      </c>
      <c r="W208" t="s">
        <v>104</v>
      </c>
      <c r="X208" t="s">
        <v>105</v>
      </c>
      <c r="AD208">
        <v>201</v>
      </c>
      <c r="AE208" s="24" t="s">
        <v>632</v>
      </c>
      <c r="AF208" s="24" t="s">
        <v>160</v>
      </c>
      <c r="AG208" s="24" t="s">
        <v>160</v>
      </c>
      <c r="AH208" s="24" t="s">
        <v>160</v>
      </c>
      <c r="AI208" t="s">
        <v>160</v>
      </c>
      <c r="AJ208" s="29" t="s">
        <v>160</v>
      </c>
      <c r="AK208" s="24" t="s">
        <v>160</v>
      </c>
      <c r="AL208" s="24" t="s">
        <v>160</v>
      </c>
      <c r="AM208" s="24" t="s">
        <v>160</v>
      </c>
      <c r="AN208" s="24" t="s">
        <v>160</v>
      </c>
      <c r="AO208" s="24" t="s">
        <v>160</v>
      </c>
    </row>
    <row r="209" spans="5:41" x14ac:dyDescent="0.25">
      <c r="E209" s="24" t="s">
        <v>139</v>
      </c>
      <c r="F209" s="24" t="s">
        <v>234</v>
      </c>
      <c r="G209">
        <v>16</v>
      </c>
      <c r="H209" t="s">
        <v>100</v>
      </c>
      <c r="I209" s="22" t="s">
        <v>141</v>
      </c>
      <c r="J209" s="22">
        <v>1079346901</v>
      </c>
      <c r="K209" t="s">
        <v>101</v>
      </c>
      <c r="L209" t="s">
        <v>102</v>
      </c>
      <c r="M209">
        <v>9</v>
      </c>
      <c r="N209">
        <v>30</v>
      </c>
      <c r="O209">
        <v>30</v>
      </c>
      <c r="P209" t="s">
        <v>103</v>
      </c>
      <c r="Q209" s="29">
        <v>4899.1400000000003</v>
      </c>
      <c r="R209">
        <v>146974</v>
      </c>
      <c r="S209">
        <v>20150126</v>
      </c>
      <c r="T209">
        <v>0</v>
      </c>
      <c r="U209">
        <v>0</v>
      </c>
      <c r="V209">
        <v>146974</v>
      </c>
      <c r="W209" t="s">
        <v>104</v>
      </c>
      <c r="X209" t="s">
        <v>105</v>
      </c>
      <c r="AD209">
        <v>202</v>
      </c>
      <c r="AE209" s="24" t="s">
        <v>633</v>
      </c>
      <c r="AF209" s="24" t="s">
        <v>161</v>
      </c>
      <c r="AG209" s="24" t="s">
        <v>634</v>
      </c>
      <c r="AH209" s="24" t="s">
        <v>635</v>
      </c>
      <c r="AI209">
        <v>20</v>
      </c>
      <c r="AJ209" s="29">
        <v>4899.1400000000003</v>
      </c>
      <c r="AK209" s="24" t="s">
        <v>162</v>
      </c>
      <c r="AL209" s="24" t="s">
        <v>163</v>
      </c>
      <c r="AM209" s="24" t="s">
        <v>164</v>
      </c>
      <c r="AN209" s="24" t="s">
        <v>165</v>
      </c>
      <c r="AO209" s="24" t="s">
        <v>633</v>
      </c>
    </row>
    <row r="210" spans="5:41" x14ac:dyDescent="0.25">
      <c r="E210" s="24" t="s">
        <v>139</v>
      </c>
      <c r="F210" s="24" t="s">
        <v>234</v>
      </c>
      <c r="G210">
        <v>17</v>
      </c>
      <c r="H210" t="s">
        <v>100</v>
      </c>
      <c r="I210" s="22" t="s">
        <v>141</v>
      </c>
      <c r="J210" s="22">
        <v>1081549401</v>
      </c>
      <c r="K210" t="s">
        <v>101</v>
      </c>
      <c r="L210" t="s">
        <v>102</v>
      </c>
      <c r="M210">
        <v>9</v>
      </c>
      <c r="N210">
        <v>4</v>
      </c>
      <c r="O210">
        <v>4</v>
      </c>
      <c r="P210" t="s">
        <v>103</v>
      </c>
      <c r="Q210" s="29">
        <v>4899.1400000000003</v>
      </c>
      <c r="R210">
        <v>19597</v>
      </c>
      <c r="S210">
        <v>20150130</v>
      </c>
      <c r="T210">
        <v>0</v>
      </c>
      <c r="U210">
        <v>0</v>
      </c>
      <c r="V210">
        <v>19597</v>
      </c>
      <c r="W210" t="s">
        <v>104</v>
      </c>
      <c r="X210" t="s">
        <v>105</v>
      </c>
      <c r="AD210">
        <v>203</v>
      </c>
      <c r="AE210" s="24" t="s">
        <v>636</v>
      </c>
      <c r="AF210" s="24" t="s">
        <v>160</v>
      </c>
      <c r="AG210" s="24" t="s">
        <v>160</v>
      </c>
      <c r="AH210" s="24" t="s">
        <v>160</v>
      </c>
      <c r="AI210" t="s">
        <v>160</v>
      </c>
      <c r="AJ210" s="29" t="s">
        <v>160</v>
      </c>
      <c r="AK210" s="24" t="s">
        <v>160</v>
      </c>
      <c r="AL210" s="24" t="s">
        <v>160</v>
      </c>
      <c r="AM210" s="24" t="s">
        <v>160</v>
      </c>
      <c r="AN210" s="24" t="s">
        <v>160</v>
      </c>
      <c r="AO210" s="24" t="s">
        <v>160</v>
      </c>
    </row>
    <row r="211" spans="5:41" x14ac:dyDescent="0.25">
      <c r="E211" s="24" t="s">
        <v>139</v>
      </c>
      <c r="F211" s="24" t="s">
        <v>234</v>
      </c>
      <c r="G211">
        <v>18</v>
      </c>
      <c r="H211" t="s">
        <v>100</v>
      </c>
      <c r="I211" s="22" t="s">
        <v>141</v>
      </c>
      <c r="J211" s="22">
        <v>1078886301</v>
      </c>
      <c r="K211" t="s">
        <v>101</v>
      </c>
      <c r="L211" t="s">
        <v>102</v>
      </c>
      <c r="M211">
        <v>9</v>
      </c>
      <c r="N211">
        <v>22</v>
      </c>
      <c r="O211">
        <v>22</v>
      </c>
      <c r="P211" t="s">
        <v>103</v>
      </c>
      <c r="Q211" s="29">
        <v>4899.1400000000003</v>
      </c>
      <c r="R211">
        <v>107781</v>
      </c>
      <c r="S211">
        <v>20150123</v>
      </c>
      <c r="T211">
        <v>0</v>
      </c>
      <c r="U211">
        <v>0</v>
      </c>
      <c r="V211">
        <v>107781</v>
      </c>
      <c r="W211" t="s">
        <v>104</v>
      </c>
      <c r="X211" t="s">
        <v>105</v>
      </c>
      <c r="AD211">
        <v>204</v>
      </c>
      <c r="AE211" s="24" t="s">
        <v>637</v>
      </c>
      <c r="AF211" s="24" t="s">
        <v>160</v>
      </c>
      <c r="AG211" s="24" t="s">
        <v>160</v>
      </c>
      <c r="AH211" s="24" t="s">
        <v>160</v>
      </c>
      <c r="AI211" t="s">
        <v>160</v>
      </c>
      <c r="AJ211" s="29" t="s">
        <v>160</v>
      </c>
      <c r="AK211" s="24" t="s">
        <v>160</v>
      </c>
      <c r="AL211" s="24" t="s">
        <v>160</v>
      </c>
      <c r="AM211" s="24" t="s">
        <v>160</v>
      </c>
      <c r="AN211" s="24" t="s">
        <v>160</v>
      </c>
      <c r="AO211" s="24" t="s">
        <v>160</v>
      </c>
    </row>
    <row r="212" spans="5:41" x14ac:dyDescent="0.25">
      <c r="E212" s="24" t="s">
        <v>139</v>
      </c>
      <c r="F212" s="24" t="s">
        <v>234</v>
      </c>
      <c r="G212">
        <v>19</v>
      </c>
      <c r="H212" t="s">
        <v>100</v>
      </c>
      <c r="I212" s="22" t="s">
        <v>141</v>
      </c>
      <c r="J212" s="22">
        <v>1078405101</v>
      </c>
      <c r="K212" t="s">
        <v>101</v>
      </c>
      <c r="L212" t="s">
        <v>102</v>
      </c>
      <c r="M212">
        <v>9</v>
      </c>
      <c r="N212">
        <v>4</v>
      </c>
      <c r="O212">
        <v>4</v>
      </c>
      <c r="P212" t="s">
        <v>103</v>
      </c>
      <c r="Q212" s="29">
        <v>4899.1400000000003</v>
      </c>
      <c r="R212">
        <v>19597</v>
      </c>
      <c r="S212">
        <v>20150122</v>
      </c>
      <c r="T212">
        <v>0</v>
      </c>
      <c r="U212">
        <v>0</v>
      </c>
      <c r="V212">
        <v>19597</v>
      </c>
      <c r="W212" t="s">
        <v>104</v>
      </c>
      <c r="X212" t="s">
        <v>105</v>
      </c>
      <c r="AD212">
        <v>205</v>
      </c>
      <c r="AE212" s="24" t="s">
        <v>638</v>
      </c>
      <c r="AF212" s="24" t="s">
        <v>160</v>
      </c>
      <c r="AG212" s="24" t="s">
        <v>160</v>
      </c>
      <c r="AH212" s="24" t="s">
        <v>160</v>
      </c>
      <c r="AI212" t="s">
        <v>160</v>
      </c>
      <c r="AJ212" s="29" t="s">
        <v>160</v>
      </c>
      <c r="AK212" s="24" t="s">
        <v>160</v>
      </c>
      <c r="AL212" s="24" t="s">
        <v>160</v>
      </c>
      <c r="AM212" s="24" t="s">
        <v>160</v>
      </c>
      <c r="AN212" s="24" t="s">
        <v>160</v>
      </c>
      <c r="AO212" s="24" t="s">
        <v>160</v>
      </c>
    </row>
    <row r="213" spans="5:41" x14ac:dyDescent="0.25">
      <c r="E213" s="24" t="s">
        <v>139</v>
      </c>
      <c r="F213" s="24" t="s">
        <v>234</v>
      </c>
      <c r="G213">
        <v>20</v>
      </c>
      <c r="H213" t="s">
        <v>100</v>
      </c>
      <c r="I213" s="22" t="s">
        <v>141</v>
      </c>
      <c r="J213" s="22">
        <v>1080185701</v>
      </c>
      <c r="K213" t="s">
        <v>101</v>
      </c>
      <c r="L213" t="s">
        <v>102</v>
      </c>
      <c r="M213">
        <v>9</v>
      </c>
      <c r="N213">
        <v>28</v>
      </c>
      <c r="O213">
        <v>28</v>
      </c>
      <c r="P213" t="s">
        <v>103</v>
      </c>
      <c r="Q213" s="29">
        <v>4899.1400000000003</v>
      </c>
      <c r="R213">
        <v>137176</v>
      </c>
      <c r="S213">
        <v>20150127</v>
      </c>
      <c r="T213">
        <v>0</v>
      </c>
      <c r="U213">
        <v>0</v>
      </c>
      <c r="V213">
        <v>137176</v>
      </c>
      <c r="W213" t="s">
        <v>104</v>
      </c>
      <c r="X213" t="s">
        <v>105</v>
      </c>
      <c r="AD213">
        <v>206</v>
      </c>
      <c r="AE213" s="24" t="s">
        <v>639</v>
      </c>
      <c r="AF213" s="24" t="s">
        <v>160</v>
      </c>
      <c r="AG213" s="24" t="s">
        <v>160</v>
      </c>
      <c r="AH213" s="24" t="s">
        <v>160</v>
      </c>
      <c r="AI213" t="s">
        <v>160</v>
      </c>
      <c r="AJ213" s="29" t="s">
        <v>160</v>
      </c>
      <c r="AK213" s="24" t="s">
        <v>160</v>
      </c>
      <c r="AL213" s="24" t="s">
        <v>160</v>
      </c>
      <c r="AM213" s="24" t="s">
        <v>160</v>
      </c>
      <c r="AN213" s="24" t="s">
        <v>160</v>
      </c>
      <c r="AO213" s="24" t="s">
        <v>160</v>
      </c>
    </row>
    <row r="214" spans="5:41" x14ac:dyDescent="0.25">
      <c r="E214" s="24" t="s">
        <v>139</v>
      </c>
      <c r="F214" s="24" t="s">
        <v>234</v>
      </c>
      <c r="G214">
        <v>21</v>
      </c>
      <c r="H214" t="s">
        <v>100</v>
      </c>
      <c r="I214" s="22" t="s">
        <v>141</v>
      </c>
      <c r="J214" s="22">
        <v>1079346501</v>
      </c>
      <c r="K214" t="s">
        <v>101</v>
      </c>
      <c r="L214" t="s">
        <v>108</v>
      </c>
      <c r="M214">
        <v>9</v>
      </c>
      <c r="N214">
        <v>22</v>
      </c>
      <c r="O214">
        <v>22</v>
      </c>
      <c r="P214" t="s">
        <v>103</v>
      </c>
      <c r="Q214" s="29">
        <v>4592.5200000000004</v>
      </c>
      <c r="R214">
        <v>101035</v>
      </c>
      <c r="S214">
        <v>20150126</v>
      </c>
      <c r="T214">
        <v>0</v>
      </c>
      <c r="U214">
        <v>0</v>
      </c>
      <c r="V214">
        <v>101035</v>
      </c>
      <c r="W214" t="s">
        <v>104</v>
      </c>
      <c r="X214" t="s">
        <v>105</v>
      </c>
      <c r="AD214">
        <v>207</v>
      </c>
      <c r="AE214" s="24" t="s">
        <v>640</v>
      </c>
      <c r="AF214" s="24" t="s">
        <v>160</v>
      </c>
      <c r="AG214" s="24" t="s">
        <v>160</v>
      </c>
      <c r="AH214" s="24" t="s">
        <v>160</v>
      </c>
      <c r="AI214" t="s">
        <v>160</v>
      </c>
      <c r="AJ214" s="29" t="s">
        <v>160</v>
      </c>
      <c r="AK214" s="24" t="s">
        <v>160</v>
      </c>
      <c r="AL214" s="24" t="s">
        <v>160</v>
      </c>
      <c r="AM214" s="24" t="s">
        <v>160</v>
      </c>
      <c r="AN214" s="24" t="s">
        <v>160</v>
      </c>
      <c r="AO214" s="24" t="s">
        <v>160</v>
      </c>
    </row>
    <row r="215" spans="5:41" x14ac:dyDescent="0.25">
      <c r="E215" s="24" t="s">
        <v>139</v>
      </c>
      <c r="F215" s="24" t="s">
        <v>234</v>
      </c>
      <c r="G215">
        <v>22</v>
      </c>
      <c r="H215" t="s">
        <v>100</v>
      </c>
      <c r="I215" s="22" t="s">
        <v>141</v>
      </c>
      <c r="J215" s="22">
        <v>1081549901</v>
      </c>
      <c r="K215" t="s">
        <v>101</v>
      </c>
      <c r="L215" t="s">
        <v>108</v>
      </c>
      <c r="M215">
        <v>9</v>
      </c>
      <c r="N215">
        <v>14</v>
      </c>
      <c r="O215">
        <v>14</v>
      </c>
      <c r="P215" t="s">
        <v>103</v>
      </c>
      <c r="Q215" s="29">
        <v>4592.5200000000004</v>
      </c>
      <c r="R215">
        <v>64295</v>
      </c>
      <c r="S215">
        <v>20150130</v>
      </c>
      <c r="T215">
        <v>0</v>
      </c>
      <c r="U215">
        <v>0</v>
      </c>
      <c r="V215">
        <v>64295</v>
      </c>
      <c r="W215" t="s">
        <v>104</v>
      </c>
      <c r="X215" t="s">
        <v>105</v>
      </c>
      <c r="AD215">
        <v>208</v>
      </c>
      <c r="AE215" s="24" t="s">
        <v>641</v>
      </c>
      <c r="AF215" s="24" t="s">
        <v>160</v>
      </c>
      <c r="AG215" s="24" t="s">
        <v>160</v>
      </c>
      <c r="AH215" s="24" t="s">
        <v>160</v>
      </c>
      <c r="AI215" t="s">
        <v>160</v>
      </c>
      <c r="AJ215" s="29" t="s">
        <v>160</v>
      </c>
      <c r="AK215" s="24" t="s">
        <v>160</v>
      </c>
      <c r="AL215" s="24" t="s">
        <v>160</v>
      </c>
      <c r="AM215" s="24" t="s">
        <v>160</v>
      </c>
      <c r="AN215" s="24" t="s">
        <v>160</v>
      </c>
      <c r="AO215" s="24" t="s">
        <v>160</v>
      </c>
    </row>
    <row r="216" spans="5:41" x14ac:dyDescent="0.25">
      <c r="E216" s="24" t="s">
        <v>139</v>
      </c>
      <c r="F216" s="24" t="s">
        <v>235</v>
      </c>
      <c r="G216">
        <v>1</v>
      </c>
      <c r="H216" t="s">
        <v>100</v>
      </c>
      <c r="I216" s="22" t="s">
        <v>141</v>
      </c>
      <c r="J216" s="22">
        <v>1081097901</v>
      </c>
      <c r="K216" t="s">
        <v>101</v>
      </c>
      <c r="L216" t="s">
        <v>108</v>
      </c>
      <c r="M216">
        <v>9</v>
      </c>
      <c r="N216">
        <v>18</v>
      </c>
      <c r="O216">
        <v>18</v>
      </c>
      <c r="P216" t="s">
        <v>103</v>
      </c>
      <c r="Q216" s="29">
        <v>4592.5200000000004</v>
      </c>
      <c r="R216">
        <v>82665</v>
      </c>
      <c r="S216">
        <v>20150129</v>
      </c>
      <c r="T216">
        <v>0</v>
      </c>
      <c r="U216">
        <v>0</v>
      </c>
      <c r="V216">
        <v>82665</v>
      </c>
      <c r="W216" t="s">
        <v>104</v>
      </c>
      <c r="X216" t="s">
        <v>105</v>
      </c>
      <c r="Y216">
        <v>3</v>
      </c>
      <c r="Z216">
        <v>978653</v>
      </c>
      <c r="AA216">
        <v>0</v>
      </c>
      <c r="AB216">
        <v>0</v>
      </c>
      <c r="AC216">
        <v>978653</v>
      </c>
      <c r="AD216">
        <v>209</v>
      </c>
      <c r="AE216" s="24" t="s">
        <v>642</v>
      </c>
      <c r="AF216" s="24" t="s">
        <v>160</v>
      </c>
      <c r="AG216" s="24" t="s">
        <v>160</v>
      </c>
      <c r="AH216" s="24" t="s">
        <v>160</v>
      </c>
      <c r="AI216" t="s">
        <v>160</v>
      </c>
      <c r="AJ216" s="29" t="s">
        <v>160</v>
      </c>
      <c r="AK216" s="24" t="s">
        <v>160</v>
      </c>
      <c r="AL216" s="24" t="s">
        <v>160</v>
      </c>
      <c r="AM216" s="24" t="s">
        <v>160</v>
      </c>
      <c r="AN216" s="24" t="s">
        <v>160</v>
      </c>
      <c r="AO216" s="24" t="s">
        <v>160</v>
      </c>
    </row>
    <row r="217" spans="5:41" x14ac:dyDescent="0.25">
      <c r="E217" s="24" t="s">
        <v>139</v>
      </c>
      <c r="F217" s="24" t="s">
        <v>235</v>
      </c>
      <c r="G217">
        <v>2</v>
      </c>
      <c r="H217" t="s">
        <v>100</v>
      </c>
      <c r="I217" s="22" t="s">
        <v>141</v>
      </c>
      <c r="J217" s="22">
        <v>1080185301</v>
      </c>
      <c r="K217" t="s">
        <v>101</v>
      </c>
      <c r="L217" t="s">
        <v>108</v>
      </c>
      <c r="M217">
        <v>9</v>
      </c>
      <c r="N217">
        <v>28</v>
      </c>
      <c r="O217">
        <v>28</v>
      </c>
      <c r="P217" t="s">
        <v>103</v>
      </c>
      <c r="Q217" s="29">
        <v>4592.5200000000004</v>
      </c>
      <c r="R217">
        <v>128591</v>
      </c>
      <c r="S217">
        <v>20150127</v>
      </c>
      <c r="T217">
        <v>0</v>
      </c>
      <c r="U217">
        <v>0</v>
      </c>
      <c r="V217">
        <v>128591</v>
      </c>
      <c r="W217" t="s">
        <v>104</v>
      </c>
      <c r="X217" t="s">
        <v>105</v>
      </c>
      <c r="AD217">
        <v>210</v>
      </c>
      <c r="AE217" s="24" t="s">
        <v>643</v>
      </c>
      <c r="AF217" s="24" t="s">
        <v>160</v>
      </c>
      <c r="AG217" s="24" t="s">
        <v>160</v>
      </c>
      <c r="AH217" s="24" t="s">
        <v>160</v>
      </c>
      <c r="AI217" t="s">
        <v>160</v>
      </c>
      <c r="AJ217" s="29" t="s">
        <v>160</v>
      </c>
      <c r="AK217" s="24" t="s">
        <v>160</v>
      </c>
      <c r="AL217" s="24" t="s">
        <v>160</v>
      </c>
      <c r="AM217" s="24" t="s">
        <v>160</v>
      </c>
      <c r="AN217" s="24" t="s">
        <v>160</v>
      </c>
      <c r="AO217" s="24" t="s">
        <v>160</v>
      </c>
    </row>
    <row r="218" spans="5:41" x14ac:dyDescent="0.25">
      <c r="E218" s="24" t="s">
        <v>139</v>
      </c>
      <c r="F218" s="24" t="s">
        <v>235</v>
      </c>
      <c r="G218">
        <v>3</v>
      </c>
      <c r="H218" t="s">
        <v>100</v>
      </c>
      <c r="I218" s="22" t="s">
        <v>141</v>
      </c>
      <c r="J218" s="22">
        <v>1080655301</v>
      </c>
      <c r="K218" t="s">
        <v>101</v>
      </c>
      <c r="L218" t="s">
        <v>108</v>
      </c>
      <c r="M218">
        <v>9</v>
      </c>
      <c r="N218">
        <v>14</v>
      </c>
      <c r="O218">
        <v>14</v>
      </c>
      <c r="P218" t="s">
        <v>103</v>
      </c>
      <c r="Q218" s="29">
        <v>4592.5200000000004</v>
      </c>
      <c r="R218">
        <v>64295</v>
      </c>
      <c r="S218">
        <v>20150128</v>
      </c>
      <c r="T218">
        <v>0</v>
      </c>
      <c r="U218">
        <v>0</v>
      </c>
      <c r="V218">
        <v>64295</v>
      </c>
      <c r="W218" t="s">
        <v>104</v>
      </c>
      <c r="X218" t="s">
        <v>105</v>
      </c>
      <c r="AD218">
        <v>211</v>
      </c>
      <c r="AE218" s="24" t="s">
        <v>644</v>
      </c>
      <c r="AF218" s="24" t="s">
        <v>160</v>
      </c>
      <c r="AG218" s="24" t="s">
        <v>160</v>
      </c>
      <c r="AH218" s="24" t="s">
        <v>160</v>
      </c>
      <c r="AI218" t="s">
        <v>160</v>
      </c>
      <c r="AJ218" s="29" t="s">
        <v>160</v>
      </c>
      <c r="AK218" s="24" t="s">
        <v>160</v>
      </c>
      <c r="AL218" s="24" t="s">
        <v>160</v>
      </c>
      <c r="AM218" s="24" t="s">
        <v>160</v>
      </c>
      <c r="AN218" s="24" t="s">
        <v>160</v>
      </c>
      <c r="AO218" s="24" t="s">
        <v>160</v>
      </c>
    </row>
    <row r="219" spans="5:41" x14ac:dyDescent="0.25">
      <c r="E219" s="24" t="s">
        <v>139</v>
      </c>
      <c r="F219" s="24" t="s">
        <v>235</v>
      </c>
      <c r="G219">
        <v>4</v>
      </c>
      <c r="H219" t="s">
        <v>100</v>
      </c>
      <c r="I219" s="22" t="s">
        <v>141</v>
      </c>
      <c r="J219" s="22">
        <v>1081549801</v>
      </c>
      <c r="K219" t="s">
        <v>101</v>
      </c>
      <c r="L219" t="s">
        <v>110</v>
      </c>
      <c r="M219">
        <v>9</v>
      </c>
      <c r="N219">
        <v>30</v>
      </c>
      <c r="O219">
        <v>30</v>
      </c>
      <c r="P219" t="s">
        <v>103</v>
      </c>
      <c r="Q219" s="29">
        <v>4341.3999999999996</v>
      </c>
      <c r="R219">
        <v>130242</v>
      </c>
      <c r="S219">
        <v>20150130</v>
      </c>
      <c r="T219">
        <v>0</v>
      </c>
      <c r="U219">
        <v>0</v>
      </c>
      <c r="V219">
        <v>130242</v>
      </c>
      <c r="W219" t="s">
        <v>104</v>
      </c>
      <c r="X219" t="s">
        <v>105</v>
      </c>
      <c r="AD219">
        <v>212</v>
      </c>
      <c r="AE219" s="24" t="s">
        <v>645</v>
      </c>
      <c r="AF219" s="24" t="s">
        <v>160</v>
      </c>
      <c r="AG219" s="24" t="s">
        <v>160</v>
      </c>
      <c r="AH219" s="24" t="s">
        <v>160</v>
      </c>
      <c r="AI219" t="s">
        <v>160</v>
      </c>
      <c r="AJ219" s="29" t="s">
        <v>160</v>
      </c>
      <c r="AK219" s="24" t="s">
        <v>160</v>
      </c>
      <c r="AL219" s="24" t="s">
        <v>160</v>
      </c>
      <c r="AM219" s="24" t="s">
        <v>160</v>
      </c>
      <c r="AN219" s="24" t="s">
        <v>160</v>
      </c>
      <c r="AO219" s="24" t="s">
        <v>160</v>
      </c>
    </row>
    <row r="220" spans="5:41" x14ac:dyDescent="0.25">
      <c r="E220" s="24" t="s">
        <v>139</v>
      </c>
      <c r="F220" s="24" t="s">
        <v>235</v>
      </c>
      <c r="G220">
        <v>5</v>
      </c>
      <c r="H220" t="s">
        <v>100</v>
      </c>
      <c r="I220" s="22" t="s">
        <v>142</v>
      </c>
      <c r="J220" s="22">
        <v>1078405001</v>
      </c>
      <c r="K220" t="s">
        <v>101</v>
      </c>
      <c r="L220" t="s">
        <v>111</v>
      </c>
      <c r="M220">
        <v>9</v>
      </c>
      <c r="N220">
        <v>18</v>
      </c>
      <c r="O220">
        <v>18</v>
      </c>
      <c r="P220" t="s">
        <v>103</v>
      </c>
      <c r="Q220" s="29">
        <v>4894.18</v>
      </c>
      <c r="R220">
        <v>88095</v>
      </c>
      <c r="S220">
        <v>20150122</v>
      </c>
      <c r="T220">
        <v>0</v>
      </c>
      <c r="U220">
        <v>0</v>
      </c>
      <c r="V220">
        <v>88095</v>
      </c>
      <c r="W220" t="s">
        <v>104</v>
      </c>
      <c r="X220" t="s">
        <v>105</v>
      </c>
      <c r="AD220">
        <v>213</v>
      </c>
      <c r="AE220" s="24" t="s">
        <v>646</v>
      </c>
      <c r="AF220" s="24" t="s">
        <v>160</v>
      </c>
      <c r="AG220" s="24" t="s">
        <v>160</v>
      </c>
      <c r="AH220" s="24" t="s">
        <v>160</v>
      </c>
      <c r="AI220" t="s">
        <v>160</v>
      </c>
      <c r="AJ220" s="29" t="s">
        <v>160</v>
      </c>
      <c r="AK220" s="24" t="s">
        <v>160</v>
      </c>
      <c r="AL220" s="24" t="s">
        <v>160</v>
      </c>
      <c r="AM220" s="24" t="s">
        <v>160</v>
      </c>
      <c r="AN220" s="24" t="s">
        <v>160</v>
      </c>
      <c r="AO220" s="24" t="s">
        <v>160</v>
      </c>
    </row>
    <row r="221" spans="5:41" x14ac:dyDescent="0.25">
      <c r="E221" s="24" t="s">
        <v>139</v>
      </c>
      <c r="F221" s="24" t="s">
        <v>235</v>
      </c>
      <c r="G221">
        <v>6</v>
      </c>
      <c r="H221" t="s">
        <v>100</v>
      </c>
      <c r="I221" s="22" t="s">
        <v>142</v>
      </c>
      <c r="J221" s="22">
        <v>1081549201</v>
      </c>
      <c r="K221" t="s">
        <v>101</v>
      </c>
      <c r="L221" t="s">
        <v>111</v>
      </c>
      <c r="M221">
        <v>9</v>
      </c>
      <c r="N221">
        <v>32</v>
      </c>
      <c r="O221">
        <v>32</v>
      </c>
      <c r="P221" t="s">
        <v>103</v>
      </c>
      <c r="Q221" s="29">
        <v>4894.18</v>
      </c>
      <c r="R221">
        <v>156614</v>
      </c>
      <c r="S221">
        <v>20150130</v>
      </c>
      <c r="T221">
        <v>0</v>
      </c>
      <c r="U221">
        <v>0</v>
      </c>
      <c r="V221">
        <v>156614</v>
      </c>
      <c r="W221" t="s">
        <v>104</v>
      </c>
      <c r="X221" t="s">
        <v>105</v>
      </c>
      <c r="AD221">
        <v>214</v>
      </c>
      <c r="AE221" s="24" t="s">
        <v>647</v>
      </c>
      <c r="AF221" s="24" t="s">
        <v>160</v>
      </c>
      <c r="AG221" s="24" t="s">
        <v>160</v>
      </c>
      <c r="AH221" s="24" t="s">
        <v>160</v>
      </c>
      <c r="AI221" t="s">
        <v>160</v>
      </c>
      <c r="AJ221" s="29" t="s">
        <v>160</v>
      </c>
      <c r="AK221" s="24" t="s">
        <v>160</v>
      </c>
      <c r="AL221" s="24" t="s">
        <v>160</v>
      </c>
      <c r="AM221" s="24" t="s">
        <v>160</v>
      </c>
      <c r="AN221" s="24" t="s">
        <v>160</v>
      </c>
      <c r="AO221" s="24" t="s">
        <v>160</v>
      </c>
    </row>
    <row r="222" spans="5:41" x14ac:dyDescent="0.25">
      <c r="E222" s="24" t="s">
        <v>139</v>
      </c>
      <c r="F222" s="24" t="s">
        <v>235</v>
      </c>
      <c r="G222">
        <v>7</v>
      </c>
      <c r="H222" t="s">
        <v>100</v>
      </c>
      <c r="I222" s="22" t="s">
        <v>142</v>
      </c>
      <c r="J222" s="22">
        <v>1080655601</v>
      </c>
      <c r="K222" t="s">
        <v>101</v>
      </c>
      <c r="L222" t="s">
        <v>111</v>
      </c>
      <c r="M222">
        <v>9</v>
      </c>
      <c r="N222">
        <v>20</v>
      </c>
      <c r="O222">
        <v>20</v>
      </c>
      <c r="P222" t="s">
        <v>103</v>
      </c>
      <c r="Q222" s="29">
        <v>4894.18</v>
      </c>
      <c r="R222">
        <v>97884</v>
      </c>
      <c r="S222">
        <v>20150128</v>
      </c>
      <c r="T222">
        <v>0</v>
      </c>
      <c r="U222">
        <v>0</v>
      </c>
      <c r="V222">
        <v>97884</v>
      </c>
      <c r="W222" t="s">
        <v>104</v>
      </c>
      <c r="X222" t="s">
        <v>105</v>
      </c>
      <c r="AD222">
        <v>215</v>
      </c>
      <c r="AE222" s="24" t="s">
        <v>648</v>
      </c>
      <c r="AF222" s="24" t="s">
        <v>160</v>
      </c>
      <c r="AG222" s="24" t="s">
        <v>160</v>
      </c>
      <c r="AH222" s="24" t="s">
        <v>160</v>
      </c>
      <c r="AI222" t="s">
        <v>160</v>
      </c>
      <c r="AJ222" s="29" t="s">
        <v>160</v>
      </c>
      <c r="AK222" s="24" t="s">
        <v>160</v>
      </c>
      <c r="AL222" s="24" t="s">
        <v>160</v>
      </c>
      <c r="AM222" s="24" t="s">
        <v>160</v>
      </c>
      <c r="AN222" s="24" t="s">
        <v>160</v>
      </c>
      <c r="AO222" s="24" t="s">
        <v>160</v>
      </c>
    </row>
    <row r="223" spans="5:41" x14ac:dyDescent="0.25">
      <c r="E223" s="24" t="s">
        <v>139</v>
      </c>
      <c r="F223" s="24" t="s">
        <v>235</v>
      </c>
      <c r="G223">
        <v>8</v>
      </c>
      <c r="H223" t="s">
        <v>100</v>
      </c>
      <c r="I223" s="22" t="s">
        <v>142</v>
      </c>
      <c r="J223" s="22">
        <v>1081097711</v>
      </c>
      <c r="K223" t="s">
        <v>101</v>
      </c>
      <c r="L223" t="s">
        <v>111</v>
      </c>
      <c r="M223">
        <v>9</v>
      </c>
      <c r="N223">
        <v>22</v>
      </c>
      <c r="O223">
        <v>22</v>
      </c>
      <c r="P223" t="s">
        <v>103</v>
      </c>
      <c r="Q223" s="29">
        <v>4894.18</v>
      </c>
      <c r="R223">
        <v>107672</v>
      </c>
      <c r="S223">
        <v>20150130</v>
      </c>
      <c r="T223">
        <v>0</v>
      </c>
      <c r="U223">
        <v>0</v>
      </c>
      <c r="V223">
        <v>107672</v>
      </c>
      <c r="W223" t="s">
        <v>104</v>
      </c>
      <c r="X223" t="s">
        <v>105</v>
      </c>
      <c r="AD223">
        <v>216</v>
      </c>
      <c r="AE223" s="24" t="s">
        <v>649</v>
      </c>
      <c r="AF223" s="24" t="s">
        <v>160</v>
      </c>
      <c r="AG223" s="24" t="s">
        <v>160</v>
      </c>
      <c r="AH223" s="24" t="s">
        <v>160</v>
      </c>
      <c r="AI223" t="s">
        <v>160</v>
      </c>
      <c r="AJ223" s="29" t="s">
        <v>160</v>
      </c>
      <c r="AK223" s="24" t="s">
        <v>160</v>
      </c>
      <c r="AL223" s="24" t="s">
        <v>160</v>
      </c>
      <c r="AM223" s="24" t="s">
        <v>160</v>
      </c>
      <c r="AN223" s="24" t="s">
        <v>160</v>
      </c>
      <c r="AO223" s="24" t="s">
        <v>160</v>
      </c>
    </row>
    <row r="224" spans="5:41" x14ac:dyDescent="0.25">
      <c r="E224" s="24" t="s">
        <v>139</v>
      </c>
      <c r="F224" s="24" t="s">
        <v>235</v>
      </c>
      <c r="G224">
        <v>9</v>
      </c>
      <c r="H224" t="s">
        <v>100</v>
      </c>
      <c r="I224" s="22" t="s">
        <v>143</v>
      </c>
      <c r="J224" s="22">
        <v>1076369201</v>
      </c>
      <c r="K224" t="s">
        <v>101</v>
      </c>
      <c r="L224" t="s">
        <v>236</v>
      </c>
      <c r="M224">
        <v>9</v>
      </c>
      <c r="N224">
        <v>8</v>
      </c>
      <c r="O224">
        <v>8</v>
      </c>
      <c r="P224" t="s">
        <v>103</v>
      </c>
      <c r="Q224" s="29">
        <v>4530.42</v>
      </c>
      <c r="R224">
        <v>36243</v>
      </c>
      <c r="S224">
        <v>20150129</v>
      </c>
      <c r="T224">
        <v>0</v>
      </c>
      <c r="U224">
        <v>0</v>
      </c>
      <c r="V224">
        <v>36243</v>
      </c>
      <c r="W224" t="s">
        <v>104</v>
      </c>
      <c r="X224" t="s">
        <v>105</v>
      </c>
      <c r="AD224">
        <v>217</v>
      </c>
      <c r="AE224" s="24" t="s">
        <v>650</v>
      </c>
      <c r="AF224" s="24" t="s">
        <v>160</v>
      </c>
      <c r="AG224" s="24" t="s">
        <v>160</v>
      </c>
      <c r="AH224" s="24" t="s">
        <v>160</v>
      </c>
      <c r="AI224" t="s">
        <v>160</v>
      </c>
      <c r="AJ224" s="29" t="s">
        <v>160</v>
      </c>
      <c r="AK224" s="24" t="s">
        <v>160</v>
      </c>
      <c r="AL224" s="24" t="s">
        <v>160</v>
      </c>
      <c r="AM224" s="24" t="s">
        <v>160</v>
      </c>
      <c r="AN224" s="24" t="s">
        <v>160</v>
      </c>
      <c r="AO224" s="24" t="s">
        <v>160</v>
      </c>
    </row>
    <row r="225" spans="5:41" x14ac:dyDescent="0.25">
      <c r="E225" s="24" t="s">
        <v>139</v>
      </c>
      <c r="F225" s="24" t="s">
        <v>235</v>
      </c>
      <c r="G225">
        <v>10</v>
      </c>
      <c r="H225" t="s">
        <v>100</v>
      </c>
      <c r="I225" s="22" t="s">
        <v>143</v>
      </c>
      <c r="J225" s="22">
        <v>1071616001</v>
      </c>
      <c r="K225" t="s">
        <v>101</v>
      </c>
      <c r="L225" t="s">
        <v>236</v>
      </c>
      <c r="M225">
        <v>9</v>
      </c>
      <c r="N225">
        <v>1</v>
      </c>
      <c r="O225">
        <v>1</v>
      </c>
      <c r="P225" t="s">
        <v>103</v>
      </c>
      <c r="Q225" s="29">
        <v>4530.42</v>
      </c>
      <c r="R225">
        <v>4530</v>
      </c>
      <c r="S225">
        <v>20150129</v>
      </c>
      <c r="T225">
        <v>0</v>
      </c>
      <c r="U225">
        <v>0</v>
      </c>
      <c r="V225">
        <v>4530</v>
      </c>
      <c r="W225" t="s">
        <v>104</v>
      </c>
      <c r="X225" t="s">
        <v>105</v>
      </c>
      <c r="AD225">
        <v>218</v>
      </c>
      <c r="AE225" s="24" t="s">
        <v>651</v>
      </c>
      <c r="AF225" s="24" t="s">
        <v>160</v>
      </c>
      <c r="AG225" s="24" t="s">
        <v>160</v>
      </c>
      <c r="AH225" s="24" t="s">
        <v>160</v>
      </c>
      <c r="AI225" t="s">
        <v>160</v>
      </c>
      <c r="AJ225" s="29" t="s">
        <v>160</v>
      </c>
      <c r="AK225" s="24" t="s">
        <v>160</v>
      </c>
      <c r="AL225" s="24" t="s">
        <v>160</v>
      </c>
      <c r="AM225" s="24" t="s">
        <v>160</v>
      </c>
      <c r="AN225" s="24" t="s">
        <v>160</v>
      </c>
      <c r="AO225" s="24" t="s">
        <v>160</v>
      </c>
    </row>
    <row r="226" spans="5:41" x14ac:dyDescent="0.25">
      <c r="E226" s="24" t="s">
        <v>139</v>
      </c>
      <c r="F226" s="24" t="s">
        <v>235</v>
      </c>
      <c r="G226">
        <v>11</v>
      </c>
      <c r="H226" t="s">
        <v>100</v>
      </c>
      <c r="I226" s="22" t="s">
        <v>143</v>
      </c>
      <c r="J226" s="22">
        <v>1076369301</v>
      </c>
      <c r="K226" t="s">
        <v>101</v>
      </c>
      <c r="L226" t="s">
        <v>237</v>
      </c>
      <c r="M226">
        <v>9</v>
      </c>
      <c r="N226">
        <v>8</v>
      </c>
      <c r="O226">
        <v>8</v>
      </c>
      <c r="P226" t="s">
        <v>103</v>
      </c>
      <c r="Q226" s="29">
        <v>4979.26</v>
      </c>
      <c r="R226">
        <v>39834</v>
      </c>
      <c r="S226">
        <v>20150129</v>
      </c>
      <c r="T226">
        <v>0</v>
      </c>
      <c r="U226">
        <v>0</v>
      </c>
      <c r="V226">
        <v>39834</v>
      </c>
      <c r="W226" t="s">
        <v>104</v>
      </c>
      <c r="X226" t="s">
        <v>105</v>
      </c>
      <c r="AD226">
        <v>219</v>
      </c>
      <c r="AE226" s="24" t="s">
        <v>652</v>
      </c>
      <c r="AF226" s="24" t="s">
        <v>160</v>
      </c>
      <c r="AG226" s="24" t="s">
        <v>160</v>
      </c>
      <c r="AH226" s="24" t="s">
        <v>160</v>
      </c>
      <c r="AI226" t="s">
        <v>160</v>
      </c>
      <c r="AJ226" s="29" t="s">
        <v>160</v>
      </c>
      <c r="AK226" s="24" t="s">
        <v>160</v>
      </c>
      <c r="AL226" s="24" t="s">
        <v>160</v>
      </c>
      <c r="AM226" s="24" t="s">
        <v>160</v>
      </c>
      <c r="AN226" s="24" t="s">
        <v>160</v>
      </c>
      <c r="AO226" s="24" t="s">
        <v>160</v>
      </c>
    </row>
    <row r="227" spans="5:41" x14ac:dyDescent="0.25">
      <c r="E227" s="24" t="s">
        <v>139</v>
      </c>
      <c r="F227" s="24" t="s">
        <v>235</v>
      </c>
      <c r="G227">
        <v>12</v>
      </c>
      <c r="H227" t="s">
        <v>100</v>
      </c>
      <c r="I227" s="22" t="s">
        <v>143</v>
      </c>
      <c r="J227" s="22">
        <v>1071605401</v>
      </c>
      <c r="K227" t="s">
        <v>101</v>
      </c>
      <c r="L227" t="s">
        <v>237</v>
      </c>
      <c r="M227">
        <v>9</v>
      </c>
      <c r="N227">
        <v>1</v>
      </c>
      <c r="O227">
        <v>1</v>
      </c>
      <c r="P227" t="s">
        <v>103</v>
      </c>
      <c r="Q227" s="29">
        <v>4979.26</v>
      </c>
      <c r="R227">
        <v>4979</v>
      </c>
      <c r="S227">
        <v>20150129</v>
      </c>
      <c r="T227">
        <v>0</v>
      </c>
      <c r="U227">
        <v>0</v>
      </c>
      <c r="V227">
        <v>4979</v>
      </c>
      <c r="W227" t="s">
        <v>104</v>
      </c>
      <c r="X227" t="s">
        <v>105</v>
      </c>
      <c r="AD227">
        <v>220</v>
      </c>
      <c r="AE227" s="24" t="s">
        <v>653</v>
      </c>
      <c r="AF227" s="24" t="s">
        <v>160</v>
      </c>
      <c r="AG227" s="24" t="s">
        <v>160</v>
      </c>
      <c r="AH227" s="24" t="s">
        <v>160</v>
      </c>
      <c r="AI227" t="s">
        <v>160</v>
      </c>
      <c r="AJ227" s="29" t="s">
        <v>160</v>
      </c>
      <c r="AK227" s="24" t="s">
        <v>160</v>
      </c>
      <c r="AL227" s="24" t="s">
        <v>160</v>
      </c>
      <c r="AM227" s="24" t="s">
        <v>160</v>
      </c>
      <c r="AN227" s="24" t="s">
        <v>160</v>
      </c>
      <c r="AO227" s="24" t="s">
        <v>160</v>
      </c>
    </row>
    <row r="228" spans="5:41" x14ac:dyDescent="0.25">
      <c r="E228" s="24" t="s">
        <v>139</v>
      </c>
      <c r="F228" s="24" t="s">
        <v>235</v>
      </c>
      <c r="G228">
        <v>13</v>
      </c>
      <c r="H228" t="s">
        <v>100</v>
      </c>
      <c r="I228" s="22" t="s">
        <v>112</v>
      </c>
      <c r="J228" s="22">
        <v>1077886001</v>
      </c>
      <c r="K228" t="s">
        <v>101</v>
      </c>
      <c r="L228" t="s">
        <v>113</v>
      </c>
      <c r="M228">
        <v>9</v>
      </c>
      <c r="N228">
        <v>32</v>
      </c>
      <c r="O228">
        <v>32</v>
      </c>
      <c r="P228" t="s">
        <v>103</v>
      </c>
      <c r="Q228" s="29">
        <v>94.64</v>
      </c>
      <c r="R228">
        <v>3028</v>
      </c>
      <c r="S228">
        <v>20150121</v>
      </c>
      <c r="T228">
        <v>0</v>
      </c>
      <c r="U228">
        <v>0</v>
      </c>
      <c r="V228">
        <v>3028</v>
      </c>
      <c r="W228" t="s">
        <v>104</v>
      </c>
      <c r="X228" t="s">
        <v>105</v>
      </c>
      <c r="AD228">
        <v>221</v>
      </c>
      <c r="AE228" s="24" t="s">
        <v>654</v>
      </c>
      <c r="AF228" s="24" t="s">
        <v>160</v>
      </c>
      <c r="AG228" s="24" t="s">
        <v>160</v>
      </c>
      <c r="AH228" s="24" t="s">
        <v>160</v>
      </c>
      <c r="AI228" t="s">
        <v>160</v>
      </c>
      <c r="AJ228" s="29" t="s">
        <v>160</v>
      </c>
      <c r="AK228" s="24" t="s">
        <v>160</v>
      </c>
      <c r="AL228" s="24" t="s">
        <v>160</v>
      </c>
      <c r="AM228" s="24" t="s">
        <v>160</v>
      </c>
      <c r="AN228" s="24" t="s">
        <v>160</v>
      </c>
      <c r="AO228" s="24" t="s">
        <v>160</v>
      </c>
    </row>
    <row r="229" spans="5:41" x14ac:dyDescent="0.25">
      <c r="E229" s="24" t="s">
        <v>139</v>
      </c>
      <c r="F229" s="24" t="s">
        <v>235</v>
      </c>
      <c r="G229">
        <v>14</v>
      </c>
      <c r="H229" t="s">
        <v>100</v>
      </c>
      <c r="I229" s="22" t="s">
        <v>112</v>
      </c>
      <c r="J229" s="22">
        <v>1080185601</v>
      </c>
      <c r="K229" t="s">
        <v>101</v>
      </c>
      <c r="L229" t="s">
        <v>113</v>
      </c>
      <c r="M229">
        <v>9</v>
      </c>
      <c r="N229">
        <v>32</v>
      </c>
      <c r="O229">
        <v>32</v>
      </c>
      <c r="P229" t="s">
        <v>103</v>
      </c>
      <c r="Q229" s="29">
        <v>94.64</v>
      </c>
      <c r="R229">
        <v>3028</v>
      </c>
      <c r="S229">
        <v>20150127</v>
      </c>
      <c r="T229">
        <v>0</v>
      </c>
      <c r="U229">
        <v>0</v>
      </c>
      <c r="V229">
        <v>3028</v>
      </c>
      <c r="W229" t="s">
        <v>104</v>
      </c>
      <c r="X229" t="s">
        <v>105</v>
      </c>
      <c r="AD229">
        <v>222</v>
      </c>
      <c r="AE229" s="24" t="s">
        <v>655</v>
      </c>
      <c r="AF229" s="24" t="s">
        <v>160</v>
      </c>
      <c r="AG229" s="24" t="s">
        <v>160</v>
      </c>
      <c r="AH229" s="24" t="s">
        <v>160</v>
      </c>
      <c r="AI229" t="s">
        <v>160</v>
      </c>
      <c r="AJ229" s="29" t="s">
        <v>160</v>
      </c>
      <c r="AK229" s="24" t="s">
        <v>160</v>
      </c>
      <c r="AL229" s="24" t="s">
        <v>160</v>
      </c>
      <c r="AM229" s="24" t="s">
        <v>160</v>
      </c>
      <c r="AN229" s="24" t="s">
        <v>160</v>
      </c>
      <c r="AO229" s="24" t="s">
        <v>160</v>
      </c>
    </row>
    <row r="230" spans="5:41" x14ac:dyDescent="0.25">
      <c r="E230" s="24" t="s">
        <v>139</v>
      </c>
      <c r="F230" s="24" t="s">
        <v>235</v>
      </c>
      <c r="G230">
        <v>15</v>
      </c>
      <c r="H230" t="s">
        <v>100</v>
      </c>
      <c r="I230" s="22" t="s">
        <v>112</v>
      </c>
      <c r="J230" s="22">
        <v>1081097611</v>
      </c>
      <c r="K230" t="s">
        <v>101</v>
      </c>
      <c r="L230" t="s">
        <v>113</v>
      </c>
      <c r="M230">
        <v>9</v>
      </c>
      <c r="N230">
        <v>64</v>
      </c>
      <c r="O230">
        <v>64</v>
      </c>
      <c r="P230" t="s">
        <v>103</v>
      </c>
      <c r="Q230" s="29">
        <v>94.64</v>
      </c>
      <c r="R230">
        <v>6057</v>
      </c>
      <c r="S230">
        <v>20150130</v>
      </c>
      <c r="T230">
        <v>0</v>
      </c>
      <c r="U230">
        <v>0</v>
      </c>
      <c r="V230">
        <v>6057</v>
      </c>
      <c r="W230" t="s">
        <v>104</v>
      </c>
      <c r="X230" t="s">
        <v>105</v>
      </c>
      <c r="AD230">
        <v>223</v>
      </c>
      <c r="AE230" s="24" t="s">
        <v>656</v>
      </c>
      <c r="AF230" s="24" t="s">
        <v>160</v>
      </c>
      <c r="AG230" s="24" t="s">
        <v>160</v>
      </c>
      <c r="AH230" s="24" t="s">
        <v>160</v>
      </c>
      <c r="AI230" t="s">
        <v>160</v>
      </c>
      <c r="AJ230" s="29" t="s">
        <v>160</v>
      </c>
      <c r="AK230" s="24" t="s">
        <v>160</v>
      </c>
      <c r="AL230" s="24" t="s">
        <v>160</v>
      </c>
      <c r="AM230" s="24" t="s">
        <v>160</v>
      </c>
      <c r="AN230" s="24" t="s">
        <v>160</v>
      </c>
      <c r="AO230" s="24" t="s">
        <v>160</v>
      </c>
    </row>
    <row r="231" spans="5:41" x14ac:dyDescent="0.25">
      <c r="E231" s="24" t="s">
        <v>139</v>
      </c>
      <c r="F231" s="24" t="s">
        <v>235</v>
      </c>
      <c r="G231">
        <v>16</v>
      </c>
      <c r="H231" t="s">
        <v>100</v>
      </c>
      <c r="I231" s="22" t="s">
        <v>112</v>
      </c>
      <c r="J231" s="22">
        <v>1078886201</v>
      </c>
      <c r="K231" t="s">
        <v>101</v>
      </c>
      <c r="L231" t="s">
        <v>113</v>
      </c>
      <c r="M231">
        <v>9</v>
      </c>
      <c r="N231">
        <v>32</v>
      </c>
      <c r="O231">
        <v>32</v>
      </c>
      <c r="P231" t="s">
        <v>103</v>
      </c>
      <c r="Q231" s="29">
        <v>94.64</v>
      </c>
      <c r="R231">
        <v>3028</v>
      </c>
      <c r="S231">
        <v>20150123</v>
      </c>
      <c r="T231">
        <v>0</v>
      </c>
      <c r="U231">
        <v>0</v>
      </c>
      <c r="V231">
        <v>3028</v>
      </c>
      <c r="W231" t="s">
        <v>104</v>
      </c>
      <c r="X231" t="s">
        <v>105</v>
      </c>
      <c r="AD231">
        <v>224</v>
      </c>
      <c r="AE231" s="24" t="s">
        <v>657</v>
      </c>
      <c r="AF231" s="24" t="s">
        <v>160</v>
      </c>
      <c r="AG231" s="24" t="s">
        <v>160</v>
      </c>
      <c r="AH231" s="24" t="s">
        <v>160</v>
      </c>
      <c r="AI231" t="s">
        <v>160</v>
      </c>
      <c r="AJ231" s="29" t="s">
        <v>160</v>
      </c>
      <c r="AK231" s="24" t="s">
        <v>160</v>
      </c>
      <c r="AL231" s="24" t="s">
        <v>160</v>
      </c>
      <c r="AM231" s="24" t="s">
        <v>160</v>
      </c>
      <c r="AN231" s="24" t="s">
        <v>160</v>
      </c>
      <c r="AO231" s="24" t="s">
        <v>160</v>
      </c>
    </row>
    <row r="232" spans="5:41" x14ac:dyDescent="0.25">
      <c r="E232" s="24" t="s">
        <v>139</v>
      </c>
      <c r="F232" s="24" t="s">
        <v>235</v>
      </c>
      <c r="G232">
        <v>17</v>
      </c>
      <c r="H232" t="s">
        <v>100</v>
      </c>
      <c r="I232" s="22" t="s">
        <v>112</v>
      </c>
      <c r="J232" s="22">
        <v>1079346701</v>
      </c>
      <c r="K232" t="s">
        <v>101</v>
      </c>
      <c r="L232" t="s">
        <v>113</v>
      </c>
      <c r="M232">
        <v>9</v>
      </c>
      <c r="N232">
        <v>32</v>
      </c>
      <c r="O232">
        <v>32</v>
      </c>
      <c r="P232" t="s">
        <v>103</v>
      </c>
      <c r="Q232" s="29">
        <v>94.64</v>
      </c>
      <c r="R232">
        <v>3028</v>
      </c>
      <c r="S232">
        <v>20150126</v>
      </c>
      <c r="T232">
        <v>0</v>
      </c>
      <c r="U232">
        <v>0</v>
      </c>
      <c r="V232">
        <v>3028</v>
      </c>
      <c r="W232" t="s">
        <v>104</v>
      </c>
      <c r="X232" t="s">
        <v>105</v>
      </c>
      <c r="AD232">
        <v>225</v>
      </c>
      <c r="AE232" s="24" t="s">
        <v>658</v>
      </c>
      <c r="AF232" s="24" t="s">
        <v>161</v>
      </c>
      <c r="AG232" s="24" t="s">
        <v>659</v>
      </c>
      <c r="AH232" s="24" t="s">
        <v>660</v>
      </c>
      <c r="AI232">
        <v>32</v>
      </c>
      <c r="AJ232" s="29">
        <v>94.64</v>
      </c>
      <c r="AK232" s="24" t="s">
        <v>183</v>
      </c>
      <c r="AL232" s="24" t="s">
        <v>184</v>
      </c>
      <c r="AM232" s="24" t="s">
        <v>164</v>
      </c>
      <c r="AN232" s="24" t="s">
        <v>185</v>
      </c>
      <c r="AO232" s="24" t="s">
        <v>658</v>
      </c>
    </row>
    <row r="233" spans="5:41" x14ac:dyDescent="0.25">
      <c r="E233" s="24" t="s">
        <v>139</v>
      </c>
      <c r="F233" s="24" t="s">
        <v>235</v>
      </c>
      <c r="G233">
        <v>18</v>
      </c>
      <c r="H233" t="s">
        <v>100</v>
      </c>
      <c r="I233" s="22" t="s">
        <v>112</v>
      </c>
      <c r="J233" s="22">
        <v>1080655401</v>
      </c>
      <c r="K233" t="s">
        <v>101</v>
      </c>
      <c r="L233" t="s">
        <v>113</v>
      </c>
      <c r="M233">
        <v>9</v>
      </c>
      <c r="N233">
        <v>32</v>
      </c>
      <c r="O233">
        <v>32</v>
      </c>
      <c r="P233" t="s">
        <v>103</v>
      </c>
      <c r="Q233" s="29">
        <v>94.64</v>
      </c>
      <c r="R233">
        <v>3028</v>
      </c>
      <c r="S233">
        <v>20150128</v>
      </c>
      <c r="T233">
        <v>0</v>
      </c>
      <c r="U233">
        <v>0</v>
      </c>
      <c r="V233">
        <v>3028</v>
      </c>
      <c r="W233" t="s">
        <v>104</v>
      </c>
      <c r="X233" t="s">
        <v>105</v>
      </c>
      <c r="AD233">
        <v>226</v>
      </c>
      <c r="AE233" s="24" t="s">
        <v>661</v>
      </c>
      <c r="AF233" s="24" t="s">
        <v>160</v>
      </c>
      <c r="AG233" s="24" t="s">
        <v>160</v>
      </c>
      <c r="AH233" s="24" t="s">
        <v>160</v>
      </c>
      <c r="AI233" t="s">
        <v>160</v>
      </c>
      <c r="AJ233" s="29" t="s">
        <v>160</v>
      </c>
      <c r="AK233" s="24" t="s">
        <v>160</v>
      </c>
      <c r="AL233" s="24" t="s">
        <v>160</v>
      </c>
      <c r="AM233" s="24" t="s">
        <v>160</v>
      </c>
      <c r="AN233" s="24" t="s">
        <v>160</v>
      </c>
      <c r="AO233" s="24" t="s">
        <v>160</v>
      </c>
    </row>
    <row r="234" spans="5:41" x14ac:dyDescent="0.25">
      <c r="E234" s="24" t="s">
        <v>139</v>
      </c>
      <c r="F234" s="24" t="s">
        <v>235</v>
      </c>
      <c r="G234">
        <v>19</v>
      </c>
      <c r="H234" t="s">
        <v>100</v>
      </c>
      <c r="I234" s="22" t="s">
        <v>112</v>
      </c>
      <c r="J234" s="22">
        <v>1081549601</v>
      </c>
      <c r="K234" t="s">
        <v>101</v>
      </c>
      <c r="L234" t="s">
        <v>113</v>
      </c>
      <c r="M234">
        <v>9</v>
      </c>
      <c r="N234">
        <v>32</v>
      </c>
      <c r="O234">
        <v>32</v>
      </c>
      <c r="P234" t="s">
        <v>103</v>
      </c>
      <c r="Q234" s="29">
        <v>94.64</v>
      </c>
      <c r="R234">
        <v>3028</v>
      </c>
      <c r="S234">
        <v>20150130</v>
      </c>
      <c r="T234">
        <v>0</v>
      </c>
      <c r="U234">
        <v>0</v>
      </c>
      <c r="V234">
        <v>3028</v>
      </c>
      <c r="W234" t="s">
        <v>104</v>
      </c>
      <c r="X234" t="s">
        <v>105</v>
      </c>
      <c r="AD234">
        <v>227</v>
      </c>
      <c r="AE234" s="24" t="s">
        <v>662</v>
      </c>
      <c r="AF234" s="24" t="s">
        <v>160</v>
      </c>
      <c r="AG234" s="24" t="s">
        <v>160</v>
      </c>
      <c r="AH234" s="24" t="s">
        <v>160</v>
      </c>
      <c r="AI234" t="s">
        <v>160</v>
      </c>
      <c r="AJ234" s="29" t="s">
        <v>160</v>
      </c>
      <c r="AK234" s="24" t="s">
        <v>160</v>
      </c>
      <c r="AL234" s="24" t="s">
        <v>160</v>
      </c>
      <c r="AM234" s="24" t="s">
        <v>160</v>
      </c>
      <c r="AN234" s="24" t="s">
        <v>160</v>
      </c>
      <c r="AO234" s="24" t="s">
        <v>160</v>
      </c>
    </row>
    <row r="235" spans="5:41" x14ac:dyDescent="0.25">
      <c r="E235" s="24" t="s">
        <v>139</v>
      </c>
      <c r="F235" s="24" t="s">
        <v>235</v>
      </c>
      <c r="G235">
        <v>20</v>
      </c>
      <c r="H235" t="s">
        <v>100</v>
      </c>
      <c r="I235" s="22" t="s">
        <v>112</v>
      </c>
      <c r="J235" s="22">
        <v>1080185501</v>
      </c>
      <c r="K235" t="s">
        <v>101</v>
      </c>
      <c r="L235" t="s">
        <v>114</v>
      </c>
      <c r="M235">
        <v>9</v>
      </c>
      <c r="N235">
        <v>32</v>
      </c>
      <c r="O235">
        <v>32</v>
      </c>
      <c r="P235" t="s">
        <v>103</v>
      </c>
      <c r="Q235" s="29">
        <v>99.88</v>
      </c>
      <c r="R235">
        <v>3196</v>
      </c>
      <c r="S235">
        <v>20150127</v>
      </c>
      <c r="T235">
        <v>0</v>
      </c>
      <c r="U235">
        <v>0</v>
      </c>
      <c r="V235">
        <v>3196</v>
      </c>
      <c r="W235" t="s">
        <v>104</v>
      </c>
      <c r="X235" t="s">
        <v>105</v>
      </c>
      <c r="AD235">
        <v>228</v>
      </c>
      <c r="AE235" s="24" t="s">
        <v>663</v>
      </c>
      <c r="AF235" s="24" t="s">
        <v>160</v>
      </c>
      <c r="AG235" s="24" t="s">
        <v>160</v>
      </c>
      <c r="AH235" s="24" t="s">
        <v>160</v>
      </c>
      <c r="AI235" t="s">
        <v>160</v>
      </c>
      <c r="AJ235" s="29" t="s">
        <v>160</v>
      </c>
      <c r="AK235" s="24" t="s">
        <v>160</v>
      </c>
      <c r="AL235" s="24" t="s">
        <v>160</v>
      </c>
      <c r="AM235" s="24" t="s">
        <v>160</v>
      </c>
      <c r="AN235" s="24" t="s">
        <v>160</v>
      </c>
      <c r="AO235" s="24" t="s">
        <v>160</v>
      </c>
    </row>
    <row r="236" spans="5:41" x14ac:dyDescent="0.25">
      <c r="E236" s="24" t="s">
        <v>139</v>
      </c>
      <c r="F236" s="24" t="s">
        <v>235</v>
      </c>
      <c r="G236">
        <v>21</v>
      </c>
      <c r="H236" t="s">
        <v>100</v>
      </c>
      <c r="I236" s="22" t="s">
        <v>112</v>
      </c>
      <c r="J236" s="22">
        <v>1081549701</v>
      </c>
      <c r="K236" t="s">
        <v>101</v>
      </c>
      <c r="L236" t="s">
        <v>114</v>
      </c>
      <c r="M236">
        <v>9</v>
      </c>
      <c r="N236">
        <v>64</v>
      </c>
      <c r="O236">
        <v>64</v>
      </c>
      <c r="P236" t="s">
        <v>103</v>
      </c>
      <c r="Q236" s="29">
        <v>99.88</v>
      </c>
      <c r="R236">
        <v>6392</v>
      </c>
      <c r="S236">
        <v>20150130</v>
      </c>
      <c r="T236">
        <v>0</v>
      </c>
      <c r="U236">
        <v>0</v>
      </c>
      <c r="V236">
        <v>6392</v>
      </c>
      <c r="W236" t="s">
        <v>104</v>
      </c>
      <c r="X236" t="s">
        <v>105</v>
      </c>
      <c r="AD236">
        <v>229</v>
      </c>
      <c r="AE236" s="24" t="s">
        <v>664</v>
      </c>
      <c r="AF236" s="24" t="s">
        <v>160</v>
      </c>
      <c r="AG236" s="24" t="s">
        <v>160</v>
      </c>
      <c r="AH236" s="24" t="s">
        <v>160</v>
      </c>
      <c r="AI236" t="s">
        <v>160</v>
      </c>
      <c r="AJ236" s="29" t="s">
        <v>160</v>
      </c>
      <c r="AK236" s="24" t="s">
        <v>160</v>
      </c>
      <c r="AL236" s="24" t="s">
        <v>160</v>
      </c>
      <c r="AM236" s="24" t="s">
        <v>160</v>
      </c>
      <c r="AN236" s="24" t="s">
        <v>160</v>
      </c>
      <c r="AO236" s="24" t="s">
        <v>160</v>
      </c>
    </row>
    <row r="237" spans="5:41" x14ac:dyDescent="0.25">
      <c r="E237" s="24" t="s">
        <v>139</v>
      </c>
      <c r="F237" s="24" t="s">
        <v>235</v>
      </c>
      <c r="G237">
        <v>22</v>
      </c>
      <c r="H237" t="s">
        <v>100</v>
      </c>
      <c r="I237" s="22" t="s">
        <v>112</v>
      </c>
      <c r="J237" s="22">
        <v>1080655201</v>
      </c>
      <c r="K237" t="s">
        <v>101</v>
      </c>
      <c r="L237" t="s">
        <v>114</v>
      </c>
      <c r="M237">
        <v>9</v>
      </c>
      <c r="N237">
        <v>32</v>
      </c>
      <c r="O237">
        <v>32</v>
      </c>
      <c r="P237" t="s">
        <v>103</v>
      </c>
      <c r="Q237" s="29">
        <v>99.88</v>
      </c>
      <c r="R237">
        <v>3196</v>
      </c>
      <c r="S237">
        <v>20150128</v>
      </c>
      <c r="T237">
        <v>0</v>
      </c>
      <c r="U237">
        <v>0</v>
      </c>
      <c r="V237">
        <v>3196</v>
      </c>
      <c r="W237" t="s">
        <v>104</v>
      </c>
      <c r="X237" t="s">
        <v>105</v>
      </c>
      <c r="AD237">
        <v>230</v>
      </c>
      <c r="AE237" s="24" t="s">
        <v>665</v>
      </c>
      <c r="AF237" s="24" t="s">
        <v>160</v>
      </c>
      <c r="AG237" s="24" t="s">
        <v>160</v>
      </c>
      <c r="AH237" s="24" t="s">
        <v>160</v>
      </c>
      <c r="AI237" t="s">
        <v>160</v>
      </c>
      <c r="AJ237" s="29" t="s">
        <v>160</v>
      </c>
      <c r="AK237" s="24" t="s">
        <v>160</v>
      </c>
      <c r="AL237" s="24" t="s">
        <v>160</v>
      </c>
      <c r="AM237" s="24" t="s">
        <v>160</v>
      </c>
      <c r="AN237" s="24" t="s">
        <v>160</v>
      </c>
      <c r="AO237" s="24" t="s">
        <v>160</v>
      </c>
    </row>
    <row r="238" spans="5:41" x14ac:dyDescent="0.25">
      <c r="E238" s="24" t="s">
        <v>139</v>
      </c>
      <c r="F238" s="24" t="s">
        <v>238</v>
      </c>
      <c r="G238">
        <v>1</v>
      </c>
      <c r="H238" t="s">
        <v>100</v>
      </c>
      <c r="I238" s="22" t="s">
        <v>143</v>
      </c>
      <c r="J238" s="22">
        <v>1076360701</v>
      </c>
      <c r="K238" t="s">
        <v>101</v>
      </c>
      <c r="L238" t="s">
        <v>239</v>
      </c>
      <c r="M238">
        <v>9</v>
      </c>
      <c r="N238">
        <v>32</v>
      </c>
      <c r="O238">
        <v>32</v>
      </c>
      <c r="P238" t="s">
        <v>103</v>
      </c>
      <c r="Q238" s="29">
        <v>99.88</v>
      </c>
      <c r="R238">
        <v>3196</v>
      </c>
      <c r="S238">
        <v>20150126</v>
      </c>
      <c r="T238">
        <v>0</v>
      </c>
      <c r="U238">
        <v>0</v>
      </c>
      <c r="V238">
        <v>3196</v>
      </c>
      <c r="W238" t="s">
        <v>104</v>
      </c>
      <c r="X238" t="s">
        <v>105</v>
      </c>
      <c r="Y238">
        <v>3</v>
      </c>
      <c r="Z238">
        <v>871106</v>
      </c>
      <c r="AA238">
        <v>0</v>
      </c>
      <c r="AB238">
        <v>0</v>
      </c>
      <c r="AC238">
        <v>871106</v>
      </c>
      <c r="AD238">
        <v>231</v>
      </c>
      <c r="AE238" s="24" t="s">
        <v>666</v>
      </c>
      <c r="AF238" s="24" t="s">
        <v>160</v>
      </c>
      <c r="AG238" s="24" t="s">
        <v>160</v>
      </c>
      <c r="AH238" s="24" t="s">
        <v>160</v>
      </c>
      <c r="AI238" t="s">
        <v>160</v>
      </c>
      <c r="AJ238" s="29" t="s">
        <v>160</v>
      </c>
      <c r="AK238" s="24" t="s">
        <v>160</v>
      </c>
      <c r="AL238" s="24" t="s">
        <v>160</v>
      </c>
      <c r="AM238" s="24" t="s">
        <v>160</v>
      </c>
      <c r="AN238" s="24" t="s">
        <v>160</v>
      </c>
      <c r="AO238" s="24" t="s">
        <v>160</v>
      </c>
    </row>
    <row r="239" spans="5:41" x14ac:dyDescent="0.25">
      <c r="E239" s="24" t="s">
        <v>139</v>
      </c>
      <c r="F239" s="24" t="s">
        <v>238</v>
      </c>
      <c r="G239">
        <v>2</v>
      </c>
      <c r="H239" t="s">
        <v>100</v>
      </c>
      <c r="I239" s="22" t="s">
        <v>143</v>
      </c>
      <c r="J239" s="22">
        <v>1070428001</v>
      </c>
      <c r="K239" t="s">
        <v>101</v>
      </c>
      <c r="L239" t="s">
        <v>239</v>
      </c>
      <c r="M239">
        <v>9</v>
      </c>
      <c r="N239">
        <v>3</v>
      </c>
      <c r="O239">
        <v>3</v>
      </c>
      <c r="P239" t="s">
        <v>103</v>
      </c>
      <c r="Q239" s="29">
        <v>99.88</v>
      </c>
      <c r="R239">
        <v>300</v>
      </c>
      <c r="S239">
        <v>20150127</v>
      </c>
      <c r="T239">
        <v>0</v>
      </c>
      <c r="U239">
        <v>0</v>
      </c>
      <c r="V239">
        <v>300</v>
      </c>
      <c r="W239" t="s">
        <v>104</v>
      </c>
      <c r="X239" t="s">
        <v>105</v>
      </c>
      <c r="AD239">
        <v>232</v>
      </c>
      <c r="AE239" s="24" t="s">
        <v>667</v>
      </c>
      <c r="AF239" s="24" t="s">
        <v>160</v>
      </c>
      <c r="AG239" s="24" t="s">
        <v>160</v>
      </c>
      <c r="AH239" s="24" t="s">
        <v>160</v>
      </c>
      <c r="AI239" t="s">
        <v>160</v>
      </c>
      <c r="AJ239" s="29" t="s">
        <v>160</v>
      </c>
      <c r="AK239" s="24" t="s">
        <v>160</v>
      </c>
      <c r="AL239" s="24" t="s">
        <v>160</v>
      </c>
      <c r="AM239" s="24" t="s">
        <v>160</v>
      </c>
      <c r="AN239" s="24" t="s">
        <v>160</v>
      </c>
      <c r="AO239" s="24" t="s">
        <v>160</v>
      </c>
    </row>
    <row r="240" spans="5:41" x14ac:dyDescent="0.25">
      <c r="E240" s="24" t="s">
        <v>139</v>
      </c>
      <c r="F240" s="24" t="s">
        <v>238</v>
      </c>
      <c r="G240">
        <v>3</v>
      </c>
      <c r="H240" t="s">
        <v>100</v>
      </c>
      <c r="I240" s="22" t="s">
        <v>145</v>
      </c>
      <c r="J240" s="22">
        <v>1078405201</v>
      </c>
      <c r="K240" t="s">
        <v>101</v>
      </c>
      <c r="L240" t="s">
        <v>115</v>
      </c>
      <c r="M240">
        <v>9</v>
      </c>
      <c r="N240">
        <v>24</v>
      </c>
      <c r="O240">
        <v>24</v>
      </c>
      <c r="P240" t="s">
        <v>103</v>
      </c>
      <c r="Q240" s="29">
        <v>2659.05</v>
      </c>
      <c r="R240">
        <v>63817</v>
      </c>
      <c r="S240">
        <v>20150122</v>
      </c>
      <c r="T240">
        <v>0</v>
      </c>
      <c r="U240">
        <v>0</v>
      </c>
      <c r="V240">
        <v>63817</v>
      </c>
      <c r="W240" t="s">
        <v>104</v>
      </c>
      <c r="X240" t="s">
        <v>105</v>
      </c>
      <c r="AD240">
        <v>233</v>
      </c>
      <c r="AE240" s="24" t="s">
        <v>668</v>
      </c>
      <c r="AF240" s="24" t="s">
        <v>160</v>
      </c>
      <c r="AG240" s="24" t="s">
        <v>160</v>
      </c>
      <c r="AH240" s="24" t="s">
        <v>160</v>
      </c>
      <c r="AI240" t="s">
        <v>160</v>
      </c>
      <c r="AJ240" s="29" t="s">
        <v>160</v>
      </c>
      <c r="AK240" s="24" t="s">
        <v>160</v>
      </c>
      <c r="AL240" s="24" t="s">
        <v>160</v>
      </c>
      <c r="AM240" s="24" t="s">
        <v>160</v>
      </c>
      <c r="AN240" s="24" t="s">
        <v>160</v>
      </c>
      <c r="AO240" s="24" t="s">
        <v>160</v>
      </c>
    </row>
    <row r="241" spans="5:41" x14ac:dyDescent="0.25">
      <c r="E241" s="24" t="s">
        <v>139</v>
      </c>
      <c r="F241" s="24" t="s">
        <v>238</v>
      </c>
      <c r="G241">
        <v>4</v>
      </c>
      <c r="H241" t="s">
        <v>100</v>
      </c>
      <c r="I241" s="22" t="s">
        <v>145</v>
      </c>
      <c r="J241" s="22">
        <v>1081055901</v>
      </c>
      <c r="K241" t="s">
        <v>101</v>
      </c>
      <c r="L241" t="s">
        <v>115</v>
      </c>
      <c r="M241">
        <v>9</v>
      </c>
      <c r="N241">
        <v>48</v>
      </c>
      <c r="O241">
        <v>48</v>
      </c>
      <c r="P241" t="s">
        <v>103</v>
      </c>
      <c r="Q241" s="29">
        <v>2659.05</v>
      </c>
      <c r="R241">
        <v>127634</v>
      </c>
      <c r="S241">
        <v>20150128</v>
      </c>
      <c r="T241">
        <v>0</v>
      </c>
      <c r="U241">
        <v>0</v>
      </c>
      <c r="V241">
        <v>127634</v>
      </c>
      <c r="W241" t="s">
        <v>104</v>
      </c>
      <c r="X241" t="s">
        <v>105</v>
      </c>
      <c r="AD241">
        <v>234</v>
      </c>
      <c r="AE241" s="24" t="s">
        <v>669</v>
      </c>
      <c r="AF241" s="24" t="s">
        <v>160</v>
      </c>
      <c r="AG241" s="24" t="s">
        <v>160</v>
      </c>
      <c r="AH241" s="24" t="s">
        <v>160</v>
      </c>
      <c r="AI241" t="s">
        <v>160</v>
      </c>
      <c r="AJ241" s="29" t="s">
        <v>160</v>
      </c>
      <c r="AK241" s="24" t="s">
        <v>160</v>
      </c>
      <c r="AL241" s="24" t="s">
        <v>160</v>
      </c>
      <c r="AM241" s="24" t="s">
        <v>160</v>
      </c>
      <c r="AN241" s="24" t="s">
        <v>160</v>
      </c>
      <c r="AO241" s="24" t="s">
        <v>160</v>
      </c>
    </row>
    <row r="242" spans="5:41" x14ac:dyDescent="0.25">
      <c r="E242" s="24" t="s">
        <v>139</v>
      </c>
      <c r="F242" s="24" t="s">
        <v>238</v>
      </c>
      <c r="G242">
        <v>5</v>
      </c>
      <c r="H242" t="s">
        <v>100</v>
      </c>
      <c r="I242" s="22" t="s">
        <v>145</v>
      </c>
      <c r="J242" s="22">
        <v>1079346601</v>
      </c>
      <c r="K242" t="s">
        <v>101</v>
      </c>
      <c r="L242" t="s">
        <v>115</v>
      </c>
      <c r="M242">
        <v>9</v>
      </c>
      <c r="N242">
        <v>24</v>
      </c>
      <c r="O242">
        <v>24</v>
      </c>
      <c r="P242" t="s">
        <v>103</v>
      </c>
      <c r="Q242" s="29">
        <v>2659.05</v>
      </c>
      <c r="R242">
        <v>63817</v>
      </c>
      <c r="S242">
        <v>20150126</v>
      </c>
      <c r="T242">
        <v>0</v>
      </c>
      <c r="U242">
        <v>0</v>
      </c>
      <c r="V242">
        <v>63817</v>
      </c>
      <c r="W242" t="s">
        <v>104</v>
      </c>
      <c r="X242" t="s">
        <v>105</v>
      </c>
      <c r="AD242">
        <v>235</v>
      </c>
      <c r="AE242" s="24" t="s">
        <v>670</v>
      </c>
      <c r="AF242" s="24" t="s">
        <v>160</v>
      </c>
      <c r="AG242" s="24" t="s">
        <v>160</v>
      </c>
      <c r="AH242" s="24" t="s">
        <v>160</v>
      </c>
      <c r="AI242" t="s">
        <v>160</v>
      </c>
      <c r="AJ242" s="29" t="s">
        <v>160</v>
      </c>
      <c r="AK242" s="24" t="s">
        <v>160</v>
      </c>
      <c r="AL242" s="24" t="s">
        <v>160</v>
      </c>
      <c r="AM242" s="24" t="s">
        <v>160</v>
      </c>
      <c r="AN242" s="24" t="s">
        <v>160</v>
      </c>
      <c r="AO242" s="24" t="s">
        <v>160</v>
      </c>
    </row>
    <row r="243" spans="5:41" x14ac:dyDescent="0.25">
      <c r="E243" s="24" t="s">
        <v>139</v>
      </c>
      <c r="F243" s="24" t="s">
        <v>238</v>
      </c>
      <c r="G243">
        <v>6</v>
      </c>
      <c r="H243" t="s">
        <v>100</v>
      </c>
      <c r="I243" s="22" t="s">
        <v>145</v>
      </c>
      <c r="J243" s="22">
        <v>1077885801</v>
      </c>
      <c r="K243" t="s">
        <v>101</v>
      </c>
      <c r="L243" t="s">
        <v>115</v>
      </c>
      <c r="M243">
        <v>9</v>
      </c>
      <c r="N243">
        <v>12</v>
      </c>
      <c r="O243">
        <v>12</v>
      </c>
      <c r="P243" t="s">
        <v>103</v>
      </c>
      <c r="Q243" s="29">
        <v>2659.05</v>
      </c>
      <c r="R243">
        <v>31909</v>
      </c>
      <c r="S243">
        <v>20150121</v>
      </c>
      <c r="T243">
        <v>0</v>
      </c>
      <c r="U243">
        <v>0</v>
      </c>
      <c r="V243">
        <v>31909</v>
      </c>
      <c r="W243" t="s">
        <v>104</v>
      </c>
      <c r="X243" t="s">
        <v>105</v>
      </c>
      <c r="AD243">
        <v>236</v>
      </c>
      <c r="AE243" s="24" t="s">
        <v>671</v>
      </c>
      <c r="AF243" s="24" t="s">
        <v>260</v>
      </c>
      <c r="AG243" s="24" t="s">
        <v>672</v>
      </c>
      <c r="AH243" s="24" t="s">
        <v>673</v>
      </c>
      <c r="AI243">
        <v>3</v>
      </c>
      <c r="AJ243" s="29">
        <v>99.88</v>
      </c>
      <c r="AK243" s="24" t="s">
        <v>674</v>
      </c>
      <c r="AL243" s="24" t="s">
        <v>198</v>
      </c>
      <c r="AM243" s="24" t="s">
        <v>265</v>
      </c>
      <c r="AN243" s="24" t="s">
        <v>675</v>
      </c>
      <c r="AO243" s="24" t="s">
        <v>671</v>
      </c>
    </row>
    <row r="244" spans="5:41" x14ac:dyDescent="0.25">
      <c r="E244" s="24" t="s">
        <v>139</v>
      </c>
      <c r="F244" s="24" t="s">
        <v>238</v>
      </c>
      <c r="G244">
        <v>7</v>
      </c>
      <c r="H244" t="s">
        <v>100</v>
      </c>
      <c r="I244" s="22" t="s">
        <v>145</v>
      </c>
      <c r="J244" s="22">
        <v>1078886101</v>
      </c>
      <c r="K244" t="s">
        <v>101</v>
      </c>
      <c r="L244" t="s">
        <v>115</v>
      </c>
      <c r="M244">
        <v>9</v>
      </c>
      <c r="N244">
        <v>24</v>
      </c>
      <c r="O244">
        <v>24</v>
      </c>
      <c r="P244" t="s">
        <v>103</v>
      </c>
      <c r="Q244" s="29">
        <v>2659.05</v>
      </c>
      <c r="R244">
        <v>63817</v>
      </c>
      <c r="S244">
        <v>20150123</v>
      </c>
      <c r="T244">
        <v>0</v>
      </c>
      <c r="U244">
        <v>0</v>
      </c>
      <c r="V244">
        <v>63817</v>
      </c>
      <c r="W244" t="s">
        <v>104</v>
      </c>
      <c r="X244" t="s">
        <v>105</v>
      </c>
      <c r="AD244">
        <v>237</v>
      </c>
      <c r="AE244" s="24" t="s">
        <v>676</v>
      </c>
      <c r="AF244" s="24" t="s">
        <v>160</v>
      </c>
      <c r="AG244" s="24" t="s">
        <v>160</v>
      </c>
      <c r="AH244" s="24" t="s">
        <v>160</v>
      </c>
      <c r="AI244" t="s">
        <v>160</v>
      </c>
      <c r="AJ244" s="29" t="s">
        <v>160</v>
      </c>
      <c r="AK244" s="24" t="s">
        <v>160</v>
      </c>
      <c r="AL244" s="24" t="s">
        <v>160</v>
      </c>
      <c r="AM244" s="24" t="s">
        <v>160</v>
      </c>
      <c r="AN244" s="24" t="s">
        <v>160</v>
      </c>
      <c r="AO244" s="24" t="s">
        <v>160</v>
      </c>
    </row>
    <row r="245" spans="5:41" x14ac:dyDescent="0.25">
      <c r="E245" s="24" t="s">
        <v>139</v>
      </c>
      <c r="F245" s="24" t="s">
        <v>238</v>
      </c>
      <c r="G245">
        <v>8</v>
      </c>
      <c r="H245" t="s">
        <v>100</v>
      </c>
      <c r="I245" s="22" t="s">
        <v>145</v>
      </c>
      <c r="J245" s="22">
        <v>1081055301</v>
      </c>
      <c r="K245" t="s">
        <v>101</v>
      </c>
      <c r="L245" t="s">
        <v>115</v>
      </c>
      <c r="M245">
        <v>9</v>
      </c>
      <c r="N245">
        <v>24</v>
      </c>
      <c r="O245">
        <v>24</v>
      </c>
      <c r="P245" t="s">
        <v>103</v>
      </c>
      <c r="Q245" s="29">
        <v>2659.05</v>
      </c>
      <c r="R245">
        <v>63817</v>
      </c>
      <c r="S245">
        <v>20150128</v>
      </c>
      <c r="T245">
        <v>0</v>
      </c>
      <c r="U245">
        <v>0</v>
      </c>
      <c r="V245">
        <v>63817</v>
      </c>
      <c r="W245" t="s">
        <v>104</v>
      </c>
      <c r="X245" t="s">
        <v>105</v>
      </c>
      <c r="AD245">
        <v>238</v>
      </c>
      <c r="AE245" s="24" t="s">
        <v>677</v>
      </c>
      <c r="AF245" s="24" t="s">
        <v>160</v>
      </c>
      <c r="AG245" s="24" t="s">
        <v>160</v>
      </c>
      <c r="AH245" s="24" t="s">
        <v>160</v>
      </c>
      <c r="AI245" t="s">
        <v>160</v>
      </c>
      <c r="AJ245" s="29" t="s">
        <v>160</v>
      </c>
      <c r="AK245" s="24" t="s">
        <v>160</v>
      </c>
      <c r="AL245" s="24" t="s">
        <v>160</v>
      </c>
      <c r="AM245" s="24" t="s">
        <v>160</v>
      </c>
      <c r="AN245" s="24" t="s">
        <v>160</v>
      </c>
      <c r="AO245" s="24" t="s">
        <v>160</v>
      </c>
    </row>
    <row r="246" spans="5:41" x14ac:dyDescent="0.25">
      <c r="E246" s="24" t="s">
        <v>139</v>
      </c>
      <c r="F246" s="24" t="s">
        <v>238</v>
      </c>
      <c r="G246">
        <v>9</v>
      </c>
      <c r="H246" t="s">
        <v>100</v>
      </c>
      <c r="I246" s="22" t="s">
        <v>145</v>
      </c>
      <c r="J246" s="22">
        <v>1081055101</v>
      </c>
      <c r="K246" t="s">
        <v>101</v>
      </c>
      <c r="L246" t="s">
        <v>115</v>
      </c>
      <c r="M246">
        <v>9</v>
      </c>
      <c r="N246">
        <v>24</v>
      </c>
      <c r="O246">
        <v>24</v>
      </c>
      <c r="P246" t="s">
        <v>103</v>
      </c>
      <c r="Q246" s="29">
        <v>2659.05</v>
      </c>
      <c r="R246">
        <v>63817</v>
      </c>
      <c r="S246">
        <v>20150128</v>
      </c>
      <c r="T246">
        <v>0</v>
      </c>
      <c r="U246">
        <v>0</v>
      </c>
      <c r="V246">
        <v>63817</v>
      </c>
      <c r="W246" t="s">
        <v>104</v>
      </c>
      <c r="X246" t="s">
        <v>105</v>
      </c>
      <c r="AD246">
        <v>239</v>
      </c>
      <c r="AE246" s="24" t="s">
        <v>678</v>
      </c>
      <c r="AF246" s="24" t="s">
        <v>160</v>
      </c>
      <c r="AG246" s="24" t="s">
        <v>160</v>
      </c>
      <c r="AH246" s="24" t="s">
        <v>160</v>
      </c>
      <c r="AI246" t="s">
        <v>160</v>
      </c>
      <c r="AJ246" s="29" t="s">
        <v>160</v>
      </c>
      <c r="AK246" s="24" t="s">
        <v>160</v>
      </c>
      <c r="AL246" s="24" t="s">
        <v>160</v>
      </c>
      <c r="AM246" s="24" t="s">
        <v>160</v>
      </c>
      <c r="AN246" s="24" t="s">
        <v>160</v>
      </c>
      <c r="AO246" s="24" t="s">
        <v>160</v>
      </c>
    </row>
    <row r="247" spans="5:41" x14ac:dyDescent="0.25">
      <c r="E247" s="24" t="s">
        <v>139</v>
      </c>
      <c r="F247" s="24" t="s">
        <v>238</v>
      </c>
      <c r="G247">
        <v>10</v>
      </c>
      <c r="H247" t="s">
        <v>100</v>
      </c>
      <c r="I247" s="22" t="s">
        <v>145</v>
      </c>
      <c r="J247" s="22">
        <v>1081549301</v>
      </c>
      <c r="K247" t="s">
        <v>101</v>
      </c>
      <c r="L247" t="s">
        <v>115</v>
      </c>
      <c r="M247">
        <v>9</v>
      </c>
      <c r="N247">
        <v>36</v>
      </c>
      <c r="O247">
        <v>36</v>
      </c>
      <c r="P247" t="s">
        <v>103</v>
      </c>
      <c r="Q247" s="29">
        <v>2659.05</v>
      </c>
      <c r="R247">
        <v>95726</v>
      </c>
      <c r="S247">
        <v>20150130</v>
      </c>
      <c r="T247">
        <v>0</v>
      </c>
      <c r="U247">
        <v>0</v>
      </c>
      <c r="V247">
        <v>95726</v>
      </c>
      <c r="W247" t="s">
        <v>104</v>
      </c>
      <c r="X247" t="s">
        <v>105</v>
      </c>
      <c r="AD247">
        <v>240</v>
      </c>
      <c r="AE247" s="24" t="s">
        <v>679</v>
      </c>
      <c r="AF247" s="24" t="s">
        <v>188</v>
      </c>
      <c r="AG247" s="24" t="s">
        <v>680</v>
      </c>
      <c r="AH247" s="24" t="s">
        <v>681</v>
      </c>
      <c r="AI247">
        <v>12</v>
      </c>
      <c r="AJ247" s="29">
        <v>2659.05</v>
      </c>
      <c r="AK247" s="24" t="s">
        <v>189</v>
      </c>
      <c r="AL247" s="24" t="s">
        <v>190</v>
      </c>
      <c r="AM247" s="24" t="s">
        <v>164</v>
      </c>
      <c r="AN247" s="24" t="s">
        <v>191</v>
      </c>
      <c r="AO247" s="24" t="s">
        <v>679</v>
      </c>
    </row>
    <row r="248" spans="5:41" x14ac:dyDescent="0.25">
      <c r="E248" s="24" t="s">
        <v>139</v>
      </c>
      <c r="F248" s="24" t="s">
        <v>238</v>
      </c>
      <c r="G248">
        <v>11</v>
      </c>
      <c r="H248" t="s">
        <v>100</v>
      </c>
      <c r="I248" s="22" t="s">
        <v>145</v>
      </c>
      <c r="J248" s="22">
        <v>1081549101</v>
      </c>
      <c r="K248" t="s">
        <v>101</v>
      </c>
      <c r="L248" t="s">
        <v>115</v>
      </c>
      <c r="M248">
        <v>9</v>
      </c>
      <c r="N248">
        <v>12</v>
      </c>
      <c r="O248">
        <v>12</v>
      </c>
      <c r="P248" t="s">
        <v>103</v>
      </c>
      <c r="Q248" s="29">
        <v>2659.05</v>
      </c>
      <c r="R248">
        <v>31909</v>
      </c>
      <c r="S248">
        <v>20150130</v>
      </c>
      <c r="T248">
        <v>0</v>
      </c>
      <c r="U248">
        <v>0</v>
      </c>
      <c r="V248">
        <v>31909</v>
      </c>
      <c r="W248" t="s">
        <v>104</v>
      </c>
      <c r="X248" t="s">
        <v>105</v>
      </c>
      <c r="AD248">
        <v>241</v>
      </c>
      <c r="AE248" s="24" t="s">
        <v>682</v>
      </c>
      <c r="AF248" s="24" t="s">
        <v>160</v>
      </c>
      <c r="AG248" s="24" t="s">
        <v>160</v>
      </c>
      <c r="AH248" s="24" t="s">
        <v>160</v>
      </c>
      <c r="AI248" t="s">
        <v>160</v>
      </c>
      <c r="AJ248" s="29" t="s">
        <v>160</v>
      </c>
      <c r="AK248" s="24" t="s">
        <v>160</v>
      </c>
      <c r="AL248" s="24" t="s">
        <v>160</v>
      </c>
      <c r="AM248" s="24" t="s">
        <v>160</v>
      </c>
      <c r="AN248" s="24" t="s">
        <v>160</v>
      </c>
      <c r="AO248" s="24" t="s">
        <v>160</v>
      </c>
    </row>
    <row r="249" spans="5:41" x14ac:dyDescent="0.25">
      <c r="E249" s="24" t="s">
        <v>139</v>
      </c>
      <c r="F249" s="24" t="s">
        <v>238</v>
      </c>
      <c r="G249">
        <v>12</v>
      </c>
      <c r="H249" t="s">
        <v>100</v>
      </c>
      <c r="I249" s="22" t="s">
        <v>145</v>
      </c>
      <c r="J249" s="22">
        <v>1081055201</v>
      </c>
      <c r="K249" t="s">
        <v>101</v>
      </c>
      <c r="L249" t="s">
        <v>115</v>
      </c>
      <c r="M249">
        <v>9</v>
      </c>
      <c r="N249">
        <v>48</v>
      </c>
      <c r="O249">
        <v>48</v>
      </c>
      <c r="P249" t="s">
        <v>103</v>
      </c>
      <c r="Q249" s="29">
        <v>2659.05</v>
      </c>
      <c r="R249">
        <v>127634</v>
      </c>
      <c r="S249">
        <v>20150128</v>
      </c>
      <c r="T249">
        <v>0</v>
      </c>
      <c r="U249">
        <v>0</v>
      </c>
      <c r="V249">
        <v>127634</v>
      </c>
      <c r="W249" t="s">
        <v>104</v>
      </c>
      <c r="X249" t="s">
        <v>105</v>
      </c>
      <c r="AD249">
        <v>242</v>
      </c>
      <c r="AE249" s="24" t="s">
        <v>683</v>
      </c>
      <c r="AF249" s="24" t="s">
        <v>160</v>
      </c>
      <c r="AG249" s="24" t="s">
        <v>160</v>
      </c>
      <c r="AH249" s="24" t="s">
        <v>160</v>
      </c>
      <c r="AI249" t="s">
        <v>160</v>
      </c>
      <c r="AJ249" s="29" t="s">
        <v>160</v>
      </c>
      <c r="AK249" s="24" t="s">
        <v>160</v>
      </c>
      <c r="AL249" s="24" t="s">
        <v>160</v>
      </c>
      <c r="AM249" s="24" t="s">
        <v>160</v>
      </c>
      <c r="AN249" s="24" t="s">
        <v>160</v>
      </c>
      <c r="AO249" s="24" t="s">
        <v>160</v>
      </c>
    </row>
    <row r="250" spans="5:41" x14ac:dyDescent="0.25">
      <c r="E250" s="24" t="s">
        <v>139</v>
      </c>
      <c r="F250" s="24" t="s">
        <v>238</v>
      </c>
      <c r="G250">
        <v>13</v>
      </c>
      <c r="H250" t="s">
        <v>100</v>
      </c>
      <c r="I250" s="22" t="s">
        <v>219</v>
      </c>
      <c r="J250" s="22">
        <v>1079346801</v>
      </c>
      <c r="K250" t="s">
        <v>101</v>
      </c>
      <c r="L250" t="s">
        <v>116</v>
      </c>
      <c r="M250">
        <v>9</v>
      </c>
      <c r="N250">
        <v>16</v>
      </c>
      <c r="O250">
        <v>16</v>
      </c>
      <c r="P250" t="s">
        <v>103</v>
      </c>
      <c r="Q250" s="29">
        <v>2671.22</v>
      </c>
      <c r="R250">
        <v>42740</v>
      </c>
      <c r="S250">
        <v>20150126</v>
      </c>
      <c r="T250">
        <v>0</v>
      </c>
      <c r="U250">
        <v>0</v>
      </c>
      <c r="V250">
        <v>42740</v>
      </c>
      <c r="W250" t="s">
        <v>104</v>
      </c>
      <c r="X250" t="s">
        <v>105</v>
      </c>
      <c r="AD250">
        <v>243</v>
      </c>
      <c r="AE250" s="24" t="s">
        <v>684</v>
      </c>
      <c r="AF250" s="24" t="s">
        <v>160</v>
      </c>
      <c r="AG250" s="24" t="s">
        <v>160</v>
      </c>
      <c r="AH250" s="24" t="s">
        <v>160</v>
      </c>
      <c r="AI250" t="s">
        <v>160</v>
      </c>
      <c r="AJ250" s="29" t="s">
        <v>160</v>
      </c>
      <c r="AK250" s="24" t="s">
        <v>160</v>
      </c>
      <c r="AL250" s="24" t="s">
        <v>160</v>
      </c>
      <c r="AM250" s="24" t="s">
        <v>160</v>
      </c>
      <c r="AN250" s="24" t="s">
        <v>160</v>
      </c>
      <c r="AO250" s="24" t="s">
        <v>160</v>
      </c>
    </row>
    <row r="251" spans="5:41" x14ac:dyDescent="0.25">
      <c r="E251" s="24" t="s">
        <v>139</v>
      </c>
      <c r="F251" s="24" t="s">
        <v>238</v>
      </c>
      <c r="G251">
        <v>14</v>
      </c>
      <c r="H251" t="s">
        <v>100</v>
      </c>
      <c r="I251" s="22" t="s">
        <v>219</v>
      </c>
      <c r="J251" s="22">
        <v>1080655501</v>
      </c>
      <c r="K251" t="s">
        <v>101</v>
      </c>
      <c r="L251" t="s">
        <v>116</v>
      </c>
      <c r="M251">
        <v>9</v>
      </c>
      <c r="N251">
        <v>16</v>
      </c>
      <c r="O251">
        <v>16</v>
      </c>
      <c r="P251" t="s">
        <v>103</v>
      </c>
      <c r="Q251" s="29">
        <v>2671.22</v>
      </c>
      <c r="R251">
        <v>42740</v>
      </c>
      <c r="S251">
        <v>20150128</v>
      </c>
      <c r="T251">
        <v>0</v>
      </c>
      <c r="U251">
        <v>0</v>
      </c>
      <c r="V251">
        <v>42740</v>
      </c>
      <c r="W251" t="s">
        <v>104</v>
      </c>
      <c r="X251" t="s">
        <v>105</v>
      </c>
      <c r="AD251">
        <v>244</v>
      </c>
      <c r="AE251" s="24" t="s">
        <v>685</v>
      </c>
      <c r="AF251" s="24" t="s">
        <v>160</v>
      </c>
      <c r="AG251" s="24" t="s">
        <v>160</v>
      </c>
      <c r="AH251" s="24" t="s">
        <v>160</v>
      </c>
      <c r="AI251" t="s">
        <v>160</v>
      </c>
      <c r="AJ251" s="29" t="s">
        <v>160</v>
      </c>
      <c r="AK251" s="24" t="s">
        <v>160</v>
      </c>
      <c r="AL251" s="24" t="s">
        <v>160</v>
      </c>
      <c r="AM251" s="24" t="s">
        <v>160</v>
      </c>
      <c r="AN251" s="24" t="s">
        <v>160</v>
      </c>
      <c r="AO251" s="24" t="s">
        <v>160</v>
      </c>
    </row>
    <row r="252" spans="5:41" x14ac:dyDescent="0.25">
      <c r="E252" s="24" t="s">
        <v>139</v>
      </c>
      <c r="F252" s="24" t="s">
        <v>238</v>
      </c>
      <c r="G252">
        <v>15</v>
      </c>
      <c r="H252" t="s">
        <v>100</v>
      </c>
      <c r="I252" s="22" t="s">
        <v>143</v>
      </c>
      <c r="J252" s="22">
        <v>1075798101</v>
      </c>
      <c r="K252" t="s">
        <v>101</v>
      </c>
      <c r="L252" t="s">
        <v>144</v>
      </c>
      <c r="M252">
        <v>9</v>
      </c>
      <c r="N252">
        <v>2</v>
      </c>
      <c r="O252">
        <v>2</v>
      </c>
      <c r="P252" t="s">
        <v>103</v>
      </c>
      <c r="Q252" s="29">
        <v>143.16999999999999</v>
      </c>
      <c r="R252">
        <v>286</v>
      </c>
      <c r="S252">
        <v>20150121</v>
      </c>
      <c r="T252">
        <v>0</v>
      </c>
      <c r="U252">
        <v>0</v>
      </c>
      <c r="V252">
        <v>286</v>
      </c>
      <c r="W252" t="s">
        <v>104</v>
      </c>
      <c r="X252" t="s">
        <v>105</v>
      </c>
      <c r="AD252">
        <v>245</v>
      </c>
      <c r="AE252" s="24" t="s">
        <v>686</v>
      </c>
      <c r="AF252" s="24" t="s">
        <v>160</v>
      </c>
      <c r="AG252" s="24" t="s">
        <v>160</v>
      </c>
      <c r="AH252" s="24" t="s">
        <v>160</v>
      </c>
      <c r="AI252" t="s">
        <v>160</v>
      </c>
      <c r="AJ252" s="29" t="s">
        <v>160</v>
      </c>
      <c r="AK252" s="24" t="s">
        <v>160</v>
      </c>
      <c r="AL252" s="24" t="s">
        <v>160</v>
      </c>
      <c r="AM252" s="24" t="s">
        <v>160</v>
      </c>
      <c r="AN252" s="24" t="s">
        <v>160</v>
      </c>
      <c r="AO252" s="24" t="s">
        <v>160</v>
      </c>
    </row>
    <row r="253" spans="5:41" x14ac:dyDescent="0.25">
      <c r="E253" s="24" t="s">
        <v>139</v>
      </c>
      <c r="F253" s="24" t="s">
        <v>238</v>
      </c>
      <c r="G253">
        <v>16</v>
      </c>
      <c r="H253" t="s">
        <v>100</v>
      </c>
      <c r="I253" s="22" t="s">
        <v>117</v>
      </c>
      <c r="J253" s="22">
        <v>1080655701</v>
      </c>
      <c r="K253" t="s">
        <v>101</v>
      </c>
      <c r="L253" t="s">
        <v>118</v>
      </c>
      <c r="M253">
        <v>9</v>
      </c>
      <c r="N253">
        <v>52</v>
      </c>
      <c r="O253">
        <v>52</v>
      </c>
      <c r="P253" t="s">
        <v>103</v>
      </c>
      <c r="Q253" s="29">
        <v>123.24</v>
      </c>
      <c r="R253">
        <v>6408</v>
      </c>
      <c r="S253">
        <v>20150128</v>
      </c>
      <c r="T253">
        <v>0</v>
      </c>
      <c r="U253">
        <v>0</v>
      </c>
      <c r="V253">
        <v>6408</v>
      </c>
      <c r="W253" t="s">
        <v>104</v>
      </c>
      <c r="X253" t="s">
        <v>105</v>
      </c>
      <c r="AD253">
        <v>246</v>
      </c>
      <c r="AE253" s="24" t="s">
        <v>687</v>
      </c>
      <c r="AF253" s="24" t="s">
        <v>160</v>
      </c>
      <c r="AG253" s="24" t="s">
        <v>160</v>
      </c>
      <c r="AH253" s="24" t="s">
        <v>160</v>
      </c>
      <c r="AI253" t="s">
        <v>160</v>
      </c>
      <c r="AJ253" s="29" t="s">
        <v>160</v>
      </c>
      <c r="AK253" s="24" t="s">
        <v>160</v>
      </c>
      <c r="AL253" s="24" t="s">
        <v>160</v>
      </c>
      <c r="AM253" s="24" t="s">
        <v>160</v>
      </c>
      <c r="AN253" s="24" t="s">
        <v>160</v>
      </c>
      <c r="AO253" s="24" t="s">
        <v>160</v>
      </c>
    </row>
    <row r="254" spans="5:41" x14ac:dyDescent="0.25">
      <c r="E254" s="24" t="s">
        <v>139</v>
      </c>
      <c r="F254" s="24" t="s">
        <v>238</v>
      </c>
      <c r="G254">
        <v>17</v>
      </c>
      <c r="H254" t="s">
        <v>100</v>
      </c>
      <c r="I254" s="22" t="s">
        <v>117</v>
      </c>
      <c r="J254" s="22">
        <v>1078886001</v>
      </c>
      <c r="K254" t="s">
        <v>101</v>
      </c>
      <c r="L254" t="s">
        <v>119</v>
      </c>
      <c r="M254">
        <v>9</v>
      </c>
      <c r="N254">
        <v>52</v>
      </c>
      <c r="O254">
        <v>52</v>
      </c>
      <c r="P254" t="s">
        <v>103</v>
      </c>
      <c r="Q254" s="29">
        <v>459.22</v>
      </c>
      <c r="R254">
        <v>23879</v>
      </c>
      <c r="S254">
        <v>20150123</v>
      </c>
      <c r="T254">
        <v>0</v>
      </c>
      <c r="U254">
        <v>0</v>
      </c>
      <c r="V254">
        <v>23879</v>
      </c>
      <c r="W254" t="s">
        <v>104</v>
      </c>
      <c r="X254" t="s">
        <v>105</v>
      </c>
      <c r="AD254">
        <v>247</v>
      </c>
      <c r="AE254" s="24" t="s">
        <v>688</v>
      </c>
      <c r="AF254" s="24" t="s">
        <v>160</v>
      </c>
      <c r="AG254" s="24" t="s">
        <v>160</v>
      </c>
      <c r="AH254" s="24" t="s">
        <v>160</v>
      </c>
      <c r="AI254" t="s">
        <v>160</v>
      </c>
      <c r="AJ254" s="29" t="s">
        <v>160</v>
      </c>
      <c r="AK254" s="24" t="s">
        <v>160</v>
      </c>
      <c r="AL254" s="24" t="s">
        <v>160</v>
      </c>
      <c r="AM254" s="24" t="s">
        <v>160</v>
      </c>
      <c r="AN254" s="24" t="s">
        <v>160</v>
      </c>
      <c r="AO254" s="24" t="s">
        <v>160</v>
      </c>
    </row>
    <row r="255" spans="5:41" x14ac:dyDescent="0.25">
      <c r="E255" s="24" t="s">
        <v>139</v>
      </c>
      <c r="F255" s="24" t="s">
        <v>238</v>
      </c>
      <c r="G255">
        <v>18</v>
      </c>
      <c r="H255" t="s">
        <v>100</v>
      </c>
      <c r="I255" s="22" t="s">
        <v>223</v>
      </c>
      <c r="J255" s="22">
        <v>1078140901</v>
      </c>
      <c r="K255" t="s">
        <v>101</v>
      </c>
      <c r="L255" t="s">
        <v>159</v>
      </c>
      <c r="M255">
        <v>9</v>
      </c>
      <c r="N255">
        <v>4</v>
      </c>
      <c r="O255">
        <v>4</v>
      </c>
      <c r="P255" t="s">
        <v>103</v>
      </c>
      <c r="Q255" s="29">
        <v>613.11</v>
      </c>
      <c r="R255">
        <v>2452</v>
      </c>
      <c r="S255">
        <v>20150121</v>
      </c>
      <c r="T255">
        <v>0</v>
      </c>
      <c r="U255">
        <v>0</v>
      </c>
      <c r="V255">
        <v>2452</v>
      </c>
      <c r="W255" t="s">
        <v>104</v>
      </c>
      <c r="X255" t="s">
        <v>105</v>
      </c>
      <c r="AD255">
        <v>248</v>
      </c>
      <c r="AE255" s="24" t="s">
        <v>689</v>
      </c>
      <c r="AF255" s="24" t="s">
        <v>160</v>
      </c>
      <c r="AG255" s="24" t="s">
        <v>160</v>
      </c>
      <c r="AH255" s="24" t="s">
        <v>160</v>
      </c>
      <c r="AI255" t="s">
        <v>160</v>
      </c>
      <c r="AJ255" s="29" t="s">
        <v>160</v>
      </c>
      <c r="AK255" s="24" t="s">
        <v>160</v>
      </c>
      <c r="AL255" s="24" t="s">
        <v>160</v>
      </c>
      <c r="AM255" s="24" t="s">
        <v>160</v>
      </c>
      <c r="AN255" s="24" t="s">
        <v>160</v>
      </c>
      <c r="AO255" s="24" t="s">
        <v>160</v>
      </c>
    </row>
    <row r="256" spans="5:41" x14ac:dyDescent="0.25">
      <c r="E256" s="24" t="s">
        <v>139</v>
      </c>
      <c r="F256" s="24" t="s">
        <v>238</v>
      </c>
      <c r="G256">
        <v>19</v>
      </c>
      <c r="H256" t="s">
        <v>100</v>
      </c>
      <c r="I256" s="22" t="s">
        <v>225</v>
      </c>
      <c r="J256" s="22">
        <v>1077154001</v>
      </c>
      <c r="K256" t="s">
        <v>101</v>
      </c>
      <c r="L256" t="s">
        <v>120</v>
      </c>
      <c r="M256">
        <v>9</v>
      </c>
      <c r="N256">
        <v>40</v>
      </c>
      <c r="O256">
        <v>40</v>
      </c>
      <c r="P256" t="s">
        <v>103</v>
      </c>
      <c r="Q256" s="29">
        <v>232.87</v>
      </c>
      <c r="R256">
        <v>9315</v>
      </c>
      <c r="S256">
        <v>20150126</v>
      </c>
      <c r="T256">
        <v>0</v>
      </c>
      <c r="U256">
        <v>0</v>
      </c>
      <c r="V256">
        <v>9315</v>
      </c>
      <c r="W256" t="s">
        <v>104</v>
      </c>
      <c r="X256" t="s">
        <v>105</v>
      </c>
      <c r="AD256">
        <v>249</v>
      </c>
      <c r="AE256" s="24" t="s">
        <v>690</v>
      </c>
      <c r="AF256" s="24" t="s">
        <v>160</v>
      </c>
      <c r="AG256" s="24" t="s">
        <v>160</v>
      </c>
      <c r="AH256" s="24" t="s">
        <v>160</v>
      </c>
      <c r="AI256" t="s">
        <v>160</v>
      </c>
      <c r="AJ256" s="29" t="s">
        <v>160</v>
      </c>
      <c r="AK256" s="24" t="s">
        <v>160</v>
      </c>
      <c r="AL256" s="24" t="s">
        <v>160</v>
      </c>
      <c r="AM256" s="24" t="s">
        <v>160</v>
      </c>
      <c r="AN256" s="24" t="s">
        <v>160</v>
      </c>
      <c r="AO256" s="24" t="s">
        <v>160</v>
      </c>
    </row>
    <row r="257" spans="5:41" x14ac:dyDescent="0.25">
      <c r="E257" s="24" t="s">
        <v>139</v>
      </c>
      <c r="F257" s="24" t="s">
        <v>238</v>
      </c>
      <c r="G257">
        <v>20</v>
      </c>
      <c r="H257" t="s">
        <v>100</v>
      </c>
      <c r="I257" s="22" t="s">
        <v>225</v>
      </c>
      <c r="J257" s="22">
        <v>1077154101</v>
      </c>
      <c r="K257" t="s">
        <v>101</v>
      </c>
      <c r="L257" t="s">
        <v>121</v>
      </c>
      <c r="M257">
        <v>9</v>
      </c>
      <c r="N257">
        <v>40</v>
      </c>
      <c r="O257">
        <v>40</v>
      </c>
      <c r="P257" t="s">
        <v>103</v>
      </c>
      <c r="Q257" s="29">
        <v>53.63</v>
      </c>
      <c r="R257">
        <v>2145</v>
      </c>
      <c r="S257">
        <v>20150126</v>
      </c>
      <c r="T257">
        <v>0</v>
      </c>
      <c r="U257">
        <v>0</v>
      </c>
      <c r="V257">
        <v>2145</v>
      </c>
      <c r="W257" t="s">
        <v>104</v>
      </c>
      <c r="X257" t="s">
        <v>105</v>
      </c>
      <c r="AD257">
        <v>250</v>
      </c>
      <c r="AE257" s="24" t="s">
        <v>691</v>
      </c>
      <c r="AF257" s="24" t="s">
        <v>160</v>
      </c>
      <c r="AG257" s="24" t="s">
        <v>160</v>
      </c>
      <c r="AH257" s="24" t="s">
        <v>160</v>
      </c>
      <c r="AI257" t="s">
        <v>160</v>
      </c>
      <c r="AJ257" s="29" t="s">
        <v>160</v>
      </c>
      <c r="AK257" s="24" t="s">
        <v>160</v>
      </c>
      <c r="AL257" s="24" t="s">
        <v>160</v>
      </c>
      <c r="AM257" s="24" t="s">
        <v>160</v>
      </c>
      <c r="AN257" s="24" t="s">
        <v>160</v>
      </c>
      <c r="AO257" s="24" t="s">
        <v>160</v>
      </c>
    </row>
    <row r="258" spans="5:41" x14ac:dyDescent="0.25">
      <c r="E258" s="24" t="s">
        <v>139</v>
      </c>
      <c r="F258" s="24" t="s">
        <v>238</v>
      </c>
      <c r="G258">
        <v>21</v>
      </c>
      <c r="H258" t="s">
        <v>100</v>
      </c>
      <c r="I258" s="22" t="s">
        <v>112</v>
      </c>
      <c r="J258" s="22">
        <v>1079346401</v>
      </c>
      <c r="K258" t="s">
        <v>101</v>
      </c>
      <c r="L258" t="s">
        <v>122</v>
      </c>
      <c r="M258">
        <v>9</v>
      </c>
      <c r="N258">
        <v>100</v>
      </c>
      <c r="O258">
        <v>100</v>
      </c>
      <c r="P258" t="s">
        <v>103</v>
      </c>
      <c r="Q258" s="29">
        <v>18.739999999999998</v>
      </c>
      <c r="R258">
        <v>1874</v>
      </c>
      <c r="S258">
        <v>20150126</v>
      </c>
      <c r="T258">
        <v>0</v>
      </c>
      <c r="U258">
        <v>0</v>
      </c>
      <c r="V258">
        <v>1874</v>
      </c>
      <c r="W258" t="s">
        <v>104</v>
      </c>
      <c r="X258" t="s">
        <v>105</v>
      </c>
      <c r="AD258">
        <v>251</v>
      </c>
      <c r="AE258" s="24" t="s">
        <v>692</v>
      </c>
      <c r="AF258" s="24" t="s">
        <v>160</v>
      </c>
      <c r="AG258" s="24" t="s">
        <v>160</v>
      </c>
      <c r="AH258" s="24" t="s">
        <v>160</v>
      </c>
      <c r="AI258" t="s">
        <v>160</v>
      </c>
      <c r="AJ258" s="29" t="s">
        <v>160</v>
      </c>
      <c r="AK258" s="24" t="s">
        <v>160</v>
      </c>
      <c r="AL258" s="24" t="s">
        <v>160</v>
      </c>
      <c r="AM258" s="24" t="s">
        <v>160</v>
      </c>
      <c r="AN258" s="24" t="s">
        <v>160</v>
      </c>
      <c r="AO258" s="24" t="s">
        <v>160</v>
      </c>
    </row>
    <row r="259" spans="5:41" x14ac:dyDescent="0.25">
      <c r="E259" s="24" t="s">
        <v>139</v>
      </c>
      <c r="F259" s="24" t="s">
        <v>238</v>
      </c>
      <c r="G259">
        <v>22</v>
      </c>
      <c r="H259" t="s">
        <v>100</v>
      </c>
      <c r="I259" s="22" t="s">
        <v>112</v>
      </c>
      <c r="J259" s="22">
        <v>1081097501</v>
      </c>
      <c r="K259" t="s">
        <v>101</v>
      </c>
      <c r="L259" t="s">
        <v>122</v>
      </c>
      <c r="M259">
        <v>9</v>
      </c>
      <c r="N259">
        <v>100</v>
      </c>
      <c r="O259">
        <v>100</v>
      </c>
      <c r="P259" t="s">
        <v>103</v>
      </c>
      <c r="Q259" s="29">
        <v>18.739999999999998</v>
      </c>
      <c r="R259">
        <v>1874</v>
      </c>
      <c r="S259">
        <v>20150128</v>
      </c>
      <c r="T259">
        <v>0</v>
      </c>
      <c r="U259">
        <v>0</v>
      </c>
      <c r="V259">
        <v>1874</v>
      </c>
      <c r="W259" t="s">
        <v>104</v>
      </c>
      <c r="X259" t="s">
        <v>105</v>
      </c>
      <c r="AD259">
        <v>252</v>
      </c>
      <c r="AE259" s="24" t="s">
        <v>693</v>
      </c>
      <c r="AF259" s="24" t="s">
        <v>160</v>
      </c>
      <c r="AG259" s="24" t="s">
        <v>160</v>
      </c>
      <c r="AH259" s="24" t="s">
        <v>160</v>
      </c>
      <c r="AI259" t="s">
        <v>160</v>
      </c>
      <c r="AJ259" s="29" t="s">
        <v>160</v>
      </c>
      <c r="AK259" s="24" t="s">
        <v>160</v>
      </c>
      <c r="AL259" s="24" t="s">
        <v>160</v>
      </c>
      <c r="AM259" s="24" t="s">
        <v>160</v>
      </c>
      <c r="AN259" s="24" t="s">
        <v>160</v>
      </c>
      <c r="AO259" s="24" t="s">
        <v>160</v>
      </c>
    </row>
    <row r="260" spans="5:41" x14ac:dyDescent="0.25">
      <c r="E260" s="24" t="s">
        <v>139</v>
      </c>
      <c r="F260" s="24" t="s">
        <v>240</v>
      </c>
      <c r="G260">
        <v>1</v>
      </c>
      <c r="H260" t="s">
        <v>100</v>
      </c>
      <c r="I260" s="22" t="s">
        <v>112</v>
      </c>
      <c r="J260" s="22">
        <v>1081549501</v>
      </c>
      <c r="K260" t="s">
        <v>101</v>
      </c>
      <c r="L260" t="s">
        <v>122</v>
      </c>
      <c r="M260">
        <v>9</v>
      </c>
      <c r="N260">
        <v>100</v>
      </c>
      <c r="O260">
        <v>100</v>
      </c>
      <c r="P260" t="s">
        <v>103</v>
      </c>
      <c r="Q260" s="29">
        <v>18.739999999999998</v>
      </c>
      <c r="R260">
        <v>1874</v>
      </c>
      <c r="S260">
        <v>20150130</v>
      </c>
      <c r="T260">
        <v>0</v>
      </c>
      <c r="U260">
        <v>0</v>
      </c>
      <c r="V260">
        <v>1874</v>
      </c>
      <c r="W260" t="s">
        <v>104</v>
      </c>
      <c r="X260" t="s">
        <v>105</v>
      </c>
      <c r="Y260">
        <v>3</v>
      </c>
      <c r="Z260">
        <v>3748</v>
      </c>
      <c r="AA260">
        <v>0</v>
      </c>
      <c r="AB260">
        <v>0</v>
      </c>
      <c r="AC260">
        <v>3748</v>
      </c>
      <c r="AD260">
        <v>253</v>
      </c>
      <c r="AE260" s="24" t="s">
        <v>694</v>
      </c>
      <c r="AF260" s="24" t="s">
        <v>160</v>
      </c>
      <c r="AG260" s="24" t="s">
        <v>160</v>
      </c>
      <c r="AH260" s="24" t="s">
        <v>160</v>
      </c>
      <c r="AI260" t="s">
        <v>160</v>
      </c>
      <c r="AJ260" s="29" t="s">
        <v>160</v>
      </c>
      <c r="AK260" s="24" t="s">
        <v>160</v>
      </c>
      <c r="AL260" s="24" t="s">
        <v>160</v>
      </c>
      <c r="AM260" s="24" t="s">
        <v>160</v>
      </c>
      <c r="AN260" s="24" t="s">
        <v>160</v>
      </c>
      <c r="AO260" s="24" t="s">
        <v>160</v>
      </c>
    </row>
    <row r="261" spans="5:41" x14ac:dyDescent="0.25">
      <c r="E261" s="24" t="s">
        <v>139</v>
      </c>
      <c r="F261" s="24" t="s">
        <v>240</v>
      </c>
      <c r="G261">
        <v>2</v>
      </c>
      <c r="H261" t="s">
        <v>100</v>
      </c>
      <c r="I261" s="22" t="s">
        <v>112</v>
      </c>
      <c r="J261" s="22">
        <v>1080185401</v>
      </c>
      <c r="K261" t="s">
        <v>101</v>
      </c>
      <c r="L261" t="s">
        <v>122</v>
      </c>
      <c r="M261">
        <v>9</v>
      </c>
      <c r="N261">
        <v>100</v>
      </c>
      <c r="O261">
        <v>100</v>
      </c>
      <c r="P261" t="s">
        <v>103</v>
      </c>
      <c r="Q261" s="29">
        <v>18.739999999999998</v>
      </c>
      <c r="R261">
        <v>1874</v>
      </c>
      <c r="S261">
        <v>20150127</v>
      </c>
      <c r="T261">
        <v>0</v>
      </c>
      <c r="U261">
        <v>0</v>
      </c>
      <c r="V261">
        <v>1874</v>
      </c>
      <c r="W261" t="s">
        <v>104</v>
      </c>
      <c r="X261" t="s">
        <v>105</v>
      </c>
      <c r="AD261">
        <v>254</v>
      </c>
      <c r="AE261" s="24" t="s">
        <v>695</v>
      </c>
      <c r="AF261" s="24" t="s">
        <v>160</v>
      </c>
      <c r="AG261" s="24" t="s">
        <v>160</v>
      </c>
      <c r="AH261" s="24" t="s">
        <v>160</v>
      </c>
      <c r="AI261" t="s">
        <v>160</v>
      </c>
      <c r="AJ261" s="29" t="s">
        <v>160</v>
      </c>
      <c r="AK261" s="24" t="s">
        <v>160</v>
      </c>
      <c r="AL261" s="24" t="s">
        <v>160</v>
      </c>
      <c r="AM261" s="24" t="s">
        <v>160</v>
      </c>
      <c r="AN261" s="24" t="s">
        <v>160</v>
      </c>
      <c r="AO261" s="24" t="s">
        <v>160</v>
      </c>
    </row>
    <row r="262" spans="5:41" x14ac:dyDescent="0.25">
      <c r="AD262">
        <v>255</v>
      </c>
      <c r="AE262" s="24" t="s">
        <v>696</v>
      </c>
      <c r="AF262" s="24" t="s">
        <v>160</v>
      </c>
      <c r="AG262" s="24" t="s">
        <v>160</v>
      </c>
      <c r="AH262" s="24" t="s">
        <v>160</v>
      </c>
      <c r="AI262" t="s">
        <v>160</v>
      </c>
      <c r="AJ262" s="29" t="s">
        <v>160</v>
      </c>
      <c r="AK262" s="24" t="s">
        <v>160</v>
      </c>
      <c r="AL262" s="24" t="s">
        <v>160</v>
      </c>
      <c r="AM262" s="24" t="s">
        <v>160</v>
      </c>
      <c r="AN262" s="24" t="s">
        <v>160</v>
      </c>
      <c r="AO262" s="24" t="s">
        <v>160</v>
      </c>
    </row>
    <row r="263" spans="5:41" x14ac:dyDescent="0.25">
      <c r="AD263">
        <v>256</v>
      </c>
      <c r="AE263" s="24" t="s">
        <v>697</v>
      </c>
      <c r="AF263" s="24" t="s">
        <v>160</v>
      </c>
      <c r="AG263" s="24" t="s">
        <v>160</v>
      </c>
      <c r="AH263" s="24" t="s">
        <v>160</v>
      </c>
      <c r="AI263" t="s">
        <v>160</v>
      </c>
      <c r="AJ263" s="29" t="s">
        <v>160</v>
      </c>
      <c r="AK263" s="24" t="s">
        <v>160</v>
      </c>
      <c r="AL263" s="24" t="s">
        <v>160</v>
      </c>
      <c r="AM263" s="24" t="s">
        <v>160</v>
      </c>
      <c r="AN263" s="24" t="s">
        <v>160</v>
      </c>
      <c r="AO263" s="24" t="s">
        <v>160</v>
      </c>
    </row>
    <row r="264" spans="5:41" x14ac:dyDescent="0.25">
      <c r="AD264">
        <v>257</v>
      </c>
      <c r="AE264" s="24" t="s">
        <v>698</v>
      </c>
      <c r="AF264" s="24" t="s">
        <v>160</v>
      </c>
      <c r="AG264" s="24" t="s">
        <v>160</v>
      </c>
      <c r="AH264" s="24" t="s">
        <v>160</v>
      </c>
      <c r="AI264" t="s">
        <v>160</v>
      </c>
      <c r="AJ264" s="29" t="s">
        <v>160</v>
      </c>
      <c r="AK264" s="24" t="s">
        <v>160</v>
      </c>
      <c r="AL264" s="24" t="s">
        <v>160</v>
      </c>
      <c r="AM264" s="24" t="s">
        <v>160</v>
      </c>
      <c r="AN264" s="24" t="s">
        <v>160</v>
      </c>
      <c r="AO264" s="24" t="s">
        <v>160</v>
      </c>
    </row>
    <row r="265" spans="5:41" x14ac:dyDescent="0.25">
      <c r="AD265">
        <v>258</v>
      </c>
      <c r="AE265" s="24" t="s">
        <v>699</v>
      </c>
      <c r="AF265" s="24" t="s">
        <v>160</v>
      </c>
      <c r="AG265" s="24" t="s">
        <v>160</v>
      </c>
      <c r="AH265" s="24" t="s">
        <v>160</v>
      </c>
      <c r="AI265" t="s">
        <v>160</v>
      </c>
      <c r="AJ265" s="29" t="s">
        <v>160</v>
      </c>
      <c r="AK265" s="24" t="s">
        <v>160</v>
      </c>
      <c r="AL265" s="24" t="s">
        <v>160</v>
      </c>
      <c r="AM265" s="24" t="s">
        <v>160</v>
      </c>
      <c r="AN265" s="24" t="s">
        <v>160</v>
      </c>
      <c r="AO265" s="24" t="s">
        <v>160</v>
      </c>
    </row>
    <row r="510" spans="6:6" x14ac:dyDescent="0.25">
      <c r="F510" s="40"/>
    </row>
    <row r="511" spans="6:6" x14ac:dyDescent="0.25">
      <c r="F511" s="40"/>
    </row>
  </sheetData>
  <mergeCells count="2">
    <mergeCell ref="C1:F1"/>
    <mergeCell ref="J1:O1"/>
  </mergeCells>
  <phoneticPr fontId="3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對帳單資料_utf8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小計設定_憑單編號">
                <anchor moveWithCells="1" sizeWithCells="1">
                  <from>
                    <xdr:col>19</xdr:col>
                    <xdr:colOff>9525</xdr:colOff>
                    <xdr:row>0</xdr:row>
                    <xdr:rowOff>0</xdr:rowOff>
                  </from>
                  <to>
                    <xdr:col>20</xdr:col>
                    <xdr:colOff>247650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小計移除">
                <anchor moveWithCells="1" sizeWithCells="1">
                  <from>
                    <xdr:col>20</xdr:col>
                    <xdr:colOff>257175</xdr:colOff>
                    <xdr:row>0</xdr:row>
                    <xdr:rowOff>0</xdr:rowOff>
                  </from>
                  <to>
                    <xdr:col>21</xdr:col>
                    <xdr:colOff>285750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D343"/>
  <sheetViews>
    <sheetView tabSelected="1" workbookViewId="0">
      <selection activeCell="D8" sqref="D8"/>
    </sheetView>
  </sheetViews>
  <sheetFormatPr defaultRowHeight="16.5" x14ac:dyDescent="0.25"/>
  <cols>
    <col min="1" max="1" width="9" style="12"/>
    <col min="2" max="2" width="12.625" style="22" customWidth="1"/>
    <col min="3" max="3" width="39.5" customWidth="1"/>
    <col min="4" max="4" width="25" customWidth="1"/>
  </cols>
  <sheetData>
    <row r="1" spans="1:4" x14ac:dyDescent="0.25">
      <c r="B1" s="20" t="s">
        <v>140</v>
      </c>
    </row>
    <row r="2" spans="1:4" x14ac:dyDescent="0.25">
      <c r="B2" s="18">
        <v>6</v>
      </c>
    </row>
    <row r="3" spans="1:4" x14ac:dyDescent="0.25">
      <c r="B3" s="21" t="s">
        <v>45</v>
      </c>
      <c r="C3" t="s">
        <v>700</v>
      </c>
      <c r="D3" t="s">
        <v>701</v>
      </c>
    </row>
    <row r="4" spans="1:4" x14ac:dyDescent="0.25">
      <c r="A4" s="12">
        <v>1</v>
      </c>
      <c r="B4" s="22" t="s">
        <v>147</v>
      </c>
      <c r="C4" t="str">
        <f>"select item=" &amp; A4 &amp; ", shipno='" &amp; B4 &amp; "'"</f>
        <v>select item=1, shipno='BD03802201'</v>
      </c>
    </row>
    <row r="5" spans="1:4" x14ac:dyDescent="0.25">
      <c r="A5" s="12">
        <v>2</v>
      </c>
      <c r="B5" s="22" t="s">
        <v>148</v>
      </c>
      <c r="C5" t="str">
        <f t="shared" ref="C5:C60" si="0">"union all  select item=" &amp; A5 &amp; ", shipno='" &amp; B5 &amp; "'"</f>
        <v>union all  select item=2, shipno='BD03749901'</v>
      </c>
    </row>
    <row r="6" spans="1:4" x14ac:dyDescent="0.25">
      <c r="A6" s="12">
        <v>3</v>
      </c>
      <c r="B6" s="22" t="s">
        <v>149</v>
      </c>
      <c r="C6" t="str">
        <f t="shared" si="0"/>
        <v>union all  select item=3, shipno='BD03750001'</v>
      </c>
    </row>
    <row r="7" spans="1:4" x14ac:dyDescent="0.25">
      <c r="A7" s="12">
        <v>4</v>
      </c>
      <c r="B7" s="22" t="s">
        <v>151</v>
      </c>
      <c r="C7" t="str">
        <f t="shared" si="0"/>
        <v>union all  select item=4, shipno='BE00097901'</v>
      </c>
    </row>
    <row r="8" spans="1:4" x14ac:dyDescent="0.25">
      <c r="A8" s="12">
        <v>5</v>
      </c>
      <c r="B8" s="22" t="s">
        <v>153</v>
      </c>
      <c r="C8" t="str">
        <f t="shared" si="0"/>
        <v>union all  select item=5, shipno='BE00098001'</v>
      </c>
    </row>
    <row r="9" spans="1:4" x14ac:dyDescent="0.25">
      <c r="A9" s="12">
        <v>6</v>
      </c>
      <c r="B9" s="22" t="s">
        <v>155</v>
      </c>
      <c r="C9" t="str">
        <f t="shared" si="0"/>
        <v>union all  select item=6, shipno='BE00098101'</v>
      </c>
    </row>
    <row r="10" spans="1:4" x14ac:dyDescent="0.25">
      <c r="A10" s="12">
        <v>7</v>
      </c>
      <c r="B10" s="22">
        <v>1075347501</v>
      </c>
      <c r="C10" t="str">
        <f t="shared" si="0"/>
        <v>union all  select item=7, shipno='1075347501'</v>
      </c>
    </row>
    <row r="11" spans="1:4" x14ac:dyDescent="0.25">
      <c r="A11" s="12">
        <v>8</v>
      </c>
      <c r="B11" s="22">
        <v>1074230001</v>
      </c>
      <c r="C11" t="str">
        <f t="shared" si="0"/>
        <v>union all  select item=8, shipno='1074230001'</v>
      </c>
    </row>
    <row r="12" spans="1:4" x14ac:dyDescent="0.25">
      <c r="A12" s="12">
        <v>9</v>
      </c>
      <c r="B12" s="22">
        <v>1073013601</v>
      </c>
      <c r="C12" t="str">
        <f t="shared" si="0"/>
        <v>union all  select item=9, shipno='1073013601'</v>
      </c>
    </row>
    <row r="13" spans="1:4" x14ac:dyDescent="0.25">
      <c r="A13" s="12">
        <v>10</v>
      </c>
      <c r="B13" s="22">
        <v>1072877401</v>
      </c>
      <c r="C13" t="str">
        <f t="shared" si="0"/>
        <v>union all  select item=10, shipno='1072877401'</v>
      </c>
    </row>
    <row r="14" spans="1:4" x14ac:dyDescent="0.25">
      <c r="A14" s="12">
        <v>11</v>
      </c>
      <c r="B14" s="22">
        <v>1063942701</v>
      </c>
      <c r="C14" t="str">
        <f t="shared" si="0"/>
        <v>union all  select item=11, shipno='1063942701'</v>
      </c>
    </row>
    <row r="15" spans="1:4" x14ac:dyDescent="0.25">
      <c r="A15" s="12">
        <v>12</v>
      </c>
      <c r="B15" s="22">
        <v>1064526201</v>
      </c>
      <c r="C15" t="str">
        <f t="shared" si="0"/>
        <v>union all  select item=12, shipno='1064526201'</v>
      </c>
    </row>
    <row r="16" spans="1:4" x14ac:dyDescent="0.25">
      <c r="A16" s="12">
        <v>13</v>
      </c>
      <c r="B16" s="22">
        <v>1064400101</v>
      </c>
      <c r="C16" t="str">
        <f t="shared" si="0"/>
        <v>union all  select item=13, shipno='1064400101'</v>
      </c>
    </row>
    <row r="17" spans="1:3" x14ac:dyDescent="0.25">
      <c r="A17" s="12">
        <v>14</v>
      </c>
      <c r="B17" s="22">
        <v>1065094901</v>
      </c>
      <c r="C17" t="str">
        <f t="shared" si="0"/>
        <v>union all  select item=14, shipno='1065094901'</v>
      </c>
    </row>
    <row r="18" spans="1:3" x14ac:dyDescent="0.25">
      <c r="A18" s="12">
        <v>15</v>
      </c>
      <c r="B18" s="22">
        <v>3030357601</v>
      </c>
      <c r="C18" t="str">
        <f t="shared" si="0"/>
        <v>union all  select item=15, shipno='3030357601'</v>
      </c>
    </row>
    <row r="19" spans="1:3" x14ac:dyDescent="0.25">
      <c r="A19" s="12">
        <v>16</v>
      </c>
      <c r="B19" s="22">
        <v>1075718101</v>
      </c>
      <c r="C19" t="str">
        <f t="shared" si="0"/>
        <v>union all  select item=16, shipno='1075718101'</v>
      </c>
    </row>
    <row r="20" spans="1:3" x14ac:dyDescent="0.25">
      <c r="A20" s="12">
        <v>17</v>
      </c>
      <c r="B20" s="22">
        <v>1076439001</v>
      </c>
      <c r="C20" t="str">
        <f t="shared" si="0"/>
        <v>union all  select item=17, shipno='1076439001'</v>
      </c>
    </row>
    <row r="21" spans="1:3" x14ac:dyDescent="0.25">
      <c r="A21" s="12">
        <v>18</v>
      </c>
      <c r="B21" s="22">
        <v>1076212901</v>
      </c>
      <c r="C21" t="str">
        <f t="shared" si="0"/>
        <v>union all  select item=18, shipno='1076212901'</v>
      </c>
    </row>
    <row r="22" spans="1:3" x14ac:dyDescent="0.25">
      <c r="A22" s="12">
        <v>19</v>
      </c>
      <c r="B22" s="22">
        <v>1076978001</v>
      </c>
      <c r="C22" t="str">
        <f t="shared" si="0"/>
        <v>union all  select item=19, shipno='1076978001'</v>
      </c>
    </row>
    <row r="23" spans="1:3" x14ac:dyDescent="0.25">
      <c r="A23" s="12">
        <v>20</v>
      </c>
      <c r="B23" s="22">
        <v>1066201801</v>
      </c>
      <c r="C23" t="str">
        <f t="shared" si="0"/>
        <v>union all  select item=20, shipno='1066201801'</v>
      </c>
    </row>
    <row r="24" spans="1:3" x14ac:dyDescent="0.25">
      <c r="A24" s="12">
        <v>21</v>
      </c>
      <c r="B24" s="22">
        <v>1066738401</v>
      </c>
      <c r="C24" t="str">
        <f t="shared" si="0"/>
        <v>union all  select item=21, shipno='1066738401'</v>
      </c>
    </row>
    <row r="25" spans="1:3" x14ac:dyDescent="0.25">
      <c r="A25" s="12">
        <v>22</v>
      </c>
      <c r="B25" s="22">
        <v>1066611701</v>
      </c>
      <c r="C25" t="str">
        <f t="shared" si="0"/>
        <v>union all  select item=22, shipno='1066611701'</v>
      </c>
    </row>
    <row r="26" spans="1:3" x14ac:dyDescent="0.25">
      <c r="A26" s="12">
        <v>23</v>
      </c>
      <c r="B26" s="22">
        <v>1067373201</v>
      </c>
      <c r="C26" t="str">
        <f t="shared" si="0"/>
        <v>union all  select item=23, shipno='1067373201'</v>
      </c>
    </row>
    <row r="27" spans="1:3" x14ac:dyDescent="0.25">
      <c r="A27" s="12">
        <v>24</v>
      </c>
      <c r="B27" s="22">
        <v>1067066501</v>
      </c>
      <c r="C27" t="str">
        <f t="shared" si="0"/>
        <v>union all  select item=24, shipno='1067066501'</v>
      </c>
    </row>
    <row r="28" spans="1:3" x14ac:dyDescent="0.25">
      <c r="A28" s="12">
        <v>25</v>
      </c>
      <c r="B28" s="22">
        <v>1061360801</v>
      </c>
      <c r="C28" t="str">
        <f t="shared" si="0"/>
        <v>union all  select item=25, shipno='1061360801'</v>
      </c>
    </row>
    <row r="29" spans="1:3" x14ac:dyDescent="0.25">
      <c r="A29" s="12">
        <v>26</v>
      </c>
      <c r="B29" s="22">
        <v>1064789701</v>
      </c>
      <c r="C29" t="str">
        <f t="shared" si="0"/>
        <v>union all  select item=26, shipno='1064789701'</v>
      </c>
    </row>
    <row r="30" spans="1:3" x14ac:dyDescent="0.25">
      <c r="A30" s="12">
        <v>27</v>
      </c>
      <c r="B30" s="22">
        <v>1067063201</v>
      </c>
      <c r="C30" t="str">
        <f t="shared" si="0"/>
        <v>union all  select item=27, shipno='1067063201'</v>
      </c>
    </row>
    <row r="31" spans="1:3" x14ac:dyDescent="0.25">
      <c r="A31" s="12">
        <v>28</v>
      </c>
      <c r="B31" s="22">
        <v>1064076401</v>
      </c>
      <c r="C31" t="str">
        <f t="shared" si="0"/>
        <v>union all  select item=28, shipno='1064076401'</v>
      </c>
    </row>
    <row r="32" spans="1:3" x14ac:dyDescent="0.25">
      <c r="A32" s="12">
        <v>29</v>
      </c>
      <c r="B32" s="22">
        <v>1068685101</v>
      </c>
      <c r="C32" t="str">
        <f t="shared" si="0"/>
        <v>union all  select item=29, shipno='1068685101'</v>
      </c>
    </row>
    <row r="33" spans="1:3" x14ac:dyDescent="0.25">
      <c r="A33" s="12">
        <v>30</v>
      </c>
      <c r="B33" s="22">
        <v>1068856501</v>
      </c>
      <c r="C33" t="str">
        <f t="shared" si="0"/>
        <v>union all  select item=30, shipno='1068856501'</v>
      </c>
    </row>
    <row r="34" spans="1:3" x14ac:dyDescent="0.25">
      <c r="A34" s="12">
        <v>31</v>
      </c>
      <c r="B34" s="22">
        <v>1068205901</v>
      </c>
      <c r="C34" t="str">
        <f t="shared" si="0"/>
        <v>union all  select item=31, shipno='1068205901'</v>
      </c>
    </row>
    <row r="35" spans="1:3" x14ac:dyDescent="0.25">
      <c r="A35" s="12">
        <v>32</v>
      </c>
      <c r="B35" s="22">
        <v>1067725501</v>
      </c>
      <c r="C35" t="str">
        <f t="shared" si="0"/>
        <v>union all  select item=32, shipno='1067725501'</v>
      </c>
    </row>
    <row r="36" spans="1:3" x14ac:dyDescent="0.25">
      <c r="A36" s="12">
        <v>33</v>
      </c>
      <c r="B36" s="22">
        <v>1065511301</v>
      </c>
      <c r="C36" t="str">
        <f t="shared" si="0"/>
        <v>union all  select item=33, shipno='1065511301'</v>
      </c>
    </row>
    <row r="37" spans="1:3" x14ac:dyDescent="0.25">
      <c r="A37" s="12">
        <v>34</v>
      </c>
      <c r="B37" s="22">
        <v>1065382901</v>
      </c>
      <c r="C37" t="str">
        <f t="shared" si="0"/>
        <v>union all  select item=34, shipno='1065382901'</v>
      </c>
    </row>
    <row r="38" spans="1:3" x14ac:dyDescent="0.25">
      <c r="A38" s="12">
        <v>35</v>
      </c>
      <c r="B38" s="22">
        <v>1065928401</v>
      </c>
      <c r="C38" t="str">
        <f t="shared" si="0"/>
        <v>union all  select item=35, shipno='1065928401'</v>
      </c>
    </row>
    <row r="39" spans="1:3" x14ac:dyDescent="0.25">
      <c r="A39" s="12">
        <v>36</v>
      </c>
      <c r="B39" s="22">
        <v>1065795101</v>
      </c>
      <c r="C39" t="str">
        <f t="shared" si="0"/>
        <v>union all  select item=36, shipno='1065795101'</v>
      </c>
    </row>
    <row r="40" spans="1:3" x14ac:dyDescent="0.25">
      <c r="A40" s="12">
        <v>37</v>
      </c>
      <c r="B40" s="22">
        <v>1066320001</v>
      </c>
      <c r="C40" t="str">
        <f t="shared" si="0"/>
        <v>union all  select item=37, shipno='1066320001'</v>
      </c>
    </row>
    <row r="41" spans="1:3" x14ac:dyDescent="0.25">
      <c r="A41" s="12">
        <v>38</v>
      </c>
      <c r="B41" s="22">
        <v>1076802801</v>
      </c>
      <c r="C41" t="str">
        <f t="shared" si="0"/>
        <v>union all  select item=38, shipno='1076802801'</v>
      </c>
    </row>
    <row r="42" spans="1:3" x14ac:dyDescent="0.25">
      <c r="A42" s="12">
        <v>39</v>
      </c>
      <c r="B42" s="22">
        <v>1077628901</v>
      </c>
      <c r="C42" t="str">
        <f t="shared" si="0"/>
        <v>union all  select item=39, shipno='1077628901'</v>
      </c>
    </row>
    <row r="43" spans="1:3" x14ac:dyDescent="0.25">
      <c r="A43" s="12">
        <v>40</v>
      </c>
      <c r="B43" s="22">
        <v>1077489001</v>
      </c>
      <c r="C43" t="str">
        <f t="shared" si="0"/>
        <v>union all  select item=40, shipno='1077489001'</v>
      </c>
    </row>
    <row r="44" spans="1:3" x14ac:dyDescent="0.25">
      <c r="A44" s="12">
        <v>41</v>
      </c>
      <c r="B44" s="22">
        <v>1078145001</v>
      </c>
      <c r="C44" t="str">
        <f t="shared" si="0"/>
        <v>union all  select item=41, shipno='1078145001'</v>
      </c>
    </row>
    <row r="45" spans="1:3" x14ac:dyDescent="0.25">
      <c r="A45" s="12">
        <v>42</v>
      </c>
      <c r="B45" s="22">
        <v>1077845801</v>
      </c>
      <c r="C45" t="str">
        <f t="shared" si="0"/>
        <v>union all  select item=42, shipno='1077845801'</v>
      </c>
    </row>
    <row r="46" spans="1:3" x14ac:dyDescent="0.25">
      <c r="A46" s="12">
        <v>43</v>
      </c>
      <c r="B46" s="22">
        <v>1072369901</v>
      </c>
      <c r="C46" t="str">
        <f t="shared" si="0"/>
        <v>union all  select item=43, shipno='1072369901'</v>
      </c>
    </row>
    <row r="47" spans="1:3" x14ac:dyDescent="0.25">
      <c r="A47" s="12">
        <v>44</v>
      </c>
      <c r="B47" s="22">
        <v>1072498701</v>
      </c>
      <c r="C47" t="str">
        <f t="shared" si="0"/>
        <v>union all  select item=44, shipno='1072498701'</v>
      </c>
    </row>
    <row r="48" spans="1:3" x14ac:dyDescent="0.25">
      <c r="A48" s="12">
        <v>45</v>
      </c>
      <c r="B48" s="22">
        <v>1075173601</v>
      </c>
      <c r="C48" t="str">
        <f t="shared" si="0"/>
        <v>union all  select item=45, shipno='1075173601'</v>
      </c>
    </row>
    <row r="49" spans="1:3" x14ac:dyDescent="0.25">
      <c r="A49" s="12">
        <v>46</v>
      </c>
      <c r="B49" s="22">
        <v>1073891101</v>
      </c>
      <c r="C49" t="str">
        <f t="shared" si="0"/>
        <v>union all  select item=46, shipno='1073891101'</v>
      </c>
    </row>
    <row r="50" spans="1:3" x14ac:dyDescent="0.25">
      <c r="A50" s="12">
        <v>47</v>
      </c>
      <c r="B50" s="22">
        <v>1074489901</v>
      </c>
      <c r="C50" t="str">
        <f t="shared" si="0"/>
        <v>union all  select item=47, shipno='1074489901'</v>
      </c>
    </row>
    <row r="51" spans="1:3" x14ac:dyDescent="0.25">
      <c r="A51" s="12">
        <v>48</v>
      </c>
      <c r="B51" s="22">
        <v>1072017201</v>
      </c>
      <c r="C51" t="str">
        <f t="shared" si="0"/>
        <v>union all  select item=48, shipno='1072017201'</v>
      </c>
    </row>
    <row r="52" spans="1:3" x14ac:dyDescent="0.25">
      <c r="A52" s="12">
        <v>49</v>
      </c>
      <c r="B52" s="22">
        <v>1072372301</v>
      </c>
      <c r="C52" t="str">
        <f t="shared" si="0"/>
        <v>union all  select item=49, shipno='1072372301'</v>
      </c>
    </row>
    <row r="53" spans="1:3" x14ac:dyDescent="0.25">
      <c r="A53" s="12">
        <v>50</v>
      </c>
      <c r="B53" s="22">
        <v>1077971301</v>
      </c>
      <c r="C53" t="str">
        <f t="shared" si="0"/>
        <v>union all  select item=50, shipno='1077971301'</v>
      </c>
    </row>
    <row r="54" spans="1:3" x14ac:dyDescent="0.25">
      <c r="A54" s="12">
        <v>51</v>
      </c>
      <c r="B54" s="22">
        <v>1077486401</v>
      </c>
      <c r="C54" t="str">
        <f t="shared" si="0"/>
        <v>union all  select item=51, shipno='1077486401'</v>
      </c>
    </row>
    <row r="55" spans="1:3" x14ac:dyDescent="0.25">
      <c r="A55" s="12">
        <v>52</v>
      </c>
      <c r="B55" s="22">
        <v>1076803201</v>
      </c>
      <c r="C55" t="str">
        <f t="shared" si="0"/>
        <v>union all  select item=52, shipno='1076803201'</v>
      </c>
    </row>
    <row r="56" spans="1:3" x14ac:dyDescent="0.25">
      <c r="A56" s="12">
        <v>53</v>
      </c>
      <c r="B56" s="22">
        <v>1076214601</v>
      </c>
      <c r="C56" t="str">
        <f t="shared" si="0"/>
        <v>union all  select item=53, shipno='1076214601'</v>
      </c>
    </row>
    <row r="57" spans="1:3" x14ac:dyDescent="0.25">
      <c r="A57" s="12">
        <v>54</v>
      </c>
      <c r="B57" s="22">
        <v>1068859001</v>
      </c>
      <c r="C57" t="str">
        <f t="shared" si="0"/>
        <v>union all  select item=54, shipno='1068859001'</v>
      </c>
    </row>
    <row r="58" spans="1:3" x14ac:dyDescent="0.25">
      <c r="A58" s="12">
        <v>55</v>
      </c>
      <c r="B58" s="22">
        <v>1069405201</v>
      </c>
      <c r="C58" t="str">
        <f t="shared" si="0"/>
        <v>union all  select item=55, shipno='1069405201'</v>
      </c>
    </row>
    <row r="59" spans="1:3" x14ac:dyDescent="0.25">
      <c r="A59" s="12">
        <v>56</v>
      </c>
      <c r="B59" s="22">
        <v>1070038601</v>
      </c>
      <c r="C59" t="str">
        <f t="shared" si="0"/>
        <v>union all  select item=56, shipno='1070038601'</v>
      </c>
    </row>
    <row r="60" spans="1:3" x14ac:dyDescent="0.25">
      <c r="A60" s="12">
        <v>57</v>
      </c>
      <c r="B60" s="22">
        <v>1070438501</v>
      </c>
      <c r="C60" t="str">
        <f t="shared" si="0"/>
        <v>union all  select item=57, shipno='1070438501'</v>
      </c>
    </row>
    <row r="61" spans="1:3" x14ac:dyDescent="0.25">
      <c r="A61" s="12">
        <v>58</v>
      </c>
      <c r="B61" s="22">
        <v>1070836901</v>
      </c>
      <c r="C61" t="str">
        <f t="shared" ref="C61:C124" si="1">"union all  select item=" &amp; A61 &amp; ", shipno='" &amp; B61 &amp; "'"</f>
        <v>union all  select item=58, shipno='1070836901'</v>
      </c>
    </row>
    <row r="62" spans="1:3" x14ac:dyDescent="0.25">
      <c r="A62" s="12">
        <v>59</v>
      </c>
      <c r="B62" s="22">
        <v>1071622001</v>
      </c>
      <c r="C62" t="str">
        <f t="shared" si="1"/>
        <v>union all  select item=59, shipno='1071622001'</v>
      </c>
    </row>
    <row r="63" spans="1:3" x14ac:dyDescent="0.25">
      <c r="A63" s="12">
        <v>60</v>
      </c>
      <c r="B63" s="22">
        <v>1071143801</v>
      </c>
      <c r="C63" t="str">
        <f t="shared" si="1"/>
        <v>union all  select item=60, shipno='1071143801'</v>
      </c>
    </row>
    <row r="64" spans="1:3" x14ac:dyDescent="0.25">
      <c r="A64" s="12">
        <v>61</v>
      </c>
      <c r="B64" s="22">
        <v>1070684701</v>
      </c>
      <c r="C64" t="str">
        <f t="shared" si="1"/>
        <v>union all  select item=61, shipno='1070684701'</v>
      </c>
    </row>
    <row r="65" spans="1:3" x14ac:dyDescent="0.25">
      <c r="A65" s="12">
        <v>62</v>
      </c>
      <c r="B65" s="22">
        <v>1070186801</v>
      </c>
      <c r="C65" t="str">
        <f t="shared" si="1"/>
        <v>union all  select item=62, shipno='1070186801'</v>
      </c>
    </row>
    <row r="66" spans="1:3" x14ac:dyDescent="0.25">
      <c r="A66" s="12">
        <v>63</v>
      </c>
      <c r="B66" s="22">
        <v>1069652401</v>
      </c>
      <c r="C66" t="str">
        <f t="shared" si="1"/>
        <v>union all  select item=63, shipno='1069652401'</v>
      </c>
    </row>
    <row r="67" spans="1:3" x14ac:dyDescent="0.25">
      <c r="A67" s="12">
        <v>64</v>
      </c>
      <c r="B67" s="22">
        <v>1069154101</v>
      </c>
      <c r="C67" t="str">
        <f t="shared" si="1"/>
        <v>union all  select item=64, shipno='1069154101'</v>
      </c>
    </row>
    <row r="68" spans="1:3" x14ac:dyDescent="0.25">
      <c r="A68" s="12">
        <v>65</v>
      </c>
      <c r="B68" s="22">
        <v>1068208301</v>
      </c>
      <c r="C68" t="str">
        <f t="shared" si="1"/>
        <v>union all  select item=65, shipno='1068208301'</v>
      </c>
    </row>
    <row r="69" spans="1:3" x14ac:dyDescent="0.25">
      <c r="A69" s="12">
        <v>66</v>
      </c>
      <c r="B69" s="22">
        <v>1068419001</v>
      </c>
      <c r="C69" t="str">
        <f t="shared" si="1"/>
        <v>union all  select item=66, shipno='1068419001'</v>
      </c>
    </row>
    <row r="70" spans="1:3" x14ac:dyDescent="0.25">
      <c r="A70" s="12">
        <v>67</v>
      </c>
      <c r="B70" s="22">
        <v>1063943301</v>
      </c>
      <c r="C70" t="str">
        <f t="shared" si="1"/>
        <v>union all  select item=67, shipno='1063943301'</v>
      </c>
    </row>
    <row r="71" spans="1:3" x14ac:dyDescent="0.25">
      <c r="A71" s="12">
        <v>68</v>
      </c>
      <c r="B71" s="22">
        <v>1064526301</v>
      </c>
      <c r="C71" t="str">
        <f t="shared" si="1"/>
        <v>union all  select item=68, shipno='1064526301'</v>
      </c>
    </row>
    <row r="72" spans="1:3" x14ac:dyDescent="0.25">
      <c r="A72" s="12">
        <v>69</v>
      </c>
      <c r="B72" s="22">
        <v>1065097301</v>
      </c>
      <c r="C72" t="str">
        <f t="shared" si="1"/>
        <v>union all  select item=69, shipno='1065097301'</v>
      </c>
    </row>
    <row r="73" spans="1:3" x14ac:dyDescent="0.25">
      <c r="A73" s="12">
        <v>70</v>
      </c>
      <c r="B73" s="22">
        <v>1065385001</v>
      </c>
      <c r="C73" t="str">
        <f t="shared" si="1"/>
        <v>union all  select item=70, shipno='1065385001'</v>
      </c>
    </row>
    <row r="74" spans="1:3" x14ac:dyDescent="0.25">
      <c r="A74" s="12">
        <v>71</v>
      </c>
      <c r="B74" s="22">
        <v>1064074601</v>
      </c>
      <c r="C74" t="str">
        <f t="shared" si="1"/>
        <v>union all  select item=71, shipno='1064074601'</v>
      </c>
    </row>
    <row r="75" spans="1:3" x14ac:dyDescent="0.25">
      <c r="A75" s="12">
        <v>72</v>
      </c>
      <c r="B75" s="22">
        <v>1061892701</v>
      </c>
      <c r="C75" t="str">
        <f t="shared" si="1"/>
        <v>union all  select item=72, shipno='1061892701'</v>
      </c>
    </row>
    <row r="76" spans="1:3" x14ac:dyDescent="0.25">
      <c r="A76" s="12">
        <v>73</v>
      </c>
      <c r="B76" s="22">
        <v>1072507601</v>
      </c>
      <c r="C76" t="str">
        <f t="shared" si="1"/>
        <v>union all  select item=73, shipno='1072507601'</v>
      </c>
    </row>
    <row r="77" spans="1:3" x14ac:dyDescent="0.25">
      <c r="A77" s="12">
        <v>74</v>
      </c>
      <c r="B77" s="22">
        <v>1073500501</v>
      </c>
      <c r="C77" t="str">
        <f t="shared" si="1"/>
        <v>union all  select item=74, shipno='1073500501'</v>
      </c>
    </row>
    <row r="78" spans="1:3" x14ac:dyDescent="0.25">
      <c r="A78" s="12">
        <v>75</v>
      </c>
      <c r="B78" s="22">
        <v>1073221801</v>
      </c>
      <c r="C78" t="str">
        <f t="shared" si="1"/>
        <v>union all  select item=75, shipno='1073221801'</v>
      </c>
    </row>
    <row r="79" spans="1:3" x14ac:dyDescent="0.25">
      <c r="A79" s="12">
        <v>76</v>
      </c>
      <c r="B79" s="22">
        <v>1074018801</v>
      </c>
      <c r="C79" t="str">
        <f t="shared" si="1"/>
        <v>union all  select item=76, shipno='1074018801'</v>
      </c>
    </row>
    <row r="80" spans="1:3" x14ac:dyDescent="0.25">
      <c r="A80" s="12">
        <v>77</v>
      </c>
      <c r="B80" s="22">
        <v>1074810801</v>
      </c>
      <c r="C80" t="str">
        <f t="shared" si="1"/>
        <v>union all  select item=77, shipno='1074810801'</v>
      </c>
    </row>
    <row r="81" spans="1:3" x14ac:dyDescent="0.25">
      <c r="A81" s="12">
        <v>78</v>
      </c>
      <c r="B81" s="22">
        <v>1075350101</v>
      </c>
      <c r="C81" t="str">
        <f t="shared" si="1"/>
        <v>union all  select item=78, shipno='1075350101'</v>
      </c>
    </row>
    <row r="82" spans="1:3" x14ac:dyDescent="0.25">
      <c r="A82" s="12">
        <v>79</v>
      </c>
      <c r="B82" s="22">
        <v>1075886401</v>
      </c>
      <c r="C82" t="str">
        <f t="shared" si="1"/>
        <v>union all  select item=79, shipno='1075886401'</v>
      </c>
    </row>
    <row r="83" spans="1:3" x14ac:dyDescent="0.25">
      <c r="A83" s="12">
        <v>80</v>
      </c>
      <c r="B83" s="22">
        <v>1076435901</v>
      </c>
      <c r="C83" t="str">
        <f t="shared" si="1"/>
        <v>union all  select item=80, shipno='1076435901'</v>
      </c>
    </row>
    <row r="84" spans="1:3" x14ac:dyDescent="0.25">
      <c r="A84" s="12">
        <v>81</v>
      </c>
      <c r="B84" s="22">
        <v>1076974601</v>
      </c>
      <c r="C84" t="str">
        <f t="shared" si="1"/>
        <v>union all  select item=81, shipno='1076974601'</v>
      </c>
    </row>
    <row r="85" spans="1:3" x14ac:dyDescent="0.25">
      <c r="A85" s="12">
        <v>82</v>
      </c>
      <c r="B85" s="22">
        <v>1077647001</v>
      </c>
      <c r="C85" t="str">
        <f t="shared" si="1"/>
        <v>union all  select item=82, shipno='1077647001'</v>
      </c>
    </row>
    <row r="86" spans="1:3" x14ac:dyDescent="0.25">
      <c r="A86" s="12">
        <v>83</v>
      </c>
      <c r="B86" s="22">
        <v>1078146001</v>
      </c>
      <c r="C86" t="str">
        <f t="shared" si="1"/>
        <v>union all  select item=83, shipno='1078146001'</v>
      </c>
    </row>
    <row r="87" spans="1:3" x14ac:dyDescent="0.25">
      <c r="A87" s="12">
        <v>84</v>
      </c>
      <c r="B87" s="22">
        <v>1074489801</v>
      </c>
      <c r="C87" t="str">
        <f t="shared" si="1"/>
        <v>union all  select item=84, shipno='1074489801'</v>
      </c>
    </row>
    <row r="88" spans="1:3" x14ac:dyDescent="0.25">
      <c r="A88" s="12">
        <v>85</v>
      </c>
      <c r="B88" s="22">
        <v>1071814201</v>
      </c>
      <c r="C88" t="str">
        <f t="shared" si="1"/>
        <v>union all  select item=85, shipno='1071814201'</v>
      </c>
    </row>
    <row r="89" spans="1:3" x14ac:dyDescent="0.25">
      <c r="A89" s="12">
        <v>86</v>
      </c>
      <c r="B89" s="22">
        <v>1077403601</v>
      </c>
      <c r="C89" t="str">
        <f t="shared" si="1"/>
        <v>union all  select item=86, shipno='1077403601'</v>
      </c>
    </row>
    <row r="90" spans="1:3" x14ac:dyDescent="0.25">
      <c r="A90" s="12">
        <v>87</v>
      </c>
      <c r="B90" s="22">
        <v>1075076001</v>
      </c>
      <c r="C90" t="str">
        <f t="shared" si="1"/>
        <v>union all  select item=87, shipno='1075076001'</v>
      </c>
    </row>
    <row r="91" spans="1:3" x14ac:dyDescent="0.25">
      <c r="A91" s="12">
        <v>88</v>
      </c>
      <c r="B91" s="22">
        <v>1072759201</v>
      </c>
      <c r="C91" t="str">
        <f t="shared" si="1"/>
        <v>union all  select item=88, shipno='1072759201'</v>
      </c>
    </row>
    <row r="92" spans="1:3" x14ac:dyDescent="0.25">
      <c r="A92" s="12">
        <v>89</v>
      </c>
      <c r="B92" s="22">
        <v>1076698601</v>
      </c>
      <c r="C92" t="str">
        <f t="shared" si="1"/>
        <v>union all  select item=89, shipno='1076698601'</v>
      </c>
    </row>
    <row r="93" spans="1:3" x14ac:dyDescent="0.25">
      <c r="A93" s="12">
        <v>90</v>
      </c>
      <c r="B93" s="22">
        <v>1075616501</v>
      </c>
      <c r="C93" t="str">
        <f t="shared" si="1"/>
        <v>union all  select item=90, shipno='1075616501'</v>
      </c>
    </row>
    <row r="94" spans="1:3" x14ac:dyDescent="0.25">
      <c r="A94" s="12">
        <v>91</v>
      </c>
      <c r="B94" s="22">
        <v>1072265901</v>
      </c>
      <c r="C94" t="str">
        <f t="shared" si="1"/>
        <v>union all  select item=91, shipno='1072265901'</v>
      </c>
    </row>
    <row r="95" spans="1:3" x14ac:dyDescent="0.25">
      <c r="A95" s="12">
        <v>92</v>
      </c>
      <c r="B95" s="22">
        <v>1071814101</v>
      </c>
      <c r="C95" t="str">
        <f t="shared" si="1"/>
        <v>union all  select item=92, shipno='1071814101'</v>
      </c>
    </row>
    <row r="96" spans="1:3" x14ac:dyDescent="0.25">
      <c r="A96" s="12">
        <v>93</v>
      </c>
      <c r="B96" s="22">
        <v>1075616801</v>
      </c>
      <c r="C96" t="str">
        <f t="shared" si="1"/>
        <v>union all  select item=93, shipno='1075616801'</v>
      </c>
    </row>
    <row r="97" spans="1:3" x14ac:dyDescent="0.25">
      <c r="A97" s="12">
        <v>94</v>
      </c>
      <c r="B97" s="22">
        <v>1073792401</v>
      </c>
      <c r="C97" t="str">
        <f t="shared" si="1"/>
        <v>union all  select item=94, shipno='1073792401'</v>
      </c>
    </row>
    <row r="98" spans="1:3" x14ac:dyDescent="0.25">
      <c r="A98" s="12">
        <v>95</v>
      </c>
      <c r="B98" s="22">
        <v>1072265401</v>
      </c>
      <c r="C98" t="str">
        <f t="shared" si="1"/>
        <v>union all  select item=95, shipno='1072265401'</v>
      </c>
    </row>
    <row r="99" spans="1:3" x14ac:dyDescent="0.25">
      <c r="A99" s="12">
        <v>96</v>
      </c>
      <c r="B99" s="22">
        <v>1072760101</v>
      </c>
      <c r="C99" t="str">
        <f t="shared" si="1"/>
        <v>union all  select item=96, shipno='1072760101'</v>
      </c>
    </row>
    <row r="100" spans="1:3" x14ac:dyDescent="0.25">
      <c r="A100" s="12">
        <v>97</v>
      </c>
      <c r="B100" s="22">
        <v>1076698501</v>
      </c>
      <c r="C100" t="str">
        <f t="shared" si="1"/>
        <v>union all  select item=97, shipno='1076698501'</v>
      </c>
    </row>
    <row r="101" spans="1:3" x14ac:dyDescent="0.25">
      <c r="A101" s="12">
        <v>98</v>
      </c>
      <c r="B101" s="22">
        <v>1077403401</v>
      </c>
      <c r="C101" t="str">
        <f t="shared" si="1"/>
        <v>union all  select item=98, shipno='1077403401'</v>
      </c>
    </row>
    <row r="102" spans="1:3" x14ac:dyDescent="0.25">
      <c r="A102" s="12">
        <v>99</v>
      </c>
      <c r="B102" s="22">
        <v>1071046601</v>
      </c>
      <c r="C102" t="str">
        <f t="shared" si="1"/>
        <v>union all  select item=99, shipno='1071046601'</v>
      </c>
    </row>
    <row r="103" spans="1:3" x14ac:dyDescent="0.25">
      <c r="A103" s="12">
        <v>100</v>
      </c>
      <c r="B103" s="22">
        <v>1076138401</v>
      </c>
      <c r="C103" t="str">
        <f t="shared" si="1"/>
        <v>union all  select item=100, shipno='1076138401'</v>
      </c>
    </row>
    <row r="104" spans="1:3" x14ac:dyDescent="0.25">
      <c r="A104" s="12">
        <v>101</v>
      </c>
      <c r="B104" s="22">
        <v>1074548001</v>
      </c>
      <c r="C104" t="str">
        <f t="shared" si="1"/>
        <v>union all  select item=101, shipno='1074548001'</v>
      </c>
    </row>
    <row r="105" spans="1:3" x14ac:dyDescent="0.25">
      <c r="A105" s="12">
        <v>102</v>
      </c>
      <c r="B105" s="22">
        <v>1075075501</v>
      </c>
      <c r="C105" t="str">
        <f t="shared" si="1"/>
        <v>union all  select item=102, shipno='1075075501'</v>
      </c>
    </row>
    <row r="106" spans="1:3" x14ac:dyDescent="0.25">
      <c r="A106" s="12">
        <v>103</v>
      </c>
      <c r="B106" s="22">
        <v>1073270401</v>
      </c>
      <c r="C106" t="str">
        <f t="shared" si="1"/>
        <v>union all  select item=103, shipno='1073270401'</v>
      </c>
    </row>
    <row r="107" spans="1:3" x14ac:dyDescent="0.25">
      <c r="A107" s="12">
        <v>104</v>
      </c>
      <c r="B107" s="22">
        <v>1075075601</v>
      </c>
      <c r="C107" t="str">
        <f t="shared" si="1"/>
        <v>union all  select item=104, shipno='1075075601'</v>
      </c>
    </row>
    <row r="108" spans="1:3" x14ac:dyDescent="0.25">
      <c r="A108" s="12">
        <v>105</v>
      </c>
      <c r="B108" s="22">
        <v>1072265801</v>
      </c>
      <c r="C108" t="str">
        <f t="shared" si="1"/>
        <v>union all  select item=105, shipno='1072265801'</v>
      </c>
    </row>
    <row r="109" spans="1:3" x14ac:dyDescent="0.25">
      <c r="A109" s="12">
        <v>106</v>
      </c>
      <c r="B109" s="22">
        <v>1072759501</v>
      </c>
      <c r="C109" t="str">
        <f t="shared" si="1"/>
        <v>union all  select item=106, shipno='1072759501'</v>
      </c>
    </row>
    <row r="110" spans="1:3" x14ac:dyDescent="0.25">
      <c r="A110" s="12">
        <v>107</v>
      </c>
      <c r="B110" s="22">
        <v>1073270601</v>
      </c>
      <c r="C110" t="str">
        <f t="shared" si="1"/>
        <v>union all  select item=107, shipno='1073270601'</v>
      </c>
    </row>
    <row r="111" spans="1:3" x14ac:dyDescent="0.25">
      <c r="A111" s="12">
        <v>108</v>
      </c>
      <c r="B111" s="22">
        <v>1075616601</v>
      </c>
      <c r="C111" t="str">
        <f t="shared" si="1"/>
        <v>union all  select item=108, shipno='1075616601'</v>
      </c>
    </row>
    <row r="112" spans="1:3" x14ac:dyDescent="0.25">
      <c r="A112" s="12">
        <v>109</v>
      </c>
      <c r="B112" s="22">
        <v>1071046101</v>
      </c>
      <c r="C112" t="str">
        <f t="shared" si="1"/>
        <v>union all  select item=109, shipno='1071046101'</v>
      </c>
    </row>
    <row r="113" spans="1:3" x14ac:dyDescent="0.25">
      <c r="A113" s="12">
        <v>110</v>
      </c>
      <c r="B113" s="22">
        <v>1076698701</v>
      </c>
      <c r="C113" t="str">
        <f t="shared" si="1"/>
        <v>union all  select item=110, shipno='1076698701'</v>
      </c>
    </row>
    <row r="114" spans="1:3" x14ac:dyDescent="0.25">
      <c r="A114" s="12">
        <v>111</v>
      </c>
      <c r="B114" s="22">
        <v>1072759601</v>
      </c>
      <c r="C114" t="str">
        <f t="shared" si="1"/>
        <v>union all  select item=111, shipno='1072759601'</v>
      </c>
    </row>
    <row r="115" spans="1:3" x14ac:dyDescent="0.25">
      <c r="A115" s="12">
        <v>112</v>
      </c>
      <c r="B115" s="22">
        <v>1076138201</v>
      </c>
      <c r="C115" t="str">
        <f t="shared" si="1"/>
        <v>union all  select item=112, shipno='1076138201'</v>
      </c>
    </row>
    <row r="116" spans="1:3" x14ac:dyDescent="0.25">
      <c r="A116" s="12">
        <v>113</v>
      </c>
      <c r="B116" s="22">
        <v>1075076101</v>
      </c>
      <c r="C116" t="str">
        <f t="shared" si="1"/>
        <v>union all  select item=113, shipno='1075076101'</v>
      </c>
    </row>
    <row r="117" spans="1:3" x14ac:dyDescent="0.25">
      <c r="A117" s="12">
        <v>114</v>
      </c>
      <c r="B117" s="22">
        <v>1073270501</v>
      </c>
      <c r="C117" t="str">
        <f t="shared" si="1"/>
        <v>union all  select item=114, shipno='1073270501'</v>
      </c>
    </row>
    <row r="118" spans="1:3" x14ac:dyDescent="0.25">
      <c r="A118" s="12">
        <v>115</v>
      </c>
      <c r="B118" s="22">
        <v>1072265301</v>
      </c>
      <c r="C118" t="str">
        <f t="shared" si="1"/>
        <v>union all  select item=115, shipno='1072265301'</v>
      </c>
    </row>
    <row r="119" spans="1:3" x14ac:dyDescent="0.25">
      <c r="A119" s="12">
        <v>116</v>
      </c>
      <c r="B119" s="22">
        <v>1073792201</v>
      </c>
      <c r="C119" t="str">
        <f t="shared" si="1"/>
        <v>union all  select item=116, shipno='1073792201'</v>
      </c>
    </row>
    <row r="120" spans="1:3" x14ac:dyDescent="0.25">
      <c r="A120" s="12">
        <v>117</v>
      </c>
      <c r="B120" s="22">
        <v>1075616701</v>
      </c>
      <c r="C120" t="str">
        <f t="shared" si="1"/>
        <v>union all  select item=117, shipno='1075616701'</v>
      </c>
    </row>
    <row r="121" spans="1:3" x14ac:dyDescent="0.25">
      <c r="A121" s="12">
        <v>118</v>
      </c>
      <c r="B121" s="22">
        <v>1071813501</v>
      </c>
      <c r="C121" t="str">
        <f t="shared" si="1"/>
        <v>union all  select item=118, shipno='1071813501'</v>
      </c>
    </row>
    <row r="122" spans="1:3" x14ac:dyDescent="0.25">
      <c r="A122" s="12">
        <v>119</v>
      </c>
      <c r="B122" s="22">
        <v>1075616901</v>
      </c>
      <c r="C122" t="str">
        <f t="shared" si="1"/>
        <v>union all  select item=119, shipno='1075616901'</v>
      </c>
    </row>
    <row r="123" spans="1:3" x14ac:dyDescent="0.25">
      <c r="A123" s="12">
        <v>120</v>
      </c>
      <c r="B123" s="22">
        <v>1073271001</v>
      </c>
      <c r="C123" t="str">
        <f t="shared" si="1"/>
        <v>union all  select item=120, shipno='1073271001'</v>
      </c>
    </row>
    <row r="124" spans="1:3" x14ac:dyDescent="0.25">
      <c r="A124" s="12">
        <v>121</v>
      </c>
      <c r="B124" s="22">
        <v>1072265501</v>
      </c>
      <c r="C124" t="str">
        <f t="shared" si="1"/>
        <v>union all  select item=121, shipno='1072265501'</v>
      </c>
    </row>
    <row r="125" spans="1:3" x14ac:dyDescent="0.25">
      <c r="A125" s="12">
        <v>122</v>
      </c>
      <c r="B125" s="22">
        <v>1071046401</v>
      </c>
      <c r="C125" t="str">
        <f t="shared" ref="C125:C188" si="2">"union all  select item=" &amp; A125 &amp; ", shipno='" &amp; B125 &amp; "'"</f>
        <v>union all  select item=122, shipno='1071046401'</v>
      </c>
    </row>
    <row r="126" spans="1:3" x14ac:dyDescent="0.25">
      <c r="A126" s="12">
        <v>123</v>
      </c>
      <c r="B126" s="22">
        <v>1075617101</v>
      </c>
      <c r="C126" t="str">
        <f t="shared" si="2"/>
        <v>union all  select item=123, shipno='1075617101'</v>
      </c>
    </row>
    <row r="127" spans="1:3" x14ac:dyDescent="0.25">
      <c r="A127" s="12">
        <v>124</v>
      </c>
      <c r="B127" s="22">
        <v>1072760001</v>
      </c>
      <c r="C127" t="str">
        <f t="shared" si="2"/>
        <v>union all  select item=124, shipno='1072760001'</v>
      </c>
    </row>
    <row r="128" spans="1:3" x14ac:dyDescent="0.25">
      <c r="A128" s="12">
        <v>125</v>
      </c>
      <c r="B128" s="22">
        <v>1075075701</v>
      </c>
      <c r="C128" t="str">
        <f t="shared" si="2"/>
        <v>union all  select item=125, shipno='1075075701'</v>
      </c>
    </row>
    <row r="129" spans="1:3" x14ac:dyDescent="0.25">
      <c r="A129" s="12">
        <v>126</v>
      </c>
      <c r="B129" s="22">
        <v>1071813701</v>
      </c>
      <c r="C129" t="str">
        <f t="shared" si="2"/>
        <v>union all  select item=126, shipno='1071813701'</v>
      </c>
    </row>
    <row r="130" spans="1:3" x14ac:dyDescent="0.25">
      <c r="A130" s="12">
        <v>127</v>
      </c>
      <c r="B130" s="22">
        <v>1074547901</v>
      </c>
      <c r="C130" t="str">
        <f t="shared" si="2"/>
        <v>union all  select item=127, shipno='1074547901'</v>
      </c>
    </row>
    <row r="131" spans="1:3" x14ac:dyDescent="0.25">
      <c r="A131" s="12">
        <v>128</v>
      </c>
      <c r="B131" s="22">
        <v>1072759901</v>
      </c>
      <c r="C131" t="str">
        <f t="shared" si="2"/>
        <v>union all  select item=128, shipno='1072759901'</v>
      </c>
    </row>
    <row r="132" spans="1:3" x14ac:dyDescent="0.25">
      <c r="A132" s="12">
        <v>129</v>
      </c>
      <c r="B132" s="22">
        <v>1073792301</v>
      </c>
      <c r="C132" t="str">
        <f t="shared" si="2"/>
        <v>union all  select item=129, shipno='1073792301'</v>
      </c>
    </row>
    <row r="133" spans="1:3" x14ac:dyDescent="0.25">
      <c r="A133" s="12">
        <v>130</v>
      </c>
      <c r="B133" s="22">
        <v>1075075801</v>
      </c>
      <c r="C133" t="str">
        <f t="shared" si="2"/>
        <v>union all  select item=130, shipno='1075075801'</v>
      </c>
    </row>
    <row r="134" spans="1:3" x14ac:dyDescent="0.25">
      <c r="A134" s="12">
        <v>131</v>
      </c>
      <c r="B134" s="22">
        <v>1073270901</v>
      </c>
      <c r="C134" t="str">
        <f t="shared" si="2"/>
        <v>union all  select item=131, shipno='1073270901'</v>
      </c>
    </row>
    <row r="135" spans="1:3" x14ac:dyDescent="0.25">
      <c r="A135" s="12">
        <v>132</v>
      </c>
      <c r="B135" s="22">
        <v>1074547801</v>
      </c>
      <c r="C135" t="str">
        <f t="shared" si="2"/>
        <v>union all  select item=132, shipno='1074547801'</v>
      </c>
    </row>
    <row r="136" spans="1:3" x14ac:dyDescent="0.25">
      <c r="A136" s="12">
        <v>133</v>
      </c>
      <c r="B136" s="22">
        <v>1074547701</v>
      </c>
      <c r="C136" t="str">
        <f t="shared" si="2"/>
        <v>union all  select item=133, shipno='1074547701'</v>
      </c>
    </row>
    <row r="137" spans="1:3" x14ac:dyDescent="0.25">
      <c r="A137" s="12">
        <v>134</v>
      </c>
      <c r="B137" s="22">
        <v>1075617201</v>
      </c>
      <c r="C137" t="str">
        <f t="shared" si="2"/>
        <v>union all  select item=134, shipno='1075617201'</v>
      </c>
    </row>
    <row r="138" spans="1:3" x14ac:dyDescent="0.25">
      <c r="A138" s="12">
        <v>135</v>
      </c>
      <c r="B138" s="22">
        <v>1071046301</v>
      </c>
      <c r="C138" t="str">
        <f t="shared" si="2"/>
        <v>union all  select item=135, shipno='1071046301'</v>
      </c>
    </row>
    <row r="139" spans="1:3" x14ac:dyDescent="0.25">
      <c r="A139" s="12">
        <v>136</v>
      </c>
      <c r="B139" s="22">
        <v>1074547601</v>
      </c>
      <c r="C139" t="str">
        <f t="shared" si="2"/>
        <v>union all  select item=136, shipno='1074547601'</v>
      </c>
    </row>
    <row r="140" spans="1:3" x14ac:dyDescent="0.25">
      <c r="A140" s="12">
        <v>137</v>
      </c>
      <c r="B140" s="22">
        <v>1071813801</v>
      </c>
      <c r="C140" t="str">
        <f t="shared" si="2"/>
        <v>union all  select item=137, shipno='1071813801'</v>
      </c>
    </row>
    <row r="141" spans="1:3" x14ac:dyDescent="0.25">
      <c r="A141" s="12">
        <v>138</v>
      </c>
      <c r="B141" s="22">
        <v>1071046201</v>
      </c>
      <c r="C141" t="str">
        <f t="shared" si="2"/>
        <v>union all  select item=138, shipno='1071046201'</v>
      </c>
    </row>
    <row r="142" spans="1:3" x14ac:dyDescent="0.25">
      <c r="A142" s="12">
        <v>139</v>
      </c>
      <c r="B142" s="22">
        <v>1075617401</v>
      </c>
      <c r="C142" t="str">
        <f t="shared" si="2"/>
        <v>union all  select item=139, shipno='1075617401'</v>
      </c>
    </row>
    <row r="143" spans="1:3" x14ac:dyDescent="0.25">
      <c r="A143" s="12">
        <v>140</v>
      </c>
      <c r="B143" s="22">
        <v>1074547501</v>
      </c>
      <c r="C143" t="str">
        <f t="shared" si="2"/>
        <v>union all  select item=140, shipno='1074547501'</v>
      </c>
    </row>
    <row r="144" spans="1:3" x14ac:dyDescent="0.25">
      <c r="A144" s="12">
        <v>141</v>
      </c>
      <c r="B144" s="22">
        <v>1072759401</v>
      </c>
      <c r="C144" t="str">
        <f t="shared" si="2"/>
        <v>union all  select item=141, shipno='1072759401'</v>
      </c>
    </row>
    <row r="145" spans="1:3" x14ac:dyDescent="0.25">
      <c r="A145" s="12">
        <v>142</v>
      </c>
      <c r="B145" s="22">
        <v>1071813901</v>
      </c>
      <c r="C145" t="str">
        <f t="shared" si="2"/>
        <v>union all  select item=142, shipno='1071813901'</v>
      </c>
    </row>
    <row r="146" spans="1:3" x14ac:dyDescent="0.25">
      <c r="A146" s="12">
        <v>143</v>
      </c>
      <c r="B146" s="22">
        <v>1072759301</v>
      </c>
      <c r="C146" t="str">
        <f t="shared" si="2"/>
        <v>union all  select item=143, shipno='1072759301'</v>
      </c>
    </row>
    <row r="147" spans="1:3" x14ac:dyDescent="0.25">
      <c r="A147" s="12">
        <v>144</v>
      </c>
      <c r="B147" s="22">
        <v>1075076201</v>
      </c>
      <c r="C147" t="str">
        <f t="shared" si="2"/>
        <v>union all  select item=144, shipno='1075076201'</v>
      </c>
    </row>
    <row r="148" spans="1:3" x14ac:dyDescent="0.25">
      <c r="A148" s="12">
        <v>145</v>
      </c>
      <c r="B148" s="22">
        <v>1077403701</v>
      </c>
      <c r="C148" t="str">
        <f t="shared" si="2"/>
        <v>union all  select item=145, shipno='1077403701'</v>
      </c>
    </row>
    <row r="149" spans="1:3" x14ac:dyDescent="0.25">
      <c r="A149" s="12">
        <v>146</v>
      </c>
      <c r="B149" s="22">
        <v>1074548101</v>
      </c>
      <c r="C149" t="str">
        <f t="shared" si="2"/>
        <v>union all  select item=146, shipno='1074548101'</v>
      </c>
    </row>
    <row r="150" spans="1:3" x14ac:dyDescent="0.25">
      <c r="A150" s="12">
        <v>147</v>
      </c>
      <c r="B150" s="22">
        <v>1076698801</v>
      </c>
      <c r="C150" t="str">
        <f t="shared" si="2"/>
        <v>union all  select item=147, shipno='1076698801'</v>
      </c>
    </row>
    <row r="151" spans="1:3" x14ac:dyDescent="0.25">
      <c r="A151" s="12">
        <v>148</v>
      </c>
      <c r="B151" s="22">
        <v>1071046501</v>
      </c>
      <c r="C151" t="str">
        <f t="shared" si="2"/>
        <v>union all  select item=148, shipno='1071046501'</v>
      </c>
    </row>
    <row r="152" spans="1:3" x14ac:dyDescent="0.25">
      <c r="A152" s="12">
        <v>149</v>
      </c>
      <c r="B152" s="22">
        <v>1073270701</v>
      </c>
      <c r="C152" t="str">
        <f t="shared" si="2"/>
        <v>union all  select item=149, shipno='1073270701'</v>
      </c>
    </row>
    <row r="153" spans="1:3" x14ac:dyDescent="0.25">
      <c r="A153" s="12">
        <v>150</v>
      </c>
      <c r="B153" s="22">
        <v>1075075901</v>
      </c>
      <c r="C153" t="str">
        <f t="shared" si="2"/>
        <v>union all  select item=150, shipno='1075075901'</v>
      </c>
    </row>
    <row r="154" spans="1:3" x14ac:dyDescent="0.25">
      <c r="A154" s="12">
        <v>151</v>
      </c>
      <c r="B154" s="22">
        <v>1072265601</v>
      </c>
      <c r="C154" t="str">
        <f t="shared" si="2"/>
        <v>union all  select item=151, shipno='1072265601'</v>
      </c>
    </row>
    <row r="155" spans="1:3" x14ac:dyDescent="0.25">
      <c r="A155" s="12">
        <v>152</v>
      </c>
      <c r="B155" s="22">
        <v>1077403501</v>
      </c>
      <c r="C155" t="str">
        <f t="shared" si="2"/>
        <v>union all  select item=152, shipno='1077403501'</v>
      </c>
    </row>
    <row r="156" spans="1:3" x14ac:dyDescent="0.25">
      <c r="A156" s="12">
        <v>153</v>
      </c>
      <c r="B156" s="22">
        <v>1076138301</v>
      </c>
      <c r="C156" t="str">
        <f t="shared" si="2"/>
        <v>union all  select item=153, shipno='1076138301'</v>
      </c>
    </row>
    <row r="157" spans="1:3" x14ac:dyDescent="0.25">
      <c r="A157" s="12">
        <v>154</v>
      </c>
      <c r="B157" s="22">
        <v>1075617301</v>
      </c>
      <c r="C157" t="str">
        <f t="shared" si="2"/>
        <v>union all  select item=154, shipno='1075617301'</v>
      </c>
    </row>
    <row r="158" spans="1:3" x14ac:dyDescent="0.25">
      <c r="A158" s="12">
        <v>155</v>
      </c>
      <c r="B158" s="22">
        <v>1071813601</v>
      </c>
      <c r="C158" t="str">
        <f t="shared" si="2"/>
        <v>union all  select item=155, shipno='1071813601'</v>
      </c>
    </row>
    <row r="159" spans="1:3" x14ac:dyDescent="0.25">
      <c r="A159" s="12">
        <v>156</v>
      </c>
      <c r="B159" s="22">
        <v>1075617501</v>
      </c>
      <c r="C159" t="str">
        <f t="shared" si="2"/>
        <v>union all  select item=156, shipno='1075617501'</v>
      </c>
    </row>
    <row r="160" spans="1:3" x14ac:dyDescent="0.25">
      <c r="A160" s="12">
        <v>157</v>
      </c>
      <c r="B160" s="22">
        <v>1072759101</v>
      </c>
      <c r="C160" t="str">
        <f t="shared" si="2"/>
        <v>union all  select item=157, shipno='1072759101'</v>
      </c>
    </row>
    <row r="161" spans="1:3" x14ac:dyDescent="0.25">
      <c r="A161" s="12">
        <v>158</v>
      </c>
      <c r="B161" s="22">
        <v>1072265701</v>
      </c>
      <c r="C161" t="str">
        <f t="shared" si="2"/>
        <v>union all  select item=158, shipno='1072265701'</v>
      </c>
    </row>
    <row r="162" spans="1:3" x14ac:dyDescent="0.25">
      <c r="A162" s="12">
        <v>159</v>
      </c>
      <c r="B162" s="22">
        <v>1075076301</v>
      </c>
      <c r="C162" t="str">
        <f t="shared" si="2"/>
        <v>union all  select item=159, shipno='1075076301'</v>
      </c>
    </row>
    <row r="163" spans="1:3" x14ac:dyDescent="0.25">
      <c r="A163" s="12">
        <v>160</v>
      </c>
      <c r="B163" s="22">
        <v>1076698901</v>
      </c>
      <c r="C163" t="str">
        <f t="shared" si="2"/>
        <v>union all  select item=160, shipno='1076698901'</v>
      </c>
    </row>
    <row r="164" spans="1:3" x14ac:dyDescent="0.25">
      <c r="A164" s="12">
        <v>161</v>
      </c>
      <c r="B164" s="22">
        <v>1077403801</v>
      </c>
      <c r="C164" t="str">
        <f t="shared" si="2"/>
        <v>union all  select item=161, shipno='1077403801'</v>
      </c>
    </row>
    <row r="165" spans="1:3" x14ac:dyDescent="0.25">
      <c r="A165" s="12">
        <v>162</v>
      </c>
      <c r="B165" s="22">
        <v>1073270801</v>
      </c>
      <c r="C165" t="str">
        <f t="shared" si="2"/>
        <v>union all  select item=162, shipno='1073270801'</v>
      </c>
    </row>
    <row r="166" spans="1:3" x14ac:dyDescent="0.25">
      <c r="A166" s="12">
        <v>163</v>
      </c>
      <c r="B166" s="22">
        <v>1075076401</v>
      </c>
      <c r="C166" t="str">
        <f t="shared" si="2"/>
        <v>union all  select item=163, shipno='1075076401'</v>
      </c>
    </row>
    <row r="167" spans="1:3" x14ac:dyDescent="0.25">
      <c r="A167" s="12">
        <v>164</v>
      </c>
      <c r="B167" s="22">
        <v>1073792001</v>
      </c>
      <c r="C167" t="str">
        <f t="shared" si="2"/>
        <v>union all  select item=164, shipno='1073792001'</v>
      </c>
    </row>
    <row r="168" spans="1:3" x14ac:dyDescent="0.25">
      <c r="A168" s="12">
        <v>165</v>
      </c>
      <c r="B168" s="22">
        <v>1000138801</v>
      </c>
      <c r="C168" t="str">
        <f t="shared" si="2"/>
        <v>union all  select item=165, shipno='1000138801'</v>
      </c>
    </row>
    <row r="169" spans="1:3" x14ac:dyDescent="0.25">
      <c r="A169" s="12">
        <v>166</v>
      </c>
      <c r="B169" s="22">
        <v>1000138901</v>
      </c>
      <c r="C169" t="str">
        <f t="shared" si="2"/>
        <v>union all  select item=166, shipno='1000138901'</v>
      </c>
    </row>
    <row r="170" spans="1:3" x14ac:dyDescent="0.25">
      <c r="A170" s="12">
        <v>167</v>
      </c>
      <c r="B170" s="22">
        <v>1071814001</v>
      </c>
      <c r="C170" t="str">
        <f t="shared" si="2"/>
        <v>union all  select item=167, shipno='1071814001'</v>
      </c>
    </row>
    <row r="171" spans="1:3" x14ac:dyDescent="0.25">
      <c r="A171" s="12">
        <v>168</v>
      </c>
      <c r="B171" s="22">
        <v>1075617701</v>
      </c>
      <c r="C171" t="str">
        <f t="shared" si="2"/>
        <v>union all  select item=168, shipno='1075617701'</v>
      </c>
    </row>
    <row r="172" spans="1:3" x14ac:dyDescent="0.25">
      <c r="A172" s="12">
        <v>169</v>
      </c>
      <c r="B172" s="22">
        <v>1073792101</v>
      </c>
      <c r="C172" t="str">
        <f t="shared" si="2"/>
        <v>union all  select item=169, shipno='1073792101'</v>
      </c>
    </row>
    <row r="173" spans="1:3" x14ac:dyDescent="0.25">
      <c r="A173" s="12">
        <v>170</v>
      </c>
      <c r="B173" s="22">
        <v>1072266001</v>
      </c>
      <c r="C173" t="str">
        <f t="shared" si="2"/>
        <v>union all  select item=170, shipno='1072266001'</v>
      </c>
    </row>
    <row r="174" spans="1:3" x14ac:dyDescent="0.25">
      <c r="A174" s="12">
        <v>171</v>
      </c>
      <c r="B174" s="22">
        <v>1075617901</v>
      </c>
      <c r="C174" t="str">
        <f t="shared" si="2"/>
        <v>union all  select item=171, shipno='1075617901'</v>
      </c>
    </row>
    <row r="175" spans="1:3" x14ac:dyDescent="0.25">
      <c r="A175" s="12">
        <v>172</v>
      </c>
      <c r="B175" s="22">
        <v>1075617801</v>
      </c>
      <c r="C175" t="str">
        <f t="shared" si="2"/>
        <v>union all  select item=172, shipno='1075617801'</v>
      </c>
    </row>
    <row r="176" spans="1:3" x14ac:dyDescent="0.25">
      <c r="A176" s="12">
        <v>173</v>
      </c>
      <c r="B176" s="22">
        <v>1076138501</v>
      </c>
      <c r="C176" t="str">
        <f t="shared" si="2"/>
        <v>union all  select item=173, shipno='1076138501'</v>
      </c>
    </row>
    <row r="177" spans="1:3" x14ac:dyDescent="0.25">
      <c r="A177" s="12">
        <v>174</v>
      </c>
      <c r="B177" s="22">
        <v>1067227301</v>
      </c>
      <c r="C177" t="str">
        <f t="shared" si="2"/>
        <v>union all  select item=174, shipno='1067227301'</v>
      </c>
    </row>
    <row r="178" spans="1:3" x14ac:dyDescent="0.25">
      <c r="A178" s="12">
        <v>175</v>
      </c>
      <c r="B178" s="22">
        <v>1034396501</v>
      </c>
      <c r="C178" t="str">
        <f t="shared" si="2"/>
        <v>union all  select item=175, shipno='1034396501'</v>
      </c>
    </row>
    <row r="179" spans="1:3" x14ac:dyDescent="0.25">
      <c r="A179" s="12">
        <v>176</v>
      </c>
      <c r="B179" s="22">
        <v>1000167701</v>
      </c>
      <c r="C179" t="str">
        <f t="shared" si="2"/>
        <v>union all  select item=176, shipno='1000167701'</v>
      </c>
    </row>
    <row r="180" spans="1:3" x14ac:dyDescent="0.25">
      <c r="A180" s="12">
        <v>177</v>
      </c>
      <c r="B180" s="22">
        <v>1071326001</v>
      </c>
      <c r="C180" t="str">
        <f t="shared" si="2"/>
        <v>union all  select item=177, shipno='1071326001'</v>
      </c>
    </row>
    <row r="181" spans="1:3" x14ac:dyDescent="0.25">
      <c r="A181" s="12">
        <v>178</v>
      </c>
      <c r="B181" s="22">
        <v>1071326101</v>
      </c>
      <c r="C181" t="str">
        <f t="shared" si="2"/>
        <v>union all  select item=178, shipno='1071326101'</v>
      </c>
    </row>
    <row r="182" spans="1:3" x14ac:dyDescent="0.25">
      <c r="A182" s="12">
        <v>179</v>
      </c>
      <c r="B182" s="22">
        <v>1071326201</v>
      </c>
      <c r="C182" t="str">
        <f t="shared" si="2"/>
        <v>union all  select item=179, shipno='1071326201'</v>
      </c>
    </row>
    <row r="183" spans="1:3" x14ac:dyDescent="0.25">
      <c r="A183" s="12">
        <v>180</v>
      </c>
      <c r="B183" s="22">
        <v>1071326301</v>
      </c>
      <c r="C183" t="str">
        <f t="shared" si="2"/>
        <v>union all  select item=180, shipno='1071326301'</v>
      </c>
    </row>
    <row r="184" spans="1:3" x14ac:dyDescent="0.25">
      <c r="A184" s="12">
        <v>181</v>
      </c>
      <c r="B184" s="22">
        <v>1072504101</v>
      </c>
      <c r="C184" t="str">
        <f t="shared" si="2"/>
        <v>union all  select item=181, shipno='1072504101'</v>
      </c>
    </row>
    <row r="185" spans="1:3" x14ac:dyDescent="0.25">
      <c r="A185" s="12">
        <v>182</v>
      </c>
      <c r="B185" s="22">
        <v>1072504201</v>
      </c>
      <c r="C185" t="str">
        <f t="shared" si="2"/>
        <v>union all  select item=182, shipno='1072504201'</v>
      </c>
    </row>
    <row r="186" spans="1:3" x14ac:dyDescent="0.25">
      <c r="A186" s="12">
        <v>183</v>
      </c>
      <c r="B186" s="22">
        <v>1072759701</v>
      </c>
      <c r="C186" t="str">
        <f t="shared" si="2"/>
        <v>union all  select item=183, shipno='1072759701'</v>
      </c>
    </row>
    <row r="187" spans="1:3" x14ac:dyDescent="0.25">
      <c r="A187" s="12">
        <v>184</v>
      </c>
      <c r="B187" s="22">
        <v>1075617601</v>
      </c>
      <c r="C187" t="str">
        <f t="shared" si="2"/>
        <v>union all  select item=184, shipno='1075617601'</v>
      </c>
    </row>
    <row r="188" spans="1:3" x14ac:dyDescent="0.25">
      <c r="A188" s="12">
        <v>185</v>
      </c>
      <c r="B188" s="22">
        <v>1077403901</v>
      </c>
      <c r="C188" t="str">
        <f t="shared" si="2"/>
        <v>union all  select item=185, shipno='1077403901'</v>
      </c>
    </row>
    <row r="189" spans="1:3" x14ac:dyDescent="0.25">
      <c r="A189" s="12">
        <v>186</v>
      </c>
      <c r="B189" s="22">
        <v>1072759801</v>
      </c>
      <c r="C189" t="str">
        <f t="shared" ref="C189:C252" si="3">"union all  select item=" &amp; A189 &amp; ", shipno='" &amp; B189 &amp; "'"</f>
        <v>union all  select item=186, shipno='1072759801'</v>
      </c>
    </row>
    <row r="190" spans="1:3" x14ac:dyDescent="0.25">
      <c r="A190" s="12">
        <v>187</v>
      </c>
      <c r="B190" s="22">
        <v>1075617001</v>
      </c>
      <c r="C190" t="str">
        <f t="shared" si="3"/>
        <v>union all  select item=187, shipno='1075617001'</v>
      </c>
    </row>
    <row r="191" spans="1:3" x14ac:dyDescent="0.25">
      <c r="A191" s="12">
        <v>188</v>
      </c>
      <c r="B191" s="22" t="s">
        <v>123</v>
      </c>
      <c r="C191" t="str">
        <f t="shared" si="3"/>
        <v>union all  select item=188, shipno='          '</v>
      </c>
    </row>
    <row r="192" spans="1:3" x14ac:dyDescent="0.25">
      <c r="A192" s="12">
        <v>189</v>
      </c>
      <c r="B192" s="22" t="s">
        <v>123</v>
      </c>
      <c r="C192" t="str">
        <f t="shared" si="3"/>
        <v>union all  select item=189, shipno='          '</v>
      </c>
    </row>
    <row r="193" spans="1:3" x14ac:dyDescent="0.25">
      <c r="A193" s="12">
        <v>190</v>
      </c>
      <c r="B193" s="22" t="s">
        <v>123</v>
      </c>
      <c r="C193" t="str">
        <f t="shared" si="3"/>
        <v>union all  select item=190, shipno='          '</v>
      </c>
    </row>
    <row r="194" spans="1:3" x14ac:dyDescent="0.25">
      <c r="A194" s="12">
        <v>191</v>
      </c>
      <c r="B194" s="22">
        <v>1078488501</v>
      </c>
      <c r="C194" t="str">
        <f t="shared" si="3"/>
        <v>union all  select item=191, shipno='1078488501'</v>
      </c>
    </row>
    <row r="195" spans="1:3" x14ac:dyDescent="0.25">
      <c r="A195" s="12">
        <v>192</v>
      </c>
      <c r="B195" s="22">
        <v>1080261801</v>
      </c>
      <c r="C195" t="str">
        <f t="shared" si="3"/>
        <v>union all  select item=192, shipno='1080261801'</v>
      </c>
    </row>
    <row r="196" spans="1:3" x14ac:dyDescent="0.25">
      <c r="A196" s="12">
        <v>193</v>
      </c>
      <c r="B196" s="22">
        <v>1079423401</v>
      </c>
      <c r="C196" t="str">
        <f t="shared" si="3"/>
        <v>union all  select item=193, shipno='1079423401'</v>
      </c>
    </row>
    <row r="197" spans="1:3" x14ac:dyDescent="0.25">
      <c r="A197" s="12">
        <v>194</v>
      </c>
      <c r="B197" s="22">
        <v>1080882401</v>
      </c>
      <c r="C197" t="str">
        <f t="shared" si="3"/>
        <v>union all  select item=194, shipno='1080882401'</v>
      </c>
    </row>
    <row r="198" spans="1:3" x14ac:dyDescent="0.25">
      <c r="A198" s="12">
        <v>195</v>
      </c>
      <c r="B198" s="22">
        <v>1079911401</v>
      </c>
      <c r="C198" t="str">
        <f t="shared" si="3"/>
        <v>union all  select item=195, shipno='1079911401'</v>
      </c>
    </row>
    <row r="199" spans="1:3" x14ac:dyDescent="0.25">
      <c r="A199" s="12">
        <v>196</v>
      </c>
      <c r="B199" s="22">
        <v>1078654701</v>
      </c>
      <c r="C199" t="str">
        <f t="shared" si="3"/>
        <v>union all  select item=196, shipno='1078654701'</v>
      </c>
    </row>
    <row r="200" spans="1:3" x14ac:dyDescent="0.25">
      <c r="A200" s="12">
        <v>197</v>
      </c>
      <c r="B200" s="22">
        <v>1078958701</v>
      </c>
      <c r="C200" t="str">
        <f t="shared" si="3"/>
        <v>union all  select item=197, shipno='1078958701'</v>
      </c>
    </row>
    <row r="201" spans="1:3" x14ac:dyDescent="0.25">
      <c r="A201" s="12">
        <v>198</v>
      </c>
      <c r="B201" s="22">
        <v>1081178801</v>
      </c>
      <c r="C201" t="str">
        <f t="shared" si="3"/>
        <v>union all  select item=198, shipno='1081178801'</v>
      </c>
    </row>
    <row r="202" spans="1:3" x14ac:dyDescent="0.25">
      <c r="A202" s="12">
        <v>199</v>
      </c>
      <c r="B202" s="22">
        <v>1081633201</v>
      </c>
      <c r="C202" t="str">
        <f t="shared" si="3"/>
        <v>union all  select item=199, shipno='1081633201'</v>
      </c>
    </row>
    <row r="203" spans="1:3" x14ac:dyDescent="0.25">
      <c r="A203" s="12">
        <v>200</v>
      </c>
      <c r="B203" s="22">
        <v>1081334201</v>
      </c>
      <c r="C203" t="str">
        <f t="shared" si="3"/>
        <v>union all  select item=200, shipno='1081334201'</v>
      </c>
    </row>
    <row r="204" spans="1:3" x14ac:dyDescent="0.25">
      <c r="A204" s="12">
        <v>201</v>
      </c>
      <c r="B204" s="22">
        <v>1078488601</v>
      </c>
      <c r="C204" t="str">
        <f t="shared" si="3"/>
        <v>union all  select item=201, shipno='1078488601'</v>
      </c>
    </row>
    <row r="205" spans="1:3" x14ac:dyDescent="0.25">
      <c r="A205" s="12">
        <v>202</v>
      </c>
      <c r="B205" s="22">
        <v>1077885901</v>
      </c>
      <c r="C205" t="str">
        <f t="shared" si="3"/>
        <v>union all  select item=202, shipno='1077885901'</v>
      </c>
    </row>
    <row r="206" spans="1:3" x14ac:dyDescent="0.25">
      <c r="A206" s="12">
        <v>203</v>
      </c>
      <c r="B206" s="22">
        <v>1080138201</v>
      </c>
      <c r="C206" t="str">
        <f t="shared" si="3"/>
        <v>union all  select item=203, shipno='1080138201'</v>
      </c>
    </row>
    <row r="207" spans="1:3" x14ac:dyDescent="0.25">
      <c r="A207" s="12">
        <v>204</v>
      </c>
      <c r="B207" s="22">
        <v>1081097811</v>
      </c>
      <c r="C207" t="str">
        <f t="shared" si="3"/>
        <v>union all  select item=204, shipno='1081097811'</v>
      </c>
    </row>
    <row r="208" spans="1:3" x14ac:dyDescent="0.25">
      <c r="A208" s="12">
        <v>205</v>
      </c>
      <c r="B208" s="22">
        <v>1080655801</v>
      </c>
      <c r="C208" t="str">
        <f t="shared" si="3"/>
        <v>union all  select item=205, shipno='1080655801'</v>
      </c>
    </row>
    <row r="209" spans="1:3" x14ac:dyDescent="0.25">
      <c r="A209" s="12">
        <v>206</v>
      </c>
      <c r="B209" s="22">
        <v>1079346901</v>
      </c>
      <c r="C209" t="str">
        <f t="shared" si="3"/>
        <v>union all  select item=206, shipno='1079346901'</v>
      </c>
    </row>
    <row r="210" spans="1:3" x14ac:dyDescent="0.25">
      <c r="A210" s="12">
        <v>207</v>
      </c>
      <c r="B210" s="22">
        <v>1081549401</v>
      </c>
      <c r="C210" t="str">
        <f t="shared" si="3"/>
        <v>union all  select item=207, shipno='1081549401'</v>
      </c>
    </row>
    <row r="211" spans="1:3" x14ac:dyDescent="0.25">
      <c r="A211" s="12">
        <v>208</v>
      </c>
      <c r="B211" s="22">
        <v>1078886301</v>
      </c>
      <c r="C211" t="str">
        <f t="shared" si="3"/>
        <v>union all  select item=208, shipno='1078886301'</v>
      </c>
    </row>
    <row r="212" spans="1:3" x14ac:dyDescent="0.25">
      <c r="A212" s="12">
        <v>209</v>
      </c>
      <c r="B212" s="22">
        <v>1078405101</v>
      </c>
      <c r="C212" t="str">
        <f t="shared" si="3"/>
        <v>union all  select item=209, shipno='1078405101'</v>
      </c>
    </row>
    <row r="213" spans="1:3" x14ac:dyDescent="0.25">
      <c r="A213" s="12">
        <v>210</v>
      </c>
      <c r="B213" s="22">
        <v>1080185701</v>
      </c>
      <c r="C213" t="str">
        <f t="shared" si="3"/>
        <v>union all  select item=210, shipno='1080185701'</v>
      </c>
    </row>
    <row r="214" spans="1:3" x14ac:dyDescent="0.25">
      <c r="A214" s="12">
        <v>211</v>
      </c>
      <c r="B214" s="22">
        <v>1079346501</v>
      </c>
      <c r="C214" t="str">
        <f t="shared" si="3"/>
        <v>union all  select item=211, shipno='1079346501'</v>
      </c>
    </row>
    <row r="215" spans="1:3" x14ac:dyDescent="0.25">
      <c r="A215" s="12">
        <v>212</v>
      </c>
      <c r="B215" s="22">
        <v>1081549901</v>
      </c>
      <c r="C215" t="str">
        <f t="shared" si="3"/>
        <v>union all  select item=212, shipno='1081549901'</v>
      </c>
    </row>
    <row r="216" spans="1:3" x14ac:dyDescent="0.25">
      <c r="A216" s="12">
        <v>213</v>
      </c>
      <c r="B216" s="22">
        <v>1081097901</v>
      </c>
      <c r="C216" t="str">
        <f t="shared" si="3"/>
        <v>union all  select item=213, shipno='1081097901'</v>
      </c>
    </row>
    <row r="217" spans="1:3" x14ac:dyDescent="0.25">
      <c r="A217" s="12">
        <v>214</v>
      </c>
      <c r="B217" s="22">
        <v>1080185301</v>
      </c>
      <c r="C217" t="str">
        <f t="shared" si="3"/>
        <v>union all  select item=214, shipno='1080185301'</v>
      </c>
    </row>
    <row r="218" spans="1:3" x14ac:dyDescent="0.25">
      <c r="A218" s="12">
        <v>215</v>
      </c>
      <c r="B218" s="22">
        <v>1080655301</v>
      </c>
      <c r="C218" t="str">
        <f t="shared" si="3"/>
        <v>union all  select item=215, shipno='1080655301'</v>
      </c>
    </row>
    <row r="219" spans="1:3" x14ac:dyDescent="0.25">
      <c r="A219" s="12">
        <v>216</v>
      </c>
      <c r="B219" s="22">
        <v>1081549801</v>
      </c>
      <c r="C219" t="str">
        <f t="shared" si="3"/>
        <v>union all  select item=216, shipno='1081549801'</v>
      </c>
    </row>
    <row r="220" spans="1:3" x14ac:dyDescent="0.25">
      <c r="A220" s="12">
        <v>217</v>
      </c>
      <c r="B220" s="22">
        <v>1078405001</v>
      </c>
      <c r="C220" t="str">
        <f t="shared" si="3"/>
        <v>union all  select item=217, shipno='1078405001'</v>
      </c>
    </row>
    <row r="221" spans="1:3" x14ac:dyDescent="0.25">
      <c r="A221" s="12">
        <v>218</v>
      </c>
      <c r="B221" s="22">
        <v>1081549201</v>
      </c>
      <c r="C221" t="str">
        <f t="shared" si="3"/>
        <v>union all  select item=218, shipno='1081549201'</v>
      </c>
    </row>
    <row r="222" spans="1:3" x14ac:dyDescent="0.25">
      <c r="A222" s="12">
        <v>219</v>
      </c>
      <c r="B222" s="22">
        <v>1080655601</v>
      </c>
      <c r="C222" t="str">
        <f t="shared" si="3"/>
        <v>union all  select item=219, shipno='1080655601'</v>
      </c>
    </row>
    <row r="223" spans="1:3" x14ac:dyDescent="0.25">
      <c r="A223" s="12">
        <v>220</v>
      </c>
      <c r="B223" s="22">
        <v>1081097711</v>
      </c>
      <c r="C223" t="str">
        <f t="shared" si="3"/>
        <v>union all  select item=220, shipno='1081097711'</v>
      </c>
    </row>
    <row r="224" spans="1:3" x14ac:dyDescent="0.25">
      <c r="A224" s="12">
        <v>221</v>
      </c>
      <c r="B224" s="22">
        <v>1076369201</v>
      </c>
      <c r="C224" t="str">
        <f t="shared" si="3"/>
        <v>union all  select item=221, shipno='1076369201'</v>
      </c>
    </row>
    <row r="225" spans="1:3" x14ac:dyDescent="0.25">
      <c r="A225" s="12">
        <v>222</v>
      </c>
      <c r="B225" s="22">
        <v>1071616001</v>
      </c>
      <c r="C225" t="str">
        <f t="shared" si="3"/>
        <v>union all  select item=222, shipno='1071616001'</v>
      </c>
    </row>
    <row r="226" spans="1:3" x14ac:dyDescent="0.25">
      <c r="A226" s="12">
        <v>223</v>
      </c>
      <c r="B226" s="22">
        <v>1076369301</v>
      </c>
      <c r="C226" t="str">
        <f t="shared" si="3"/>
        <v>union all  select item=223, shipno='1076369301'</v>
      </c>
    </row>
    <row r="227" spans="1:3" x14ac:dyDescent="0.25">
      <c r="A227" s="12">
        <v>224</v>
      </c>
      <c r="B227" s="22">
        <v>1071605401</v>
      </c>
      <c r="C227" t="str">
        <f t="shared" si="3"/>
        <v>union all  select item=224, shipno='1071605401'</v>
      </c>
    </row>
    <row r="228" spans="1:3" x14ac:dyDescent="0.25">
      <c r="A228" s="12">
        <v>225</v>
      </c>
      <c r="B228" s="22">
        <v>1077886001</v>
      </c>
      <c r="C228" t="str">
        <f t="shared" si="3"/>
        <v>union all  select item=225, shipno='1077886001'</v>
      </c>
    </row>
    <row r="229" spans="1:3" x14ac:dyDescent="0.25">
      <c r="A229" s="12">
        <v>226</v>
      </c>
      <c r="B229" s="22">
        <v>1080185601</v>
      </c>
      <c r="C229" t="str">
        <f t="shared" si="3"/>
        <v>union all  select item=226, shipno='1080185601'</v>
      </c>
    </row>
    <row r="230" spans="1:3" x14ac:dyDescent="0.25">
      <c r="A230" s="12">
        <v>227</v>
      </c>
      <c r="B230" s="22">
        <v>1081097611</v>
      </c>
      <c r="C230" t="str">
        <f t="shared" si="3"/>
        <v>union all  select item=227, shipno='1081097611'</v>
      </c>
    </row>
    <row r="231" spans="1:3" x14ac:dyDescent="0.25">
      <c r="A231" s="12">
        <v>228</v>
      </c>
      <c r="B231" s="22">
        <v>1078886201</v>
      </c>
      <c r="C231" t="str">
        <f t="shared" si="3"/>
        <v>union all  select item=228, shipno='1078886201'</v>
      </c>
    </row>
    <row r="232" spans="1:3" x14ac:dyDescent="0.25">
      <c r="A232" s="12">
        <v>229</v>
      </c>
      <c r="B232" s="22">
        <v>1079346701</v>
      </c>
      <c r="C232" t="str">
        <f t="shared" si="3"/>
        <v>union all  select item=229, shipno='1079346701'</v>
      </c>
    </row>
    <row r="233" spans="1:3" x14ac:dyDescent="0.25">
      <c r="A233" s="12">
        <v>230</v>
      </c>
      <c r="B233" s="22">
        <v>1080655401</v>
      </c>
      <c r="C233" t="str">
        <f t="shared" si="3"/>
        <v>union all  select item=230, shipno='1080655401'</v>
      </c>
    </row>
    <row r="234" spans="1:3" x14ac:dyDescent="0.25">
      <c r="A234" s="12">
        <v>231</v>
      </c>
      <c r="B234" s="22">
        <v>1081549601</v>
      </c>
      <c r="C234" t="str">
        <f t="shared" si="3"/>
        <v>union all  select item=231, shipno='1081549601'</v>
      </c>
    </row>
    <row r="235" spans="1:3" x14ac:dyDescent="0.25">
      <c r="A235" s="12">
        <v>232</v>
      </c>
      <c r="B235" s="22">
        <v>1080185501</v>
      </c>
      <c r="C235" t="str">
        <f t="shared" si="3"/>
        <v>union all  select item=232, shipno='1080185501'</v>
      </c>
    </row>
    <row r="236" spans="1:3" x14ac:dyDescent="0.25">
      <c r="A236" s="12">
        <v>233</v>
      </c>
      <c r="B236" s="22">
        <v>1081549701</v>
      </c>
      <c r="C236" t="str">
        <f t="shared" si="3"/>
        <v>union all  select item=233, shipno='1081549701'</v>
      </c>
    </row>
    <row r="237" spans="1:3" x14ac:dyDescent="0.25">
      <c r="A237" s="12">
        <v>234</v>
      </c>
      <c r="B237" s="22">
        <v>1080655201</v>
      </c>
      <c r="C237" t="str">
        <f t="shared" si="3"/>
        <v>union all  select item=234, shipno='1080655201'</v>
      </c>
    </row>
    <row r="238" spans="1:3" x14ac:dyDescent="0.25">
      <c r="A238" s="12">
        <v>235</v>
      </c>
      <c r="B238" s="22">
        <v>1076360701</v>
      </c>
      <c r="C238" t="str">
        <f t="shared" si="3"/>
        <v>union all  select item=235, shipno='1076360701'</v>
      </c>
    </row>
    <row r="239" spans="1:3" x14ac:dyDescent="0.25">
      <c r="A239" s="12">
        <v>236</v>
      </c>
      <c r="B239" s="22">
        <v>1070428001</v>
      </c>
      <c r="C239" t="str">
        <f t="shared" si="3"/>
        <v>union all  select item=236, shipno='1070428001'</v>
      </c>
    </row>
    <row r="240" spans="1:3" x14ac:dyDescent="0.25">
      <c r="A240" s="12">
        <v>237</v>
      </c>
      <c r="B240" s="22">
        <v>1078405201</v>
      </c>
      <c r="C240" t="str">
        <f t="shared" si="3"/>
        <v>union all  select item=237, shipno='1078405201'</v>
      </c>
    </row>
    <row r="241" spans="1:3" x14ac:dyDescent="0.25">
      <c r="A241" s="12">
        <v>238</v>
      </c>
      <c r="B241" s="22">
        <v>1081055901</v>
      </c>
      <c r="C241" t="str">
        <f t="shared" si="3"/>
        <v>union all  select item=238, shipno='1081055901'</v>
      </c>
    </row>
    <row r="242" spans="1:3" x14ac:dyDescent="0.25">
      <c r="A242" s="12">
        <v>239</v>
      </c>
      <c r="B242" s="22">
        <v>1079346601</v>
      </c>
      <c r="C242" t="str">
        <f t="shared" si="3"/>
        <v>union all  select item=239, shipno='1079346601'</v>
      </c>
    </row>
    <row r="243" spans="1:3" x14ac:dyDescent="0.25">
      <c r="A243" s="12">
        <v>240</v>
      </c>
      <c r="B243" s="22">
        <v>1077885801</v>
      </c>
      <c r="C243" t="str">
        <f t="shared" si="3"/>
        <v>union all  select item=240, shipno='1077885801'</v>
      </c>
    </row>
    <row r="244" spans="1:3" x14ac:dyDescent="0.25">
      <c r="A244" s="12">
        <v>241</v>
      </c>
      <c r="B244" s="22">
        <v>1078886101</v>
      </c>
      <c r="C244" t="str">
        <f t="shared" si="3"/>
        <v>union all  select item=241, shipno='1078886101'</v>
      </c>
    </row>
    <row r="245" spans="1:3" x14ac:dyDescent="0.25">
      <c r="A245" s="12">
        <v>242</v>
      </c>
      <c r="B245" s="22">
        <v>1081055301</v>
      </c>
      <c r="C245" t="str">
        <f t="shared" si="3"/>
        <v>union all  select item=242, shipno='1081055301'</v>
      </c>
    </row>
    <row r="246" spans="1:3" x14ac:dyDescent="0.25">
      <c r="A246" s="12">
        <v>243</v>
      </c>
      <c r="B246" s="22">
        <v>1081055101</v>
      </c>
      <c r="C246" t="str">
        <f t="shared" si="3"/>
        <v>union all  select item=243, shipno='1081055101'</v>
      </c>
    </row>
    <row r="247" spans="1:3" x14ac:dyDescent="0.25">
      <c r="A247" s="12">
        <v>244</v>
      </c>
      <c r="B247" s="22">
        <v>1081549301</v>
      </c>
      <c r="C247" t="str">
        <f t="shared" si="3"/>
        <v>union all  select item=244, shipno='1081549301'</v>
      </c>
    </row>
    <row r="248" spans="1:3" x14ac:dyDescent="0.25">
      <c r="A248" s="12">
        <v>245</v>
      </c>
      <c r="B248" s="22">
        <v>1081549101</v>
      </c>
      <c r="C248" t="str">
        <f t="shared" si="3"/>
        <v>union all  select item=245, shipno='1081549101'</v>
      </c>
    </row>
    <row r="249" spans="1:3" x14ac:dyDescent="0.25">
      <c r="A249" s="12">
        <v>246</v>
      </c>
      <c r="B249" s="22">
        <v>1081055201</v>
      </c>
      <c r="C249" t="str">
        <f t="shared" si="3"/>
        <v>union all  select item=246, shipno='1081055201'</v>
      </c>
    </row>
    <row r="250" spans="1:3" x14ac:dyDescent="0.25">
      <c r="A250" s="12">
        <v>247</v>
      </c>
      <c r="B250" s="22">
        <v>1079346801</v>
      </c>
      <c r="C250" t="str">
        <f t="shared" si="3"/>
        <v>union all  select item=247, shipno='1079346801'</v>
      </c>
    </row>
    <row r="251" spans="1:3" x14ac:dyDescent="0.25">
      <c r="A251" s="12">
        <v>248</v>
      </c>
      <c r="B251" s="22">
        <v>1080655501</v>
      </c>
      <c r="C251" t="str">
        <f t="shared" si="3"/>
        <v>union all  select item=248, shipno='1080655501'</v>
      </c>
    </row>
    <row r="252" spans="1:3" x14ac:dyDescent="0.25">
      <c r="A252" s="12">
        <v>249</v>
      </c>
      <c r="B252" s="22">
        <v>1075798101</v>
      </c>
      <c r="C252" t="str">
        <f t="shared" si="3"/>
        <v>union all  select item=249, shipno='1075798101'</v>
      </c>
    </row>
    <row r="253" spans="1:3" x14ac:dyDescent="0.25">
      <c r="A253" s="12">
        <v>250</v>
      </c>
      <c r="B253" s="22">
        <v>1080655701</v>
      </c>
      <c r="C253" t="str">
        <f t="shared" ref="C253:C316" si="4">"union all  select item=" &amp; A253 &amp; ", shipno='" &amp; B253 &amp; "'"</f>
        <v>union all  select item=250, shipno='1080655701'</v>
      </c>
    </row>
    <row r="254" spans="1:3" x14ac:dyDescent="0.25">
      <c r="A254" s="12">
        <v>251</v>
      </c>
      <c r="B254" s="22">
        <v>1078886001</v>
      </c>
      <c r="C254" t="str">
        <f t="shared" si="4"/>
        <v>union all  select item=251, shipno='1078886001'</v>
      </c>
    </row>
    <row r="255" spans="1:3" x14ac:dyDescent="0.25">
      <c r="A255" s="12">
        <v>252</v>
      </c>
      <c r="B255" s="22">
        <v>1078140901</v>
      </c>
      <c r="C255" t="str">
        <f t="shared" si="4"/>
        <v>union all  select item=252, shipno='1078140901'</v>
      </c>
    </row>
    <row r="256" spans="1:3" x14ac:dyDescent="0.25">
      <c r="A256" s="12">
        <v>253</v>
      </c>
      <c r="B256" s="22">
        <v>1077154001</v>
      </c>
      <c r="C256" t="str">
        <f t="shared" si="4"/>
        <v>union all  select item=253, shipno='1077154001'</v>
      </c>
    </row>
    <row r="257" spans="1:3" x14ac:dyDescent="0.25">
      <c r="A257" s="12">
        <v>254</v>
      </c>
      <c r="B257" s="22">
        <v>1077154101</v>
      </c>
      <c r="C257" t="str">
        <f t="shared" si="4"/>
        <v>union all  select item=254, shipno='1077154101'</v>
      </c>
    </row>
    <row r="258" spans="1:3" x14ac:dyDescent="0.25">
      <c r="A258" s="12">
        <v>255</v>
      </c>
      <c r="B258" s="22">
        <v>1079346401</v>
      </c>
      <c r="C258" t="str">
        <f t="shared" si="4"/>
        <v>union all  select item=255, shipno='1079346401'</v>
      </c>
    </row>
    <row r="259" spans="1:3" x14ac:dyDescent="0.25">
      <c r="A259" s="12">
        <v>256</v>
      </c>
      <c r="B259" s="22">
        <v>1081097501</v>
      </c>
      <c r="C259" t="str">
        <f t="shared" si="4"/>
        <v>union all  select item=256, shipno='1081097501'</v>
      </c>
    </row>
    <row r="260" spans="1:3" x14ac:dyDescent="0.25">
      <c r="A260" s="12">
        <v>257</v>
      </c>
      <c r="B260" s="22">
        <v>1081549501</v>
      </c>
      <c r="C260" t="str">
        <f t="shared" si="4"/>
        <v>union all  select item=257, shipno='1081549501'</v>
      </c>
    </row>
    <row r="261" spans="1:3" x14ac:dyDescent="0.25">
      <c r="A261" s="12">
        <v>258</v>
      </c>
      <c r="B261" s="22">
        <v>1080185401</v>
      </c>
      <c r="C261" t="str">
        <f t="shared" si="4"/>
        <v>union all  select item=258, shipno='1080185401'</v>
      </c>
    </row>
    <row r="262" spans="1:3" x14ac:dyDescent="0.25">
      <c r="A262" s="12">
        <v>259</v>
      </c>
      <c r="C262" t="str">
        <f t="shared" si="4"/>
        <v>union all  select item=259, shipno=''</v>
      </c>
    </row>
    <row r="263" spans="1:3" x14ac:dyDescent="0.25">
      <c r="A263" s="12">
        <v>260</v>
      </c>
      <c r="C263" t="str">
        <f t="shared" si="4"/>
        <v>union all  select item=260, shipno=''</v>
      </c>
    </row>
    <row r="264" spans="1:3" x14ac:dyDescent="0.25">
      <c r="A264" s="12">
        <v>261</v>
      </c>
      <c r="C264" t="str">
        <f t="shared" si="4"/>
        <v>union all  select item=261, shipno=''</v>
      </c>
    </row>
    <row r="265" spans="1:3" x14ac:dyDescent="0.25">
      <c r="A265" s="12">
        <v>262</v>
      </c>
      <c r="C265" t="str">
        <f t="shared" si="4"/>
        <v>union all  select item=262, shipno=''</v>
      </c>
    </row>
    <row r="266" spans="1:3" x14ac:dyDescent="0.25">
      <c r="A266" s="12">
        <v>263</v>
      </c>
      <c r="C266" t="str">
        <f t="shared" si="4"/>
        <v>union all  select item=263, shipno=''</v>
      </c>
    </row>
    <row r="267" spans="1:3" x14ac:dyDescent="0.25">
      <c r="A267" s="12">
        <v>264</v>
      </c>
      <c r="C267" t="str">
        <f t="shared" si="4"/>
        <v>union all  select item=264, shipno=''</v>
      </c>
    </row>
    <row r="268" spans="1:3" x14ac:dyDescent="0.25">
      <c r="A268" s="12">
        <v>265</v>
      </c>
      <c r="C268" t="str">
        <f t="shared" si="4"/>
        <v>union all  select item=265, shipno=''</v>
      </c>
    </row>
    <row r="269" spans="1:3" x14ac:dyDescent="0.25">
      <c r="A269" s="12">
        <v>266</v>
      </c>
      <c r="C269" t="str">
        <f t="shared" si="4"/>
        <v>union all  select item=266, shipno=''</v>
      </c>
    </row>
    <row r="270" spans="1:3" x14ac:dyDescent="0.25">
      <c r="A270" s="12">
        <v>267</v>
      </c>
      <c r="C270" t="str">
        <f t="shared" si="4"/>
        <v>union all  select item=267, shipno=''</v>
      </c>
    </row>
    <row r="271" spans="1:3" x14ac:dyDescent="0.25">
      <c r="A271" s="12">
        <v>268</v>
      </c>
      <c r="C271" t="str">
        <f t="shared" si="4"/>
        <v>union all  select item=268, shipno=''</v>
      </c>
    </row>
    <row r="272" spans="1:3" x14ac:dyDescent="0.25">
      <c r="A272" s="12">
        <v>269</v>
      </c>
      <c r="C272" t="str">
        <f t="shared" si="4"/>
        <v>union all  select item=269, shipno=''</v>
      </c>
    </row>
    <row r="273" spans="1:3" x14ac:dyDescent="0.25">
      <c r="A273" s="12">
        <v>270</v>
      </c>
      <c r="C273" t="str">
        <f t="shared" si="4"/>
        <v>union all  select item=270, shipno=''</v>
      </c>
    </row>
    <row r="274" spans="1:3" x14ac:dyDescent="0.25">
      <c r="A274" s="12">
        <v>271</v>
      </c>
      <c r="C274" t="str">
        <f t="shared" si="4"/>
        <v>union all  select item=271, shipno=''</v>
      </c>
    </row>
    <row r="275" spans="1:3" x14ac:dyDescent="0.25">
      <c r="A275" s="12">
        <v>272</v>
      </c>
      <c r="C275" t="str">
        <f t="shared" si="4"/>
        <v>union all  select item=272, shipno=''</v>
      </c>
    </row>
    <row r="276" spans="1:3" x14ac:dyDescent="0.25">
      <c r="A276" s="12">
        <v>273</v>
      </c>
      <c r="C276" t="str">
        <f t="shared" si="4"/>
        <v>union all  select item=273, shipno=''</v>
      </c>
    </row>
    <row r="277" spans="1:3" x14ac:dyDescent="0.25">
      <c r="A277" s="12">
        <v>274</v>
      </c>
      <c r="C277" t="str">
        <f t="shared" si="4"/>
        <v>union all  select item=274, shipno=''</v>
      </c>
    </row>
    <row r="278" spans="1:3" x14ac:dyDescent="0.25">
      <c r="A278" s="12">
        <v>275</v>
      </c>
      <c r="C278" t="str">
        <f t="shared" si="4"/>
        <v>union all  select item=275, shipno=''</v>
      </c>
    </row>
    <row r="279" spans="1:3" x14ac:dyDescent="0.25">
      <c r="A279" s="12">
        <v>276</v>
      </c>
      <c r="C279" t="str">
        <f t="shared" si="4"/>
        <v>union all  select item=276, shipno=''</v>
      </c>
    </row>
    <row r="280" spans="1:3" x14ac:dyDescent="0.25">
      <c r="A280" s="12">
        <v>277</v>
      </c>
      <c r="C280" t="str">
        <f t="shared" si="4"/>
        <v>union all  select item=277, shipno=''</v>
      </c>
    </row>
    <row r="281" spans="1:3" x14ac:dyDescent="0.25">
      <c r="A281" s="12">
        <v>278</v>
      </c>
      <c r="C281" t="str">
        <f t="shared" si="4"/>
        <v>union all  select item=278, shipno=''</v>
      </c>
    </row>
    <row r="282" spans="1:3" x14ac:dyDescent="0.25">
      <c r="A282" s="12">
        <v>279</v>
      </c>
      <c r="C282" t="str">
        <f t="shared" si="4"/>
        <v>union all  select item=279, shipno=''</v>
      </c>
    </row>
    <row r="283" spans="1:3" x14ac:dyDescent="0.25">
      <c r="A283" s="12">
        <v>280</v>
      </c>
      <c r="C283" t="str">
        <f t="shared" si="4"/>
        <v>union all  select item=280, shipno=''</v>
      </c>
    </row>
    <row r="284" spans="1:3" x14ac:dyDescent="0.25">
      <c r="A284" s="12">
        <v>281</v>
      </c>
      <c r="C284" t="str">
        <f t="shared" si="4"/>
        <v>union all  select item=281, shipno=''</v>
      </c>
    </row>
    <row r="285" spans="1:3" x14ac:dyDescent="0.25">
      <c r="A285" s="12">
        <v>282</v>
      </c>
      <c r="C285" t="str">
        <f t="shared" si="4"/>
        <v>union all  select item=282, shipno=''</v>
      </c>
    </row>
    <row r="286" spans="1:3" x14ac:dyDescent="0.25">
      <c r="A286" s="12">
        <v>283</v>
      </c>
      <c r="C286" t="str">
        <f t="shared" si="4"/>
        <v>union all  select item=283, shipno=''</v>
      </c>
    </row>
    <row r="287" spans="1:3" x14ac:dyDescent="0.25">
      <c r="A287" s="12">
        <v>284</v>
      </c>
      <c r="C287" t="str">
        <f t="shared" si="4"/>
        <v>union all  select item=284, shipno=''</v>
      </c>
    </row>
    <row r="288" spans="1:3" x14ac:dyDescent="0.25">
      <c r="A288" s="12">
        <v>285</v>
      </c>
      <c r="C288" t="str">
        <f t="shared" si="4"/>
        <v>union all  select item=285, shipno=''</v>
      </c>
    </row>
    <row r="289" spans="1:3" x14ac:dyDescent="0.25">
      <c r="A289" s="12">
        <v>286</v>
      </c>
      <c r="C289" t="str">
        <f t="shared" si="4"/>
        <v>union all  select item=286, shipno=''</v>
      </c>
    </row>
    <row r="290" spans="1:3" x14ac:dyDescent="0.25">
      <c r="A290" s="12">
        <v>287</v>
      </c>
      <c r="C290" t="str">
        <f t="shared" si="4"/>
        <v>union all  select item=287, shipno=''</v>
      </c>
    </row>
    <row r="291" spans="1:3" x14ac:dyDescent="0.25">
      <c r="A291" s="12">
        <v>288</v>
      </c>
      <c r="C291" t="str">
        <f t="shared" si="4"/>
        <v>union all  select item=288, shipno=''</v>
      </c>
    </row>
    <row r="292" spans="1:3" x14ac:dyDescent="0.25">
      <c r="A292" s="12">
        <v>289</v>
      </c>
      <c r="C292" t="str">
        <f t="shared" si="4"/>
        <v>union all  select item=289, shipno=''</v>
      </c>
    </row>
    <row r="293" spans="1:3" x14ac:dyDescent="0.25">
      <c r="A293" s="12">
        <v>290</v>
      </c>
      <c r="C293" t="str">
        <f t="shared" si="4"/>
        <v>union all  select item=290, shipno=''</v>
      </c>
    </row>
    <row r="294" spans="1:3" x14ac:dyDescent="0.25">
      <c r="A294" s="12">
        <v>291</v>
      </c>
      <c r="C294" t="str">
        <f t="shared" si="4"/>
        <v>union all  select item=291, shipno=''</v>
      </c>
    </row>
    <row r="295" spans="1:3" x14ac:dyDescent="0.25">
      <c r="A295" s="12">
        <v>292</v>
      </c>
      <c r="C295" t="str">
        <f t="shared" si="4"/>
        <v>union all  select item=292, shipno=''</v>
      </c>
    </row>
    <row r="296" spans="1:3" x14ac:dyDescent="0.25">
      <c r="A296" s="12">
        <v>293</v>
      </c>
      <c r="C296" t="str">
        <f t="shared" si="4"/>
        <v>union all  select item=293, shipno=''</v>
      </c>
    </row>
    <row r="297" spans="1:3" x14ac:dyDescent="0.25">
      <c r="A297" s="12">
        <v>294</v>
      </c>
      <c r="C297" t="str">
        <f t="shared" si="4"/>
        <v>union all  select item=294, shipno=''</v>
      </c>
    </row>
    <row r="298" spans="1:3" x14ac:dyDescent="0.25">
      <c r="A298" s="12">
        <v>295</v>
      </c>
      <c r="C298" t="str">
        <f t="shared" si="4"/>
        <v>union all  select item=295, shipno=''</v>
      </c>
    </row>
    <row r="299" spans="1:3" x14ac:dyDescent="0.25">
      <c r="A299" s="12">
        <v>296</v>
      </c>
      <c r="C299" t="str">
        <f t="shared" si="4"/>
        <v>union all  select item=296, shipno=''</v>
      </c>
    </row>
    <row r="300" spans="1:3" x14ac:dyDescent="0.25">
      <c r="A300" s="12">
        <v>297</v>
      </c>
      <c r="C300" t="str">
        <f t="shared" si="4"/>
        <v>union all  select item=297, shipno=''</v>
      </c>
    </row>
    <row r="301" spans="1:3" x14ac:dyDescent="0.25">
      <c r="A301" s="12">
        <v>298</v>
      </c>
      <c r="C301" t="str">
        <f t="shared" si="4"/>
        <v>union all  select item=298, shipno=''</v>
      </c>
    </row>
    <row r="302" spans="1:3" x14ac:dyDescent="0.25">
      <c r="A302" s="12">
        <v>299</v>
      </c>
      <c r="C302" t="str">
        <f t="shared" si="4"/>
        <v>union all  select item=299, shipno=''</v>
      </c>
    </row>
    <row r="303" spans="1:3" x14ac:dyDescent="0.25">
      <c r="A303" s="12">
        <v>300</v>
      </c>
      <c r="C303" t="str">
        <f t="shared" si="4"/>
        <v>union all  select item=300, shipno=''</v>
      </c>
    </row>
    <row r="304" spans="1:3" x14ac:dyDescent="0.25">
      <c r="A304" s="12">
        <v>301</v>
      </c>
      <c r="C304" t="str">
        <f t="shared" si="4"/>
        <v>union all  select item=301, shipno=''</v>
      </c>
    </row>
    <row r="305" spans="1:3" x14ac:dyDescent="0.25">
      <c r="A305" s="12">
        <v>302</v>
      </c>
      <c r="C305" t="str">
        <f t="shared" si="4"/>
        <v>union all  select item=302, shipno=''</v>
      </c>
    </row>
    <row r="306" spans="1:3" x14ac:dyDescent="0.25">
      <c r="A306" s="12">
        <v>303</v>
      </c>
      <c r="C306" t="str">
        <f t="shared" si="4"/>
        <v>union all  select item=303, shipno=''</v>
      </c>
    </row>
    <row r="307" spans="1:3" x14ac:dyDescent="0.25">
      <c r="A307" s="12">
        <v>304</v>
      </c>
      <c r="C307" t="str">
        <f t="shared" si="4"/>
        <v>union all  select item=304, shipno=''</v>
      </c>
    </row>
    <row r="308" spans="1:3" x14ac:dyDescent="0.25">
      <c r="A308" s="12">
        <v>305</v>
      </c>
      <c r="C308" t="str">
        <f t="shared" si="4"/>
        <v>union all  select item=305, shipno=''</v>
      </c>
    </row>
    <row r="309" spans="1:3" x14ac:dyDescent="0.25">
      <c r="A309" s="12">
        <v>306</v>
      </c>
      <c r="C309" t="str">
        <f t="shared" si="4"/>
        <v>union all  select item=306, shipno=''</v>
      </c>
    </row>
    <row r="310" spans="1:3" x14ac:dyDescent="0.25">
      <c r="A310" s="12">
        <v>307</v>
      </c>
      <c r="C310" t="str">
        <f t="shared" si="4"/>
        <v>union all  select item=307, shipno=''</v>
      </c>
    </row>
    <row r="311" spans="1:3" x14ac:dyDescent="0.25">
      <c r="A311" s="12">
        <v>308</v>
      </c>
      <c r="C311" t="str">
        <f t="shared" si="4"/>
        <v>union all  select item=308, shipno=''</v>
      </c>
    </row>
    <row r="312" spans="1:3" x14ac:dyDescent="0.25">
      <c r="A312" s="12">
        <v>309</v>
      </c>
      <c r="C312" t="str">
        <f t="shared" si="4"/>
        <v>union all  select item=309, shipno=''</v>
      </c>
    </row>
    <row r="313" spans="1:3" x14ac:dyDescent="0.25">
      <c r="A313" s="12">
        <v>310</v>
      </c>
      <c r="C313" t="str">
        <f t="shared" si="4"/>
        <v>union all  select item=310, shipno=''</v>
      </c>
    </row>
    <row r="314" spans="1:3" x14ac:dyDescent="0.25">
      <c r="A314" s="12">
        <v>311</v>
      </c>
      <c r="C314" t="str">
        <f t="shared" si="4"/>
        <v>union all  select item=311, shipno=''</v>
      </c>
    </row>
    <row r="315" spans="1:3" x14ac:dyDescent="0.25">
      <c r="A315" s="12">
        <v>312</v>
      </c>
      <c r="C315" t="str">
        <f t="shared" si="4"/>
        <v>union all  select item=312, shipno=''</v>
      </c>
    </row>
    <row r="316" spans="1:3" x14ac:dyDescent="0.25">
      <c r="A316" s="12">
        <v>313</v>
      </c>
      <c r="C316" t="str">
        <f t="shared" si="4"/>
        <v>union all  select item=313, shipno=''</v>
      </c>
    </row>
    <row r="317" spans="1:3" x14ac:dyDescent="0.25">
      <c r="A317" s="12">
        <v>314</v>
      </c>
    </row>
    <row r="318" spans="1:3" x14ac:dyDescent="0.25">
      <c r="A318" s="12">
        <v>315</v>
      </c>
    </row>
    <row r="319" spans="1:3" x14ac:dyDescent="0.25">
      <c r="A319" s="12">
        <v>316</v>
      </c>
    </row>
    <row r="320" spans="1:3" x14ac:dyDescent="0.25">
      <c r="A320" s="12">
        <v>317</v>
      </c>
    </row>
    <row r="321" spans="1:1" x14ac:dyDescent="0.25">
      <c r="A321" s="12">
        <v>318</v>
      </c>
    </row>
    <row r="322" spans="1:1" x14ac:dyDescent="0.25">
      <c r="A322" s="12">
        <v>319</v>
      </c>
    </row>
    <row r="323" spans="1:1" x14ac:dyDescent="0.25">
      <c r="A323" s="12">
        <v>320</v>
      </c>
    </row>
    <row r="324" spans="1:1" x14ac:dyDescent="0.25">
      <c r="A324" s="12">
        <v>321</v>
      </c>
    </row>
    <row r="325" spans="1:1" x14ac:dyDescent="0.25">
      <c r="A325" s="12">
        <v>322</v>
      </c>
    </row>
    <row r="326" spans="1:1" x14ac:dyDescent="0.25">
      <c r="A326" s="12">
        <v>323</v>
      </c>
    </row>
    <row r="327" spans="1:1" x14ac:dyDescent="0.25">
      <c r="A327" s="12">
        <v>324</v>
      </c>
    </row>
    <row r="328" spans="1:1" x14ac:dyDescent="0.25">
      <c r="A328" s="12">
        <v>325</v>
      </c>
    </row>
    <row r="329" spans="1:1" x14ac:dyDescent="0.25">
      <c r="A329" s="12">
        <v>326</v>
      </c>
    </row>
    <row r="330" spans="1:1" x14ac:dyDescent="0.25">
      <c r="A330" s="12">
        <v>327</v>
      </c>
    </row>
    <row r="331" spans="1:1" x14ac:dyDescent="0.25">
      <c r="A331" s="12">
        <v>328</v>
      </c>
    </row>
    <row r="332" spans="1:1" x14ac:dyDescent="0.25">
      <c r="A332" s="12">
        <v>329</v>
      </c>
    </row>
    <row r="333" spans="1:1" x14ac:dyDescent="0.25">
      <c r="A333" s="12">
        <v>330</v>
      </c>
    </row>
    <row r="334" spans="1:1" x14ac:dyDescent="0.25">
      <c r="A334" s="12">
        <v>331</v>
      </c>
    </row>
    <row r="335" spans="1:1" x14ac:dyDescent="0.25">
      <c r="A335" s="12">
        <v>332</v>
      </c>
    </row>
    <row r="336" spans="1:1" x14ac:dyDescent="0.25">
      <c r="A336" s="12">
        <v>333</v>
      </c>
    </row>
    <row r="337" spans="1:1" x14ac:dyDescent="0.25">
      <c r="A337" s="12">
        <v>334</v>
      </c>
    </row>
    <row r="338" spans="1:1" x14ac:dyDescent="0.25">
      <c r="A338" s="12">
        <v>335</v>
      </c>
    </row>
    <row r="339" spans="1:1" x14ac:dyDescent="0.25">
      <c r="A339" s="12">
        <v>336</v>
      </c>
    </row>
    <row r="340" spans="1:1" x14ac:dyDescent="0.25">
      <c r="A340" s="12">
        <v>337</v>
      </c>
    </row>
    <row r="341" spans="1:1" x14ac:dyDescent="0.25">
      <c r="A341" s="12">
        <v>338</v>
      </c>
    </row>
    <row r="342" spans="1:1" x14ac:dyDescent="0.25">
      <c r="A342" s="12">
        <v>339</v>
      </c>
    </row>
    <row r="343" spans="1:1" x14ac:dyDescent="0.25">
      <c r="A343" s="12">
        <v>340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規格</vt:lpstr>
      <vt:lpstr>Datas</vt:lpstr>
      <vt:lpstr>SQL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2015-02-04T08:31:41Z</dcterms:modified>
</cp:coreProperties>
</file>