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2"/>
  </bookViews>
  <sheets>
    <sheet name="Spec" sheetId="2" r:id="rId1"/>
    <sheet name="規格" sheetId="1" r:id="rId2"/>
    <sheet name="Datas" sheetId="3" r:id="rId3"/>
    <sheet name="SQL" sheetId="4" r:id="rId4"/>
  </sheets>
  <functionGroups builtInGroupCount="18"/>
  <calcPr calcId="152511"/>
</workbook>
</file>

<file path=xl/calcChain.xml><?xml version="1.0" encoding="utf-8"?>
<calcChain xmlns="http://schemas.openxmlformats.org/spreadsheetml/2006/main">
  <c r="C6" i="4" l="1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5" i="4"/>
  <c r="C4" i="4"/>
  <c r="C3" i="4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2" i="1"/>
  <c r="J3" i="1" l="1"/>
  <c r="J4" i="1"/>
  <c r="J5" i="1"/>
  <c r="J6" i="1"/>
  <c r="J7" i="1"/>
  <c r="J8" i="1"/>
  <c r="J9" i="1"/>
  <c r="J10" i="1"/>
  <c r="J11" i="1"/>
  <c r="J12" i="1"/>
  <c r="J13" i="1"/>
  <c r="J32" i="1"/>
  <c r="J14" i="1"/>
  <c r="J15" i="1"/>
  <c r="J16" i="1"/>
  <c r="J17" i="1"/>
  <c r="J18" i="1"/>
  <c r="J19" i="1"/>
  <c r="J20" i="1"/>
  <c r="J21" i="1"/>
  <c r="J22" i="1"/>
  <c r="J23" i="1"/>
  <c r="J33" i="1"/>
  <c r="J24" i="1"/>
  <c r="J25" i="1"/>
  <c r="J26" i="1"/>
  <c r="J27" i="1"/>
  <c r="J28" i="1"/>
  <c r="J29" i="1"/>
  <c r="J30" i="1"/>
  <c r="J2" i="1"/>
  <c r="F33" i="1" l="1"/>
  <c r="F3" i="1"/>
  <c r="L3" i="1" s="1"/>
  <c r="F4" i="1"/>
  <c r="L4" i="1" s="1"/>
  <c r="F5" i="1"/>
  <c r="L5" i="1" s="1"/>
  <c r="F6" i="1"/>
  <c r="L6" i="1" s="1"/>
  <c r="F7" i="1"/>
  <c r="L7" i="1" s="1"/>
  <c r="F8" i="1"/>
  <c r="L8" i="1" s="1"/>
  <c r="F9" i="1"/>
  <c r="L9" i="1" s="1"/>
  <c r="F10" i="1"/>
  <c r="L10" i="1" s="1"/>
  <c r="F11" i="1"/>
  <c r="L11" i="1" s="1"/>
  <c r="F12" i="1"/>
  <c r="L12" i="1" s="1"/>
  <c r="F13" i="1"/>
  <c r="L13" i="1" s="1"/>
  <c r="F32" i="1"/>
  <c r="F15" i="1"/>
  <c r="L15" i="1" s="1"/>
  <c r="F16" i="1"/>
  <c r="L16" i="1" s="1"/>
  <c r="F17" i="1"/>
  <c r="L17" i="1" s="1"/>
  <c r="F18" i="1"/>
  <c r="L18" i="1" s="1"/>
  <c r="F14" i="1"/>
  <c r="L14" i="1" s="1"/>
  <c r="F19" i="1"/>
  <c r="L19" i="1" s="1"/>
  <c r="F20" i="1"/>
  <c r="L20" i="1" s="1"/>
  <c r="F21" i="1"/>
  <c r="L21" i="1" s="1"/>
  <c r="F22" i="1"/>
  <c r="L22" i="1" s="1"/>
  <c r="F23" i="1"/>
  <c r="L23" i="1" s="1"/>
  <c r="F24" i="1"/>
  <c r="L24" i="1" s="1"/>
  <c r="F25" i="1"/>
  <c r="L25" i="1" s="1"/>
  <c r="F26" i="1"/>
  <c r="L26" i="1" s="1"/>
  <c r="F27" i="1"/>
  <c r="L27" i="1" s="1"/>
  <c r="F28" i="1"/>
  <c r="L28" i="1" s="1"/>
  <c r="F29" i="1"/>
  <c r="L29" i="1" s="1"/>
  <c r="F30" i="1"/>
  <c r="L30" i="1" s="1"/>
  <c r="F2" i="1"/>
  <c r="L2" i="1" s="1"/>
  <c r="K30" i="1" l="1"/>
  <c r="K26" i="1"/>
  <c r="K22" i="1"/>
  <c r="K14" i="1"/>
  <c r="K15" i="1"/>
  <c r="K11" i="1"/>
  <c r="K7" i="1"/>
  <c r="K3" i="1"/>
  <c r="K29" i="1"/>
  <c r="K25" i="1"/>
  <c r="K21" i="1"/>
  <c r="K18" i="1"/>
  <c r="L32" i="1"/>
  <c r="K32" i="1"/>
  <c r="K10" i="1"/>
  <c r="K6" i="1"/>
  <c r="L33" i="1"/>
  <c r="K33" i="1"/>
  <c r="K28" i="1"/>
  <c r="K24" i="1"/>
  <c r="K20" i="1"/>
  <c r="K17" i="1"/>
  <c r="K13" i="1"/>
  <c r="K9" i="1"/>
  <c r="K5" i="1"/>
  <c r="K2" i="1"/>
  <c r="K27" i="1"/>
  <c r="K23" i="1"/>
  <c r="K19" i="1"/>
  <c r="K16" i="1"/>
  <c r="K12" i="1"/>
  <c r="K8" i="1"/>
  <c r="K4" i="1"/>
</calcChain>
</file>

<file path=xl/comments1.xml><?xml version="1.0" encoding="utf-8"?>
<comments xmlns="http://schemas.openxmlformats.org/spreadsheetml/2006/main">
  <authors>
    <author>作者</author>
  </authors>
  <commentList>
    <comment ref="C18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後三碼為小數點以下</t>
        </r>
      </text>
    </comment>
  </commentList>
</comments>
</file>

<file path=xl/sharedStrings.xml><?xml version="1.0" encoding="utf-8"?>
<sst xmlns="http://schemas.openxmlformats.org/spreadsheetml/2006/main" count="2713" uniqueCount="668">
  <si>
    <t>C:       [42 to 43]</t>
  </si>
  <si>
    <r>
      <t>應付外包件金額</t>
    </r>
    <r>
      <rPr>
        <sz val="11"/>
        <color theme="1"/>
        <rFont val="Times New Roman"/>
        <family val="1"/>
      </rPr>
      <t xml:space="preserve">:[76 to 85] </t>
    </r>
  </si>
  <si>
    <r>
      <t>00</t>
    </r>
    <r>
      <rPr>
        <sz val="11"/>
        <color theme="1"/>
        <rFont val="新細明體"/>
        <family val="1"/>
        <charset val="136"/>
      </rPr>
      <t>扣款</t>
    </r>
    <r>
      <rPr>
        <sz val="11"/>
        <color theme="1"/>
        <rFont val="Times New Roman"/>
        <family val="1"/>
      </rPr>
      <t>:[93 to 102]</t>
    </r>
  </si>
  <si>
    <r>
      <t>其他扣款額</t>
    </r>
    <r>
      <rPr>
        <sz val="11"/>
        <color theme="1"/>
        <rFont val="Times New Roman"/>
        <family val="1"/>
      </rPr>
      <t>:[102 to 111]</t>
    </r>
  </si>
  <si>
    <r>
      <t>實付金額</t>
    </r>
    <r>
      <rPr>
        <sz val="11"/>
        <color theme="1"/>
        <rFont val="Times New Roman"/>
        <family val="1"/>
      </rPr>
      <t>:[111 to 120]</t>
    </r>
  </si>
  <si>
    <r>
      <t>首字為</t>
    </r>
    <r>
      <rPr>
        <sz val="11"/>
        <color theme="1"/>
        <rFont val="Times New Roman"/>
        <family val="1"/>
      </rPr>
      <t>1 (</t>
    </r>
    <r>
      <rPr>
        <sz val="11"/>
        <color theme="1"/>
        <rFont val="新細明體"/>
        <family val="1"/>
        <charset val="136"/>
      </rPr>
      <t>表頭</t>
    </r>
    <r>
      <rPr>
        <sz val="11"/>
        <color theme="1"/>
        <rFont val="Times New Roman"/>
        <family val="1"/>
      </rPr>
      <t>)</t>
    </r>
    <phoneticPr fontId="3" type="noConversion"/>
  </si>
  <si>
    <t>表頭</t>
  </si>
  <si>
    <r>
      <t>廠商代碼</t>
    </r>
    <r>
      <rPr>
        <sz val="11"/>
        <color theme="1"/>
        <rFont val="Times New Roman"/>
        <family val="1"/>
      </rPr>
      <t>: [11 t0 15]</t>
    </r>
    <phoneticPr fontId="3" type="noConversion"/>
  </si>
  <si>
    <t>廠商代碼</t>
  </si>
  <si>
    <r>
      <t>入帳日期</t>
    </r>
    <r>
      <rPr>
        <sz val="11"/>
        <color theme="1"/>
        <rFont val="Times New Roman"/>
        <family val="1"/>
      </rPr>
      <t xml:space="preserve">: </t>
    </r>
    <r>
      <rPr>
        <sz val="11"/>
        <color theme="1"/>
        <rFont val="新細明體"/>
        <family val="1"/>
        <charset val="136"/>
      </rPr>
      <t>入帳日起</t>
    </r>
    <r>
      <rPr>
        <sz val="11"/>
        <color theme="1"/>
        <rFont val="Times New Roman"/>
        <family val="1"/>
      </rPr>
      <t xml:space="preserve">[16 to 22] </t>
    </r>
    <r>
      <rPr>
        <sz val="11"/>
        <color theme="1"/>
        <rFont val="新細明體"/>
        <family val="1"/>
        <charset val="136"/>
      </rPr>
      <t>入帳日迄</t>
    </r>
    <r>
      <rPr>
        <sz val="11"/>
        <color theme="1"/>
        <rFont val="Times New Roman"/>
        <family val="1"/>
      </rPr>
      <t>[22 to 28]</t>
    </r>
    <phoneticPr fontId="3" type="noConversion"/>
  </si>
  <si>
    <t>入帳日起</t>
  </si>
  <si>
    <t>入帳日迄</t>
  </si>
  <si>
    <r>
      <t>首字為</t>
    </r>
    <r>
      <rPr>
        <sz val="11"/>
        <color theme="1"/>
        <rFont val="Times New Roman"/>
        <family val="1"/>
      </rPr>
      <t>2 (</t>
    </r>
    <r>
      <rPr>
        <sz val="11"/>
        <color theme="1"/>
        <rFont val="新細明體"/>
        <family val="1"/>
        <charset val="136"/>
      </rPr>
      <t>表身</t>
    </r>
    <r>
      <rPr>
        <sz val="11"/>
        <color theme="1"/>
        <rFont val="Times New Roman"/>
        <family val="1"/>
      </rPr>
      <t>)</t>
    </r>
    <phoneticPr fontId="3" type="noConversion"/>
  </si>
  <si>
    <t>表身</t>
  </si>
  <si>
    <r>
      <t>憑單編號</t>
    </r>
    <r>
      <rPr>
        <sz val="11"/>
        <color theme="1"/>
        <rFont val="Times New Roman"/>
        <family val="1"/>
      </rPr>
      <t>:[2 to 9]</t>
    </r>
    <phoneticPr fontId="3" type="noConversion"/>
  </si>
  <si>
    <t>憑單編號</t>
  </si>
  <si>
    <r>
      <t>序號</t>
    </r>
    <r>
      <rPr>
        <sz val="11"/>
        <color theme="1"/>
        <rFont val="Times New Roman"/>
        <family val="1"/>
      </rPr>
      <t>:    [9 to 11]</t>
    </r>
    <phoneticPr fontId="3" type="noConversion"/>
  </si>
  <si>
    <t>序號</t>
  </si>
  <si>
    <r>
      <t>單別</t>
    </r>
    <r>
      <rPr>
        <sz val="11"/>
        <color theme="1"/>
        <rFont val="Times New Roman"/>
        <family val="1"/>
      </rPr>
      <t>:    [11 to 13]</t>
    </r>
    <phoneticPr fontId="3" type="noConversion"/>
  </si>
  <si>
    <t>單別</t>
  </si>
  <si>
    <t>I1</t>
    <phoneticPr fontId="3" type="noConversion"/>
  </si>
  <si>
    <r>
      <t>合約號</t>
    </r>
    <r>
      <rPr>
        <sz val="11"/>
        <color theme="1"/>
        <rFont val="Times New Roman"/>
        <family val="1"/>
      </rPr>
      <t>:  [13 to 20]</t>
    </r>
    <phoneticPr fontId="3" type="noConversion"/>
  </si>
  <si>
    <t>合約號</t>
  </si>
  <si>
    <r>
      <t>交貨指示</t>
    </r>
    <r>
      <rPr>
        <sz val="11"/>
        <color theme="1"/>
        <rFont val="Times New Roman"/>
        <family val="1"/>
      </rPr>
      <t>:[20 to 30]</t>
    </r>
    <phoneticPr fontId="3" type="noConversion"/>
  </si>
  <si>
    <r>
      <t>類別</t>
    </r>
    <r>
      <rPr>
        <sz val="11"/>
        <color theme="1"/>
        <rFont val="Times New Roman"/>
        <family val="1"/>
      </rPr>
      <t>:    [30 t0 32]</t>
    </r>
    <phoneticPr fontId="3" type="noConversion"/>
  </si>
  <si>
    <t>類別</t>
  </si>
  <si>
    <r>
      <t>料號</t>
    </r>
    <r>
      <rPr>
        <sz val="11"/>
        <color theme="1"/>
        <rFont val="Times New Roman"/>
        <family val="1"/>
      </rPr>
      <t>:    [32 to 42]</t>
    </r>
    <phoneticPr fontId="3" type="noConversion"/>
  </si>
  <si>
    <r>
      <t>交貨量</t>
    </r>
    <r>
      <rPr>
        <sz val="11"/>
        <color theme="1"/>
        <rFont val="Times New Roman"/>
        <family val="1"/>
      </rPr>
      <t>:  [43 to 52]</t>
    </r>
    <phoneticPr fontId="3" type="noConversion"/>
  </si>
  <si>
    <t>交貨量</t>
  </si>
  <si>
    <r>
      <t>單位</t>
    </r>
    <r>
      <rPr>
        <sz val="11"/>
        <color theme="1"/>
        <rFont val="Times New Roman"/>
        <family val="1"/>
      </rPr>
      <t>:    [61 to 63]</t>
    </r>
    <phoneticPr fontId="3" type="noConversion"/>
  </si>
  <si>
    <t>單位</t>
  </si>
  <si>
    <r>
      <t>首字為</t>
    </r>
    <r>
      <rPr>
        <sz val="11"/>
        <color theme="1"/>
        <rFont val="Times New Roman"/>
        <family val="1"/>
      </rPr>
      <t>3 (</t>
    </r>
    <r>
      <rPr>
        <sz val="11"/>
        <color theme="1"/>
        <rFont val="新細明體"/>
        <family val="1"/>
        <charset val="136"/>
      </rPr>
      <t>表尾，總計</t>
    </r>
    <r>
      <rPr>
        <sz val="11"/>
        <color theme="1"/>
        <rFont val="Times New Roman"/>
        <family val="1"/>
      </rPr>
      <t>)</t>
    </r>
    <phoneticPr fontId="3" type="noConversion"/>
  </si>
  <si>
    <t>表尾</t>
  </si>
  <si>
    <r>
      <t>應付外包件金額</t>
    </r>
    <r>
      <rPr>
        <sz val="11"/>
        <color theme="1"/>
        <rFont val="Times New Roman"/>
        <family val="1"/>
      </rPr>
      <t>:[2 to 10]</t>
    </r>
    <phoneticPr fontId="3" type="noConversion"/>
  </si>
  <si>
    <t>應付外包件金額</t>
  </si>
  <si>
    <r>
      <t>00</t>
    </r>
    <r>
      <rPr>
        <sz val="11"/>
        <color theme="1"/>
        <rFont val="新細明體"/>
        <family val="1"/>
        <charset val="136"/>
      </rPr>
      <t>扣款</t>
    </r>
    <r>
      <rPr>
        <sz val="11"/>
        <color theme="1"/>
        <rFont val="Times New Roman"/>
        <family val="1"/>
      </rPr>
      <t>:[10 to 20]</t>
    </r>
    <phoneticPr fontId="3" type="noConversion"/>
  </si>
  <si>
    <t>00扣款</t>
  </si>
  <si>
    <r>
      <t>其他扣款額</t>
    </r>
    <r>
      <rPr>
        <sz val="11"/>
        <color theme="1"/>
        <rFont val="Times New Roman"/>
        <family val="1"/>
      </rPr>
      <t>:[20 to 29]</t>
    </r>
    <phoneticPr fontId="3" type="noConversion"/>
  </si>
  <si>
    <t>其他扣款額</t>
  </si>
  <si>
    <r>
      <t>實付金額</t>
    </r>
    <r>
      <rPr>
        <sz val="11"/>
        <color theme="1"/>
        <rFont val="Times New Roman"/>
        <family val="1"/>
      </rPr>
      <t>:[29 to 38]</t>
    </r>
    <phoneticPr fontId="3" type="noConversion"/>
  </si>
  <si>
    <t>實付金額</t>
  </si>
  <si>
    <r>
      <t>開票期間</t>
    </r>
    <r>
      <rPr>
        <sz val="11"/>
        <color theme="1"/>
        <rFont val="Times New Roman"/>
        <family val="1"/>
      </rPr>
      <t>:[121 to 122]</t>
    </r>
    <phoneticPr fontId="3" type="noConversion"/>
  </si>
  <si>
    <t>開票期間</t>
  </si>
  <si>
    <r>
      <t>紀錄代號</t>
    </r>
    <r>
      <rPr>
        <sz val="11"/>
        <color theme="1"/>
        <rFont val="Times New Roman"/>
        <family val="1"/>
      </rPr>
      <t>:[122 to 123]</t>
    </r>
    <phoneticPr fontId="3" type="noConversion"/>
  </si>
  <si>
    <t>紀錄代號</t>
  </si>
  <si>
    <t>交貨指示編號</t>
    <phoneticPr fontId="3" type="noConversion"/>
  </si>
  <si>
    <t>3</t>
    <phoneticPr fontId="3" type="noConversion"/>
  </si>
  <si>
    <r>
      <t>付款單價</t>
    </r>
    <r>
      <rPr>
        <sz val="11"/>
        <color theme="1"/>
        <rFont val="Times New Roman"/>
        <family val="1"/>
      </rPr>
      <t>:[64 to 76](</t>
    </r>
    <r>
      <rPr>
        <sz val="11"/>
        <color theme="1"/>
        <rFont val="新細明體"/>
        <family val="1"/>
        <charset val="136"/>
      </rPr>
      <t>後三碼為小數點以下</t>
    </r>
    <r>
      <rPr>
        <sz val="11"/>
        <color theme="1"/>
        <rFont val="Times New Roman"/>
        <family val="1"/>
      </rPr>
      <t>)</t>
    </r>
    <phoneticPr fontId="3" type="noConversion"/>
  </si>
  <si>
    <t>H3</t>
    <phoneticPr fontId="3" type="noConversion"/>
  </si>
  <si>
    <t>9</t>
    <phoneticPr fontId="3" type="noConversion"/>
  </si>
  <si>
    <t>實收及格數量</t>
    <phoneticPr fontId="3" type="noConversion"/>
  </si>
  <si>
    <r>
      <t>檢驗品質</t>
    </r>
    <r>
      <rPr>
        <sz val="11"/>
        <color theme="1"/>
        <rFont val="Times New Roman"/>
        <family val="1"/>
      </rPr>
      <t>:[42 to 43]</t>
    </r>
    <phoneticPr fontId="3" type="noConversion"/>
  </si>
  <si>
    <t>檢驗品質</t>
  </si>
  <si>
    <t>付款單價</t>
  </si>
  <si>
    <r>
      <t>交貨日期</t>
    </r>
    <r>
      <rPr>
        <sz val="11"/>
        <color theme="1"/>
        <rFont val="Times New Roman"/>
        <family val="1"/>
      </rPr>
      <t>:[85 to 93]</t>
    </r>
    <phoneticPr fontId="3" type="noConversion"/>
  </si>
  <si>
    <t>交貨日期</t>
  </si>
  <si>
    <t>Y</t>
    <phoneticPr fontId="3" type="noConversion"/>
  </si>
  <si>
    <t>A</t>
    <phoneticPr fontId="3" type="noConversion"/>
  </si>
  <si>
    <t>C</t>
    <phoneticPr fontId="3" type="noConversion"/>
  </si>
  <si>
    <t>欄位</t>
    <phoneticPr fontId="3" type="noConversion"/>
  </si>
  <si>
    <t>起位</t>
    <phoneticPr fontId="3" type="noConversion"/>
  </si>
  <si>
    <t>迄位</t>
    <phoneticPr fontId="3" type="noConversion"/>
  </si>
  <si>
    <t>字數</t>
    <phoneticPr fontId="3" type="noConversion"/>
  </si>
  <si>
    <t>預設值</t>
    <phoneticPr fontId="3" type="noConversion"/>
  </si>
  <si>
    <t>日產原料號</t>
    <phoneticPr fontId="3" type="noConversion"/>
  </si>
  <si>
    <t>檔案路徑：</t>
    <phoneticPr fontId="3" type="noConversion"/>
  </si>
  <si>
    <t>檔案名稱：</t>
    <phoneticPr fontId="3" type="noConversion"/>
  </si>
  <si>
    <t>D:\PertonChang\Desktop\SCM</t>
    <phoneticPr fontId="3" type="noConversion"/>
  </si>
  <si>
    <t>201412_對帳單_20150123.txt</t>
    <phoneticPr fontId="3" type="noConversion"/>
  </si>
  <si>
    <t>tag</t>
    <phoneticPr fontId="3" type="noConversion"/>
  </si>
  <si>
    <t>CuNo</t>
    <phoneticPr fontId="3" type="noConversion"/>
  </si>
  <si>
    <t>AccBd</t>
    <phoneticPr fontId="3" type="noConversion"/>
  </si>
  <si>
    <t>AccEd</t>
    <phoneticPr fontId="3" type="noConversion"/>
  </si>
  <si>
    <t>ListNo</t>
    <phoneticPr fontId="3" type="noConversion"/>
  </si>
  <si>
    <t>ListSeq</t>
    <phoneticPr fontId="3" type="noConversion"/>
  </si>
  <si>
    <t>ListType</t>
    <phoneticPr fontId="3" type="noConversion"/>
  </si>
  <si>
    <t>Contract</t>
    <phoneticPr fontId="3" type="noConversion"/>
  </si>
  <si>
    <t>ShipNote</t>
    <phoneticPr fontId="3" type="noConversion"/>
  </si>
  <si>
    <t>Class</t>
    <phoneticPr fontId="3" type="noConversion"/>
  </si>
  <si>
    <t>c</t>
    <phoneticPr fontId="3" type="noConversion"/>
  </si>
  <si>
    <t>Quality</t>
    <phoneticPr fontId="3" type="noConversion"/>
  </si>
  <si>
    <t>Qty</t>
    <phoneticPr fontId="3" type="noConversion"/>
  </si>
  <si>
    <t>QtyOK</t>
    <phoneticPr fontId="3" type="noConversion"/>
  </si>
  <si>
    <t>Unit</t>
    <phoneticPr fontId="3" type="noConversion"/>
  </si>
  <si>
    <t>Price</t>
    <phoneticPr fontId="3" type="noConversion"/>
  </si>
  <si>
    <t>DevD</t>
    <phoneticPr fontId="3" type="noConversion"/>
  </si>
  <si>
    <t>Amt00</t>
    <phoneticPr fontId="3" type="noConversion"/>
  </si>
  <si>
    <t>Amt01</t>
    <phoneticPr fontId="3" type="noConversion"/>
  </si>
  <si>
    <t>cc</t>
    <phoneticPr fontId="3" type="noConversion"/>
  </si>
  <si>
    <t>Check</t>
    <phoneticPr fontId="3" type="noConversion"/>
  </si>
  <si>
    <t>Rec</t>
    <phoneticPr fontId="3" type="noConversion"/>
  </si>
  <si>
    <t>Amt11</t>
    <phoneticPr fontId="3" type="noConversion"/>
  </si>
  <si>
    <t>Amt12</t>
    <phoneticPr fontId="3" type="noConversion"/>
  </si>
  <si>
    <t>KouKan01</t>
    <phoneticPr fontId="3" type="noConversion"/>
  </si>
  <si>
    <t>KouKan02</t>
    <phoneticPr fontId="3" type="noConversion"/>
  </si>
  <si>
    <t>KouKan11</t>
    <phoneticPr fontId="3" type="noConversion"/>
  </si>
  <si>
    <t>KouKan12</t>
    <phoneticPr fontId="3" type="noConversion"/>
  </si>
  <si>
    <t>OrgElNo</t>
    <phoneticPr fontId="3" type="noConversion"/>
  </si>
  <si>
    <t>Cols</t>
    <phoneticPr fontId="3" type="noConversion"/>
  </si>
  <si>
    <t>Ary</t>
    <phoneticPr fontId="3" type="noConversion"/>
  </si>
  <si>
    <t>D:\GitHub\YuLong_SCM</t>
    <phoneticPr fontId="3" type="noConversion"/>
  </si>
  <si>
    <t>C524B</t>
  </si>
  <si>
    <t>H441428</t>
  </si>
  <si>
    <t>I1</t>
  </si>
  <si>
    <t>CL02319</t>
  </si>
  <si>
    <t>BD03364601</t>
  </si>
  <si>
    <t>H3</t>
  </si>
  <si>
    <t>24012KN100</t>
  </si>
  <si>
    <t xml:space="preserve">PC </t>
  </si>
  <si>
    <t>Y</t>
  </si>
  <si>
    <t>A</t>
  </si>
  <si>
    <t>CL02976</t>
  </si>
  <si>
    <t>BD03364701</t>
  </si>
  <si>
    <t>24012KN109</t>
  </si>
  <si>
    <t>CL02564</t>
  </si>
  <si>
    <t>AD01481701</t>
  </si>
  <si>
    <t>24012SN266</t>
  </si>
  <si>
    <t>CL02885</t>
  </si>
  <si>
    <t>BD03364801</t>
  </si>
  <si>
    <t>2590ASN300</t>
  </si>
  <si>
    <t>DL01441</t>
  </si>
  <si>
    <t>BD03364901</t>
  </si>
  <si>
    <t>2804ASN101</t>
  </si>
  <si>
    <t>BL02594</t>
  </si>
  <si>
    <t>BD03429201</t>
  </si>
  <si>
    <t>28216SA122</t>
  </si>
  <si>
    <t>BL02477</t>
  </si>
  <si>
    <t>BD03365001</t>
  </si>
  <si>
    <t>28216SA206</t>
  </si>
  <si>
    <t>H443463</t>
  </si>
  <si>
    <t>AD01575101</t>
  </si>
  <si>
    <t>24012KN103</t>
  </si>
  <si>
    <t>AL03132</t>
  </si>
  <si>
    <t>AD01537501</t>
  </si>
  <si>
    <t>28216KN316</t>
  </si>
  <si>
    <t>H442089</t>
  </si>
  <si>
    <t>24012KN102</t>
  </si>
  <si>
    <t>H442090</t>
  </si>
  <si>
    <t>24012KN105</t>
  </si>
  <si>
    <t>24012KN108</t>
  </si>
  <si>
    <t>DL01965</t>
  </si>
  <si>
    <t>24080SN100</t>
  </si>
  <si>
    <t>24080SN102</t>
  </si>
  <si>
    <t>H442091</t>
  </si>
  <si>
    <t>CL02786</t>
  </si>
  <si>
    <t>2590AKN300</t>
  </si>
  <si>
    <t>H442092</t>
  </si>
  <si>
    <t>BL02648</t>
  </si>
  <si>
    <t>2590AMA200</t>
  </si>
  <si>
    <t>AL02884</t>
  </si>
  <si>
    <t>28216MA105</t>
  </si>
  <si>
    <t>28216MA113</t>
  </si>
  <si>
    <t>28216SA123</t>
  </si>
  <si>
    <t>28216SA124</t>
  </si>
  <si>
    <t>AL03217</t>
  </si>
  <si>
    <t>28216SA323</t>
  </si>
  <si>
    <t>28360SN100</t>
  </si>
  <si>
    <t>AL03211</t>
  </si>
  <si>
    <t>D0000AY130</t>
  </si>
  <si>
    <t>D0000AY131</t>
  </si>
  <si>
    <t>D0000AY132</t>
  </si>
  <si>
    <t>D0000AY133</t>
  </si>
  <si>
    <t>H442094</t>
  </si>
  <si>
    <t>LC02246</t>
  </si>
  <si>
    <t xml:space="preserve">          </t>
  </si>
  <si>
    <t xml:space="preserve">   </t>
  </si>
  <si>
    <t xml:space="preserve">  </t>
  </si>
  <si>
    <t xml:space="preserve"> </t>
  </si>
  <si>
    <t>H443773</t>
  </si>
  <si>
    <t>H443774</t>
  </si>
  <si>
    <t>24012SN262</t>
  </si>
  <si>
    <t>24012SN264</t>
  </si>
  <si>
    <t>H443775</t>
  </si>
  <si>
    <t>28216MA123</t>
  </si>
  <si>
    <t>) a left join (select cu_no, od_serno, od_no, od_qty, od_price, el_no, el_ver, cr_code, cu_elnoold, cu_po_no1 from ieod01d1 (nolock)) b on a.shipno=b.cu_po_no1 order by a.item</t>
  </si>
  <si>
    <t>NULL</t>
  </si>
  <si>
    <t>S14L0818</t>
  </si>
  <si>
    <t>L69228</t>
  </si>
  <si>
    <t>PWHAZ2S8900A111BA554</t>
  </si>
  <si>
    <t>24012-KN100</t>
  </si>
  <si>
    <t>S14L0831</t>
  </si>
  <si>
    <t>L69241</t>
  </si>
  <si>
    <t>S14L0817</t>
  </si>
  <si>
    <t>L69227</t>
  </si>
  <si>
    <t>S14L0826</t>
  </si>
  <si>
    <t>L69236</t>
  </si>
  <si>
    <t>S14L0833</t>
  </si>
  <si>
    <t>L69243</t>
  </si>
  <si>
    <t>S14L2347</t>
  </si>
  <si>
    <t>L74385</t>
  </si>
  <si>
    <t>S14L1788</t>
  </si>
  <si>
    <t>L72296</t>
  </si>
  <si>
    <t>S14L1337</t>
  </si>
  <si>
    <t>L70723</t>
  </si>
  <si>
    <t>PWHAZ2S8900A113BA554</t>
  </si>
  <si>
    <t>24012-KN102</t>
  </si>
  <si>
    <t>S14L2348</t>
  </si>
  <si>
    <t>L74386</t>
  </si>
  <si>
    <t>S14L1450</t>
  </si>
  <si>
    <t>L71122</t>
  </si>
  <si>
    <t>S14L1340</t>
  </si>
  <si>
    <t>L70726</t>
  </si>
  <si>
    <t>S14L1785</t>
  </si>
  <si>
    <t>L72293</t>
  </si>
  <si>
    <t>S14L1789</t>
  </si>
  <si>
    <t>L72297</t>
  </si>
  <si>
    <t>S14L1334</t>
  </si>
  <si>
    <t>L70720</t>
  </si>
  <si>
    <t>S14L0834</t>
  </si>
  <si>
    <t>L69244</t>
  </si>
  <si>
    <t>S14L1345</t>
  </si>
  <si>
    <t>L70731</t>
  </si>
  <si>
    <t>S14L0824</t>
  </si>
  <si>
    <t>L69234</t>
  </si>
  <si>
    <t>PWHAZ2S8900A114BA554</t>
  </si>
  <si>
    <t>24012-KN103</t>
  </si>
  <si>
    <t>S14L0829</t>
  </si>
  <si>
    <t>L69239</t>
  </si>
  <si>
    <t>S14L0838</t>
  </si>
  <si>
    <t>L69248</t>
  </si>
  <si>
    <t>S14L0841</t>
  </si>
  <si>
    <t>L69251</t>
  </si>
  <si>
    <t>S14L0846</t>
  </si>
  <si>
    <t>L69256</t>
  </si>
  <si>
    <t>S14L0849</t>
  </si>
  <si>
    <t>L69259</t>
  </si>
  <si>
    <t>S14L0828</t>
  </si>
  <si>
    <t>L69238</t>
  </si>
  <si>
    <t>S14L0825</t>
  </si>
  <si>
    <t>L69235</t>
  </si>
  <si>
    <t>PWHAZ2BC900A111BA554</t>
  </si>
  <si>
    <t>24012-KN105</t>
  </si>
  <si>
    <t>S14L0836</t>
  </si>
  <si>
    <t>L69246</t>
  </si>
  <si>
    <t>S14L0845</t>
  </si>
  <si>
    <t>L69255</t>
  </si>
  <si>
    <t>S14L0842</t>
  </si>
  <si>
    <t>L69252</t>
  </si>
  <si>
    <t>S14L0830</t>
  </si>
  <si>
    <t>L69240</t>
  </si>
  <si>
    <t>S14L1790</t>
  </si>
  <si>
    <t>L72298</t>
  </si>
  <si>
    <t>PWHAA2S5900A00PBA554</t>
  </si>
  <si>
    <t>24012-KN108</t>
  </si>
  <si>
    <t>S14L0820</t>
  </si>
  <si>
    <t>L69230</t>
  </si>
  <si>
    <t>PWHAA2S5900A00QBA554</t>
  </si>
  <si>
    <t>24012-KN109</t>
  </si>
  <si>
    <t>S14L1342</t>
  </si>
  <si>
    <t>L70728</t>
  </si>
  <si>
    <t>S14L1338</t>
  </si>
  <si>
    <t>L70724</t>
  </si>
  <si>
    <t>S14L0852</t>
  </si>
  <si>
    <t>L69262</t>
  </si>
  <si>
    <t>S14L0840</t>
  </si>
  <si>
    <t>L69250</t>
  </si>
  <si>
    <t>S14L0847</t>
  </si>
  <si>
    <t>L69257</t>
  </si>
  <si>
    <t>S14L1332</t>
  </si>
  <si>
    <t>L70718</t>
  </si>
  <si>
    <t>S14L1333</t>
  </si>
  <si>
    <t>L70719</t>
  </si>
  <si>
    <t>S14L1343</t>
  </si>
  <si>
    <t>L70729</t>
  </si>
  <si>
    <t>S14L1449</t>
  </si>
  <si>
    <t>L71121</t>
  </si>
  <si>
    <t>S14L0821</t>
  </si>
  <si>
    <t>L69231</t>
  </si>
  <si>
    <t>PWHA3282800Z102BA554</t>
  </si>
  <si>
    <t>A1</t>
  </si>
  <si>
    <t>24080-SN100</t>
  </si>
  <si>
    <t>S14L0837</t>
  </si>
  <si>
    <t>L69247</t>
  </si>
  <si>
    <t>S14L1791</t>
  </si>
  <si>
    <t>L72299</t>
  </si>
  <si>
    <t>S14L0822</t>
  </si>
  <si>
    <t>L69232</t>
  </si>
  <si>
    <t>S14L0823</t>
  </si>
  <si>
    <t>L69233</t>
  </si>
  <si>
    <t>PWHA33X2P00A101BA554</t>
  </si>
  <si>
    <t>24080-SN102</t>
  </si>
  <si>
    <t>S14L0844</t>
  </si>
  <si>
    <t>L69254</t>
  </si>
  <si>
    <t>S14L0851</t>
  </si>
  <si>
    <t>L69261</t>
  </si>
  <si>
    <t>S14L1344</t>
  </si>
  <si>
    <t>L70730</t>
  </si>
  <si>
    <t>S14L1792</t>
  </si>
  <si>
    <t>L72300</t>
  </si>
  <si>
    <t>S14L1341</t>
  </si>
  <si>
    <t>L70727</t>
  </si>
  <si>
    <t>S14L0843</t>
  </si>
  <si>
    <t>L69253</t>
  </si>
  <si>
    <t>S14L0832</t>
  </si>
  <si>
    <t>L69242</t>
  </si>
  <si>
    <t>S14L0835</t>
  </si>
  <si>
    <t>L69245</t>
  </si>
  <si>
    <t>S14L0850</t>
  </si>
  <si>
    <t>L69260</t>
  </si>
  <si>
    <t>S14L1448</t>
  </si>
  <si>
    <t>L71120</t>
  </si>
  <si>
    <t>S14L1786</t>
  </si>
  <si>
    <t>L72294</t>
  </si>
  <si>
    <t>S14L1335</t>
  </si>
  <si>
    <t>L70721</t>
  </si>
  <si>
    <t>S14L0848</t>
  </si>
  <si>
    <t>L69258</t>
  </si>
  <si>
    <t>S14L0857</t>
  </si>
  <si>
    <t>L69268</t>
  </si>
  <si>
    <t>PVAAN000000ZG08BA554</t>
  </si>
  <si>
    <t>B3</t>
  </si>
  <si>
    <t>2590A-KN300</t>
  </si>
  <si>
    <t>S14L0866</t>
  </si>
  <si>
    <t>L69277</t>
  </si>
  <si>
    <t>S14L0865</t>
  </si>
  <si>
    <t>L69276</t>
  </si>
  <si>
    <t>S14L0861</t>
  </si>
  <si>
    <t>L69272</t>
  </si>
  <si>
    <t>S14L0862</t>
  </si>
  <si>
    <t>L69273</t>
  </si>
  <si>
    <t>S14L0863</t>
  </si>
  <si>
    <t>L69274</t>
  </si>
  <si>
    <t>S14L0864</t>
  </si>
  <si>
    <t>L69275</t>
  </si>
  <si>
    <t>S14L1796</t>
  </si>
  <si>
    <t>L72307</t>
  </si>
  <si>
    <t>B4</t>
  </si>
  <si>
    <t>S14L0860</t>
  </si>
  <si>
    <t>L69271</t>
  </si>
  <si>
    <t>S14L2504</t>
  </si>
  <si>
    <t>L75857</t>
  </si>
  <si>
    <t>S14L1346</t>
  </si>
  <si>
    <t>L70732</t>
  </si>
  <si>
    <t>PVAAA000000ZG02BA554</t>
  </si>
  <si>
    <t>2590A-MA200</t>
  </si>
  <si>
    <t>S14L1452</t>
  </si>
  <si>
    <t>L71124</t>
  </si>
  <si>
    <t>A554EE16</t>
  </si>
  <si>
    <t>S14L1347</t>
  </si>
  <si>
    <t>L70733</t>
  </si>
  <si>
    <t>PCAWLL04Z03Z002BA554</t>
  </si>
  <si>
    <t>28216-MA105</t>
  </si>
  <si>
    <t>S14L0867</t>
  </si>
  <si>
    <t>L69278</t>
  </si>
  <si>
    <t>PWHAA2B5900A003BA554</t>
  </si>
  <si>
    <t>28216-MA113</t>
  </si>
  <si>
    <t>S14L1348</t>
  </si>
  <si>
    <t>L70734</t>
  </si>
  <si>
    <t>S14L0858</t>
  </si>
  <si>
    <t>L69269</t>
  </si>
  <si>
    <t>PWHA52S4900A005BA554</t>
  </si>
  <si>
    <t>28216-SA123</t>
  </si>
  <si>
    <t>S14L1794</t>
  </si>
  <si>
    <t>L72305</t>
  </si>
  <si>
    <t>S14L1795</t>
  </si>
  <si>
    <t>L72306</t>
  </si>
  <si>
    <t>PCABLU06C03Z101BA554</t>
  </si>
  <si>
    <t>28216-SA124</t>
  </si>
  <si>
    <t>S14L0859</t>
  </si>
  <si>
    <t>L69270</t>
  </si>
  <si>
    <t>S14L1339</t>
  </si>
  <si>
    <t>L70725</t>
  </si>
  <si>
    <t>PWHA22G1N00A101BA554</t>
  </si>
  <si>
    <t>A3</t>
  </si>
  <si>
    <t>28360-SN100</t>
  </si>
  <si>
    <t>S14L0827</t>
  </si>
  <si>
    <t>L69237</t>
  </si>
  <si>
    <t>S14L0819</t>
  </si>
  <si>
    <t>L69229</t>
  </si>
  <si>
    <t>S14L1784</t>
  </si>
  <si>
    <t>L72292</t>
  </si>
  <si>
    <t>S14L0839</t>
  </si>
  <si>
    <t>L69249</t>
  </si>
  <si>
    <t>S14L0853</t>
  </si>
  <si>
    <t>L69263</t>
  </si>
  <si>
    <t>S14L1230</t>
  </si>
  <si>
    <t>L70246</t>
  </si>
  <si>
    <t>XYZ-614</t>
  </si>
  <si>
    <t>EXPENSE</t>
  </si>
  <si>
    <t>L86209</t>
  </si>
  <si>
    <t>C107C</t>
  </si>
  <si>
    <t>A14I0121</t>
  </si>
  <si>
    <t>L40223</t>
  </si>
  <si>
    <t>25-70979-02R</t>
  </si>
  <si>
    <t>B2</t>
  </si>
  <si>
    <t>S14L2352</t>
  </si>
  <si>
    <t>L74390</t>
  </si>
  <si>
    <t>S14L2882</t>
  </si>
  <si>
    <t>L77649</t>
  </si>
  <si>
    <t>S14L2681</t>
  </si>
  <si>
    <t>L76739</t>
  </si>
  <si>
    <t>S14L2685</t>
  </si>
  <si>
    <t>L76743</t>
  </si>
  <si>
    <t>S14L2374</t>
  </si>
  <si>
    <t>L74414</t>
  </si>
  <si>
    <t>S14L2357</t>
  </si>
  <si>
    <t>L74395</t>
  </si>
  <si>
    <t>S14L2362</t>
  </si>
  <si>
    <t>L74400</t>
  </si>
  <si>
    <t>S14L2377</t>
  </si>
  <si>
    <t>L74417</t>
  </si>
  <si>
    <t>S14L2883</t>
  </si>
  <si>
    <t>L77650</t>
  </si>
  <si>
    <t>S14L2351</t>
  </si>
  <si>
    <t>L74389</t>
  </si>
  <si>
    <t>S14L2359</t>
  </si>
  <si>
    <t>L74397</t>
  </si>
  <si>
    <t>S14L2371</t>
  </si>
  <si>
    <t>L74411</t>
  </si>
  <si>
    <t>S14L2881</t>
  </si>
  <si>
    <t>L77648</t>
  </si>
  <si>
    <t>S14L2682</t>
  </si>
  <si>
    <t>L76740</t>
  </si>
  <si>
    <t>S14L2368</t>
  </si>
  <si>
    <t>L74407</t>
  </si>
  <si>
    <t>S14L2689</t>
  </si>
  <si>
    <t>L76747</t>
  </si>
  <si>
    <t>S14L2375</t>
  </si>
  <si>
    <t>L74415</t>
  </si>
  <si>
    <t>S14L2353</t>
  </si>
  <si>
    <t>L74391</t>
  </si>
  <si>
    <t>S14L2358</t>
  </si>
  <si>
    <t>L74396</t>
  </si>
  <si>
    <t>S14L2376</t>
  </si>
  <si>
    <t>L74416</t>
  </si>
  <si>
    <t>S14L2373</t>
  </si>
  <si>
    <t>L74413</t>
  </si>
  <si>
    <t>S14L2361</t>
  </si>
  <si>
    <t>L74399</t>
  </si>
  <si>
    <t>S14L2687</t>
  </si>
  <si>
    <t>L76745</t>
  </si>
  <si>
    <t>S14L2367</t>
  </si>
  <si>
    <t>L74405</t>
  </si>
  <si>
    <t>PWHAZ2SA900A00FBA554</t>
  </si>
  <si>
    <t>24012-SN262</t>
  </si>
  <si>
    <t>L74406</t>
  </si>
  <si>
    <t>S14L2366</t>
  </si>
  <si>
    <t>L74404</t>
  </si>
  <si>
    <t>PWHAZ2SA900A00HBA554</t>
  </si>
  <si>
    <t>24012-SN264</t>
  </si>
  <si>
    <t>S14L2365</t>
  </si>
  <si>
    <t>L74403</t>
  </si>
  <si>
    <t>PWHAZ2SA900A00JBA554</t>
  </si>
  <si>
    <t>24012-SN266</t>
  </si>
  <si>
    <t>S14L2354</t>
  </si>
  <si>
    <t>L74392</t>
  </si>
  <si>
    <t>S14L2688</t>
  </si>
  <si>
    <t>L76746</t>
  </si>
  <si>
    <t>S14L2378</t>
  </si>
  <si>
    <t>L74418</t>
  </si>
  <si>
    <t>S14L2690</t>
  </si>
  <si>
    <t>L76748</t>
  </si>
  <si>
    <t>A554E</t>
  </si>
  <si>
    <t>L74408</t>
  </si>
  <si>
    <t>S14L2364</t>
  </si>
  <si>
    <t>L74402</t>
  </si>
  <si>
    <t>S14L2356</t>
  </si>
  <si>
    <t>L74394</t>
  </si>
  <si>
    <t>S14L2372</t>
  </si>
  <si>
    <t>L74412</t>
  </si>
  <si>
    <t>S14L2363</t>
  </si>
  <si>
    <t>L74401</t>
  </si>
  <si>
    <t>S14L2880</t>
  </si>
  <si>
    <t>L77647</t>
  </si>
  <si>
    <t>S14L2683</t>
  </si>
  <si>
    <t>L76741</t>
  </si>
  <si>
    <t>S14L2505</t>
  </si>
  <si>
    <t>L75858</t>
  </si>
  <si>
    <t>S14L2510</t>
  </si>
  <si>
    <t>L75863</t>
  </si>
  <si>
    <t>S14L2889</t>
  </si>
  <si>
    <t>L77659</t>
  </si>
  <si>
    <t>S14L2506</t>
  </si>
  <si>
    <t>L75859</t>
  </si>
  <si>
    <t>S14L2509</t>
  </si>
  <si>
    <t>L75862</t>
  </si>
  <si>
    <t>S14L2507</t>
  </si>
  <si>
    <t>L75860</t>
  </si>
  <si>
    <t>S14L2508</t>
  </si>
  <si>
    <t>L75861</t>
  </si>
  <si>
    <t>PVAAN000000ZG07BA554</t>
  </si>
  <si>
    <t>2590A-SN300</t>
  </si>
  <si>
    <t>S14F0104</t>
  </si>
  <si>
    <t>L53254</t>
  </si>
  <si>
    <t>PWHAA2B5900A004BA554</t>
  </si>
  <si>
    <t>28216-MA123</t>
  </si>
  <si>
    <t>L75866</t>
  </si>
  <si>
    <t>S14D1222</t>
  </si>
  <si>
    <t>L51403</t>
  </si>
  <si>
    <t>L75864</t>
  </si>
  <si>
    <t>L75865</t>
  </si>
  <si>
    <t>S14L2888</t>
  </si>
  <si>
    <t>L77658</t>
  </si>
  <si>
    <t>S14L2887</t>
  </si>
  <si>
    <t>L77657</t>
  </si>
  <si>
    <t>S14L2350</t>
  </si>
  <si>
    <t>L74388</t>
  </si>
  <si>
    <t>S14L2686</t>
  </si>
  <si>
    <t>L76744</t>
  </si>
  <si>
    <t>S14L2370</t>
  </si>
  <si>
    <t>L74410</t>
  </si>
  <si>
    <t>S14L2684</t>
  </si>
  <si>
    <t>L76742</t>
  </si>
  <si>
    <t>S14L2879</t>
  </si>
  <si>
    <t>L77646</t>
  </si>
  <si>
    <t>1059709601</t>
  </si>
  <si>
    <t>58</t>
  </si>
  <si>
    <t>00</t>
  </si>
  <si>
    <t>1060943601</t>
  </si>
  <si>
    <t>1059229811</t>
  </si>
  <si>
    <t>1060537001</t>
  </si>
  <si>
    <t>1061360901</t>
  </si>
  <si>
    <t>1066538901</t>
  </si>
  <si>
    <t>1066131801</t>
  </si>
  <si>
    <t>1063874001</t>
  </si>
  <si>
    <t>1066539001</t>
  </si>
  <si>
    <t>1065310401</t>
  </si>
  <si>
    <t>1064300401</t>
  </si>
  <si>
    <t>1065713901</t>
  </si>
  <si>
    <t>1066131901</t>
  </si>
  <si>
    <t>1063402501</t>
  </si>
  <si>
    <t>1061361001</t>
  </si>
  <si>
    <t>1064728601</t>
  </si>
  <si>
    <t>1060536701</t>
  </si>
  <si>
    <t>1060943411</t>
  </si>
  <si>
    <t>1061361401</t>
  </si>
  <si>
    <t>1061803701</t>
  </si>
  <si>
    <t>1062265301</t>
  </si>
  <si>
    <t>1062953101</t>
  </si>
  <si>
    <t>1060943401</t>
  </si>
  <si>
    <t>1060536801</t>
  </si>
  <si>
    <t>1061361201</t>
  </si>
  <si>
    <t>1062265201</t>
  </si>
  <si>
    <t>1061803901</t>
  </si>
  <si>
    <t>1060943501</t>
  </si>
  <si>
    <t>1066132001</t>
  </si>
  <si>
    <t>1059709801</t>
  </si>
  <si>
    <t>1064300601</t>
  </si>
  <si>
    <t>1063874101</t>
  </si>
  <si>
    <t>1062953501</t>
  </si>
  <si>
    <t>1061803601</t>
  </si>
  <si>
    <t>1062265401</t>
  </si>
  <si>
    <t>1063402401</t>
  </si>
  <si>
    <t>1063402411</t>
  </si>
  <si>
    <t>1064728401</t>
  </si>
  <si>
    <t>1065310301</t>
  </si>
  <si>
    <t>1059709901</t>
  </si>
  <si>
    <t>1061361301</t>
  </si>
  <si>
    <t>1066132101</t>
  </si>
  <si>
    <t>1060536501</t>
  </si>
  <si>
    <t>1060536601</t>
  </si>
  <si>
    <t>1061804101</t>
  </si>
  <si>
    <t>1062953301</t>
  </si>
  <si>
    <t>1064728501</t>
  </si>
  <si>
    <t>1066132201</t>
  </si>
  <si>
    <t>1064300501</t>
  </si>
  <si>
    <t>1061804001</t>
  </si>
  <si>
    <t>1060943701</t>
  </si>
  <si>
    <t>1061361101</t>
  </si>
  <si>
    <t>1062953201</t>
  </si>
  <si>
    <t>1065310201</t>
  </si>
  <si>
    <t>1065714001</t>
  </si>
  <si>
    <t>1063402601</t>
  </si>
  <si>
    <t>1062265501</t>
  </si>
  <si>
    <t>1059710001</t>
  </si>
  <si>
    <t>1062265101</t>
  </si>
  <si>
    <t>1061361601</t>
  </si>
  <si>
    <t>1060537101</t>
  </si>
  <si>
    <t>1060943201</t>
  </si>
  <si>
    <t>1060943801</t>
  </si>
  <si>
    <t>1061360701</t>
  </si>
  <si>
    <t>1066132301</t>
  </si>
  <si>
    <t>1060536901</t>
  </si>
  <si>
    <t>1066539101</t>
  </si>
  <si>
    <t>1063874201</t>
  </si>
  <si>
    <t>1065310501</t>
  </si>
  <si>
    <t>1063874401</t>
  </si>
  <si>
    <t>10</t>
  </si>
  <si>
    <t>1062953401</t>
  </si>
  <si>
    <t>08</t>
  </si>
  <si>
    <t>1064728701</t>
  </si>
  <si>
    <t>1060004801</t>
  </si>
  <si>
    <t>1062541101</t>
  </si>
  <si>
    <t>1062541201</t>
  </si>
  <si>
    <t>03</t>
  </si>
  <si>
    <t>1060004901</t>
  </si>
  <si>
    <t>1053809301</t>
  </si>
  <si>
    <t>1063874301</t>
  </si>
  <si>
    <t>1060943301</t>
  </si>
  <si>
    <t>1059709701</t>
  </si>
  <si>
    <t>1065713801</t>
  </si>
  <si>
    <t>1061803401</t>
  </si>
  <si>
    <t>1062953601</t>
  </si>
  <si>
    <t>1000463511</t>
  </si>
  <si>
    <t>1000463601</t>
  </si>
  <si>
    <t>80</t>
  </si>
  <si>
    <t>1000463701</t>
  </si>
  <si>
    <t>1000463801</t>
  </si>
  <si>
    <t>29</t>
  </si>
  <si>
    <t>06</t>
  </si>
  <si>
    <t>1066981601</t>
  </si>
  <si>
    <t>1070613201</t>
  </si>
  <si>
    <t>1069077911</t>
  </si>
  <si>
    <t>1069350201</t>
  </si>
  <si>
    <t>1068608701</t>
  </si>
  <si>
    <t>1067614801</t>
  </si>
  <si>
    <t>1068111101</t>
  </si>
  <si>
    <t>1069077901</t>
  </si>
  <si>
    <t>1070613301</t>
  </si>
  <si>
    <t>1066981501</t>
  </si>
  <si>
    <t>1067615001</t>
  </si>
  <si>
    <t>1068608401</t>
  </si>
  <si>
    <t>1070613101</t>
  </si>
  <si>
    <t>1069349901</t>
  </si>
  <si>
    <t>1068111801</t>
  </si>
  <si>
    <t>1070215301</t>
  </si>
  <si>
    <t>1069077701</t>
  </si>
  <si>
    <t>1066981701</t>
  </si>
  <si>
    <t>1067614901</t>
  </si>
  <si>
    <t>1069077801</t>
  </si>
  <si>
    <t>1068608601</t>
  </si>
  <si>
    <t>1068111001</t>
  </si>
  <si>
    <t>1069350401</t>
  </si>
  <si>
    <t>1068111701</t>
  </si>
  <si>
    <t>12</t>
  </si>
  <si>
    <t>1068111601</t>
  </si>
  <si>
    <t>1068111501</t>
  </si>
  <si>
    <t>1066982001</t>
  </si>
  <si>
    <t>1069350501</t>
  </si>
  <si>
    <t>1069078001</t>
  </si>
  <si>
    <t>1070215401</t>
  </si>
  <si>
    <t>1068110801</t>
  </si>
  <si>
    <t>1068111401</t>
  </si>
  <si>
    <t>1067614501</t>
  </si>
  <si>
    <t>1068608501</t>
  </si>
  <si>
    <t>1068111301</t>
  </si>
  <si>
    <t>1070613001</t>
  </si>
  <si>
    <t>1069350001</t>
  </si>
  <si>
    <t>1066981801</t>
  </si>
  <si>
    <t>1069077601</t>
  </si>
  <si>
    <t>1070612901</t>
  </si>
  <si>
    <t>1067614701</t>
  </si>
  <si>
    <t>1068608101</t>
  </si>
  <si>
    <t>1068110701</t>
  </si>
  <si>
    <t>1068111201</t>
  </si>
  <si>
    <t>1066981901</t>
  </si>
  <si>
    <t>1068608301</t>
  </si>
  <si>
    <t>1069078101</t>
  </si>
  <si>
    <t>1067614601</t>
  </si>
  <si>
    <t>1068110901</t>
  </si>
  <si>
    <t>1067250901</t>
  </si>
  <si>
    <t>1067250801</t>
  </si>
  <si>
    <t>1066981401</t>
  </si>
  <si>
    <t>1069350301</t>
  </si>
  <si>
    <t>1068608201</t>
  </si>
  <si>
    <t>1069350101</t>
  </si>
  <si>
    <t>1070612801</t>
  </si>
  <si>
    <t>客戶代號</t>
    <phoneticPr fontId="3" type="noConversion"/>
  </si>
  <si>
    <t>S訂單</t>
    <phoneticPr fontId="3" type="noConversion"/>
  </si>
  <si>
    <t>批號</t>
    <phoneticPr fontId="3" type="noConversion"/>
  </si>
  <si>
    <t>版本</t>
    <phoneticPr fontId="3" type="noConversion"/>
  </si>
  <si>
    <t>處理代號</t>
    <phoneticPr fontId="3" type="noConversion"/>
  </si>
  <si>
    <t>數量</t>
    <phoneticPr fontId="3" type="noConversion"/>
  </si>
  <si>
    <t>單價</t>
    <phoneticPr fontId="3" type="noConversion"/>
  </si>
  <si>
    <t>料號</t>
    <phoneticPr fontId="3" type="noConversion"/>
  </si>
  <si>
    <t>客戶料號</t>
    <phoneticPr fontId="3" type="noConversion"/>
  </si>
  <si>
    <t>原客戶PO</t>
    <phoneticPr fontId="3" type="noConversion"/>
  </si>
  <si>
    <t>序號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</si>
</sst>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新細明體"/>
      <family val="2"/>
      <scheme val="minor"/>
    </font>
    <font>
      <sz val="11"/>
      <color theme="1"/>
      <name val="新細明體"/>
      <family val="1"/>
      <charset val="136"/>
    </font>
    <font>
      <sz val="11"/>
      <color theme="1"/>
      <name val="Times New Roman"/>
      <family val="1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2"/>
      <scheme val="minor"/>
    </font>
    <font>
      <sz val="11"/>
      <color theme="1"/>
      <name val="新細明體"/>
      <family val="1"/>
      <charset val="136"/>
      <scheme val="minor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1"/>
      <color rgb="FF000000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2" fillId="2" borderId="0" xfId="0" applyFont="1" applyFill="1" applyAlignment="1">
      <alignment vertical="center"/>
    </xf>
    <xf numFmtId="0" fontId="0" fillId="2" borderId="0" xfId="0" applyFill="1"/>
    <xf numFmtId="49" fontId="0" fillId="2" borderId="0" xfId="0" applyNumberFormat="1" applyFill="1" applyAlignment="1">
      <alignment horizontal="center"/>
    </xf>
    <xf numFmtId="49" fontId="0" fillId="3" borderId="0" xfId="0" applyNumberFormat="1" applyFill="1" applyAlignment="1">
      <alignment horizontal="center"/>
    </xf>
    <xf numFmtId="0" fontId="4" fillId="0" borderId="0" xfId="0" applyFont="1"/>
    <xf numFmtId="0" fontId="0" fillId="0" borderId="0" xfId="0" applyFont="1"/>
    <xf numFmtId="0" fontId="1" fillId="0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vertical="center"/>
    </xf>
    <xf numFmtId="0" fontId="4" fillId="4" borderId="0" xfId="0" applyFont="1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49" fontId="0" fillId="0" borderId="0" xfId="0" applyNumberFormat="1" applyFont="1"/>
    <xf numFmtId="49" fontId="0" fillId="0" borderId="0" xfId="0" applyNumberFormat="1"/>
    <xf numFmtId="0" fontId="0" fillId="6" borderId="0" xfId="0" applyFill="1"/>
    <xf numFmtId="49" fontId="0" fillId="6" borderId="0" xfId="0" applyNumberFormat="1" applyFill="1"/>
    <xf numFmtId="0" fontId="4" fillId="7" borderId="0" xfId="0" applyFont="1" applyFill="1"/>
    <xf numFmtId="49" fontId="4" fillId="7" borderId="0" xfId="0" applyNumberFormat="1" applyFon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0</xdr:row>
          <xdr:rowOff>19050</xdr:rowOff>
        </xdr:from>
        <xdr:to>
          <xdr:col>14</xdr:col>
          <xdr:colOff>762000</xdr:colOff>
          <xdr:row>0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讀取對帳單資料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B2"/>
  <sheetViews>
    <sheetView workbookViewId="0">
      <selection activeCell="B2" sqref="B2"/>
    </sheetView>
  </sheetViews>
  <sheetFormatPr defaultRowHeight="16.5" x14ac:dyDescent="0.25"/>
  <cols>
    <col min="1" max="1" width="11" customWidth="1"/>
    <col min="2" max="2" width="37.125" customWidth="1"/>
  </cols>
  <sheetData>
    <row r="1" spans="1:2" x14ac:dyDescent="0.25">
      <c r="A1" t="s">
        <v>65</v>
      </c>
      <c r="B1" t="s">
        <v>67</v>
      </c>
    </row>
    <row r="2" spans="1:2" x14ac:dyDescent="0.25">
      <c r="A2" t="s">
        <v>66</v>
      </c>
      <c r="B2" t="s">
        <v>68</v>
      </c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pageSetUpPr fitToPage="1"/>
  </sheetPr>
  <dimension ref="A1:M33"/>
  <sheetViews>
    <sheetView workbookViewId="0">
      <selection activeCell="N11" sqref="N11"/>
    </sheetView>
  </sheetViews>
  <sheetFormatPr defaultRowHeight="16.5" x14ac:dyDescent="0.25"/>
  <cols>
    <col min="1" max="1" width="23.75" customWidth="1"/>
    <col min="2" max="2" width="5.875" hidden="1" customWidth="1"/>
    <col min="3" max="3" width="16.125" bestFit="1" customWidth="1"/>
    <col min="7" max="7" width="9" style="3"/>
    <col min="8" max="8" width="7.125" style="3" customWidth="1"/>
    <col min="9" max="9" width="7.5" style="12" customWidth="1"/>
    <col min="10" max="10" width="7" hidden="1" customWidth="1"/>
    <col min="11" max="11" width="7.125" hidden="1" customWidth="1"/>
    <col min="12" max="12" width="27.625" customWidth="1"/>
    <col min="13" max="13" width="29.125" customWidth="1"/>
  </cols>
  <sheetData>
    <row r="1" spans="1:13" x14ac:dyDescent="0.25">
      <c r="C1" t="s">
        <v>59</v>
      </c>
      <c r="D1" t="s">
        <v>60</v>
      </c>
      <c r="E1" t="s">
        <v>61</v>
      </c>
      <c r="F1" t="s">
        <v>62</v>
      </c>
      <c r="G1" s="3" t="s">
        <v>63</v>
      </c>
      <c r="H1" s="3" t="s">
        <v>98</v>
      </c>
      <c r="I1" s="12" t="s">
        <v>99</v>
      </c>
    </row>
    <row r="2" spans="1:13" x14ac:dyDescent="0.25">
      <c r="A2" s="1" t="s">
        <v>5</v>
      </c>
      <c r="B2" s="1" t="s">
        <v>69</v>
      </c>
      <c r="C2" t="s">
        <v>6</v>
      </c>
      <c r="D2">
        <v>1</v>
      </c>
      <c r="E2">
        <v>1</v>
      </c>
      <c r="F2">
        <f>E2-D2+1</f>
        <v>1</v>
      </c>
      <c r="G2" s="7">
        <v>1</v>
      </c>
      <c r="H2" s="12">
        <v>1</v>
      </c>
      <c r="I2" s="19">
        <v>1</v>
      </c>
      <c r="J2" t="str">
        <f>"Dim " &amp; B2 &amp; " as string"</f>
        <v>Dim tag as string</v>
      </c>
      <c r="K2" t="str">
        <f>B2 &amp; " = " &amp; "Mid(InputStr, " &amp; D2 &amp; ", " &amp; F2 &amp; ")"</f>
        <v>tag = Mid(InputStr, 1, 1)</v>
      </c>
      <c r="L2" t="str">
        <f>"strAry(" &amp; I2 &amp; ") = " &amp; "Mid(pStr, " &amp; D2 &amp; ", " &amp; F2 &amp; ")"</f>
        <v>strAry(1) = Mid(pStr, 1, 1)</v>
      </c>
      <c r="M2" t="str">
        <f>"Cells(pPos, " &amp; H2 &amp; ")=strAry(" &amp; I2 &amp; ")"</f>
        <v>Cells(pPos, 1)=strAry(1)</v>
      </c>
    </row>
    <row r="3" spans="1:13" x14ac:dyDescent="0.25">
      <c r="A3" s="1" t="s">
        <v>7</v>
      </c>
      <c r="B3" s="1" t="s">
        <v>70</v>
      </c>
      <c r="C3" t="s">
        <v>8</v>
      </c>
      <c r="D3">
        <v>11</v>
      </c>
      <c r="E3">
        <v>15</v>
      </c>
      <c r="F3">
        <f t="shared" ref="F3:F30" si="0">E3-D3+1</f>
        <v>5</v>
      </c>
      <c r="H3" s="12">
        <v>2</v>
      </c>
      <c r="I3" s="19">
        <v>2</v>
      </c>
      <c r="J3" t="str">
        <f t="shared" ref="J3:J30" si="1">"Dim " &amp; B3 &amp; " as string"</f>
        <v>Dim CuNo as string</v>
      </c>
      <c r="K3" t="str">
        <f t="shared" ref="K3:K30" si="2">B3 &amp; " = " &amp; "Mid(InputStr, " &amp; D3 &amp; ", " &amp; F3 &amp; ")"</f>
        <v>CuNo = Mid(InputStr, 11, 5)</v>
      </c>
      <c r="L3" t="str">
        <f t="shared" ref="L3:L30" si="3">"strAry(" &amp; I3 &amp; ") = " &amp; "Mid(pStr, " &amp; D3 &amp; ", " &amp; F3 &amp; ")"</f>
        <v>strAry(2) = Mid(pStr, 11, 5)</v>
      </c>
      <c r="M3" t="str">
        <f t="shared" ref="M3:M30" si="4">"Cells(pPos, " &amp; H3 &amp; ")=strAry(" &amp; I3 &amp; ")"</f>
        <v>Cells(pPos, 2)=strAry(2)</v>
      </c>
    </row>
    <row r="4" spans="1:13" x14ac:dyDescent="0.25">
      <c r="A4" s="1" t="s">
        <v>9</v>
      </c>
      <c r="B4" s="1" t="s">
        <v>71</v>
      </c>
      <c r="C4" t="s">
        <v>10</v>
      </c>
      <c r="D4">
        <v>16</v>
      </c>
      <c r="E4">
        <v>21</v>
      </c>
      <c r="F4">
        <f t="shared" si="0"/>
        <v>6</v>
      </c>
      <c r="H4" s="12">
        <v>3</v>
      </c>
      <c r="I4" s="19">
        <v>3</v>
      </c>
      <c r="J4" t="str">
        <f t="shared" si="1"/>
        <v>Dim AccBd as string</v>
      </c>
      <c r="K4" t="str">
        <f t="shared" si="2"/>
        <v>AccBd = Mid(InputStr, 16, 6)</v>
      </c>
      <c r="L4" t="str">
        <f t="shared" si="3"/>
        <v>strAry(3) = Mid(pStr, 16, 6)</v>
      </c>
      <c r="M4" t="str">
        <f t="shared" si="4"/>
        <v>Cells(pPos, 3)=strAry(3)</v>
      </c>
    </row>
    <row r="5" spans="1:13" x14ac:dyDescent="0.25">
      <c r="B5" s="1" t="s">
        <v>72</v>
      </c>
      <c r="C5" t="s">
        <v>11</v>
      </c>
      <c r="D5">
        <v>22</v>
      </c>
      <c r="E5">
        <v>27</v>
      </c>
      <c r="F5">
        <f t="shared" si="0"/>
        <v>6</v>
      </c>
      <c r="H5" s="12">
        <v>4</v>
      </c>
      <c r="I5" s="19">
        <v>4</v>
      </c>
      <c r="J5" t="str">
        <f t="shared" si="1"/>
        <v>Dim AccEd as string</v>
      </c>
      <c r="K5" t="str">
        <f t="shared" si="2"/>
        <v>AccEd = Mid(InputStr, 22, 6)</v>
      </c>
      <c r="L5" t="str">
        <f t="shared" si="3"/>
        <v>strAry(4) = Mid(pStr, 22, 6)</v>
      </c>
      <c r="M5" t="str">
        <f t="shared" si="4"/>
        <v>Cells(pPos, 4)=strAry(4)</v>
      </c>
    </row>
    <row r="6" spans="1:13" x14ac:dyDescent="0.25">
      <c r="A6" s="1" t="s">
        <v>12</v>
      </c>
      <c r="B6" s="1" t="s">
        <v>69</v>
      </c>
      <c r="C6" t="s">
        <v>13</v>
      </c>
      <c r="D6">
        <v>1</v>
      </c>
      <c r="E6">
        <v>1</v>
      </c>
      <c r="F6">
        <f t="shared" si="0"/>
        <v>1</v>
      </c>
      <c r="G6" s="7">
        <v>2</v>
      </c>
      <c r="H6" s="12">
        <v>5</v>
      </c>
      <c r="I6" s="12">
        <v>1</v>
      </c>
      <c r="J6" t="str">
        <f t="shared" si="1"/>
        <v>Dim tag as string</v>
      </c>
      <c r="K6" t="str">
        <f t="shared" si="2"/>
        <v>tag = Mid(InputStr, 1, 1)</v>
      </c>
      <c r="L6" t="str">
        <f t="shared" si="3"/>
        <v>strAry(1) = Mid(pStr, 1, 1)</v>
      </c>
      <c r="M6" t="str">
        <f t="shared" si="4"/>
        <v>Cells(pPos, 5)=strAry(1)</v>
      </c>
    </row>
    <row r="7" spans="1:13" x14ac:dyDescent="0.25">
      <c r="A7" s="1" t="s">
        <v>14</v>
      </c>
      <c r="B7" s="1" t="s">
        <v>73</v>
      </c>
      <c r="C7" t="s">
        <v>15</v>
      </c>
      <c r="D7">
        <v>2</v>
      </c>
      <c r="E7">
        <v>8</v>
      </c>
      <c r="F7">
        <f t="shared" si="0"/>
        <v>7</v>
      </c>
      <c r="H7" s="12">
        <v>6</v>
      </c>
      <c r="I7" s="12">
        <v>2</v>
      </c>
      <c r="J7" t="str">
        <f t="shared" si="1"/>
        <v>Dim ListNo as string</v>
      </c>
      <c r="K7" t="str">
        <f t="shared" si="2"/>
        <v>ListNo = Mid(InputStr, 2, 7)</v>
      </c>
      <c r="L7" t="str">
        <f t="shared" si="3"/>
        <v>strAry(2) = Mid(pStr, 2, 7)</v>
      </c>
      <c r="M7" t="str">
        <f t="shared" si="4"/>
        <v>Cells(pPos, 6)=strAry(2)</v>
      </c>
    </row>
    <row r="8" spans="1:13" x14ac:dyDescent="0.25">
      <c r="A8" s="1" t="s">
        <v>16</v>
      </c>
      <c r="B8" s="1" t="s">
        <v>74</v>
      </c>
      <c r="C8" t="s">
        <v>17</v>
      </c>
      <c r="D8">
        <v>9</v>
      </c>
      <c r="E8">
        <v>10</v>
      </c>
      <c r="F8">
        <f t="shared" si="0"/>
        <v>2</v>
      </c>
      <c r="H8" s="12">
        <v>7</v>
      </c>
      <c r="I8" s="12">
        <v>3</v>
      </c>
      <c r="J8" t="str">
        <f t="shared" si="1"/>
        <v>Dim ListSeq as string</v>
      </c>
      <c r="K8" t="str">
        <f t="shared" si="2"/>
        <v>ListSeq = Mid(InputStr, 9, 2)</v>
      </c>
      <c r="L8" t="str">
        <f t="shared" si="3"/>
        <v>strAry(3) = Mid(pStr, 9, 2)</v>
      </c>
      <c r="M8" t="str">
        <f t="shared" si="4"/>
        <v>Cells(pPos, 7)=strAry(3)</v>
      </c>
    </row>
    <row r="9" spans="1:13" x14ac:dyDescent="0.25">
      <c r="A9" s="1" t="s">
        <v>18</v>
      </c>
      <c r="B9" s="1" t="s">
        <v>75</v>
      </c>
      <c r="C9" t="s">
        <v>19</v>
      </c>
      <c r="D9">
        <v>11</v>
      </c>
      <c r="E9">
        <v>12</v>
      </c>
      <c r="F9">
        <f t="shared" si="0"/>
        <v>2</v>
      </c>
      <c r="G9" s="3" t="s">
        <v>20</v>
      </c>
      <c r="H9" s="12">
        <v>8</v>
      </c>
      <c r="I9" s="12">
        <v>4</v>
      </c>
      <c r="J9" t="str">
        <f t="shared" si="1"/>
        <v>Dim ListType as string</v>
      </c>
      <c r="K9" t="str">
        <f t="shared" si="2"/>
        <v>ListType = Mid(InputStr, 11, 2)</v>
      </c>
      <c r="L9" t="str">
        <f t="shared" si="3"/>
        <v>strAry(4) = Mid(pStr, 11, 2)</v>
      </c>
      <c r="M9" t="str">
        <f t="shared" si="4"/>
        <v>Cells(pPos, 8)=strAry(4)</v>
      </c>
    </row>
    <row r="10" spans="1:13" x14ac:dyDescent="0.25">
      <c r="A10" s="1" t="s">
        <v>21</v>
      </c>
      <c r="B10" s="1" t="s">
        <v>76</v>
      </c>
      <c r="C10" t="s">
        <v>22</v>
      </c>
      <c r="D10">
        <v>13</v>
      </c>
      <c r="E10">
        <v>19</v>
      </c>
      <c r="F10">
        <f t="shared" si="0"/>
        <v>7</v>
      </c>
      <c r="H10" s="12">
        <v>9</v>
      </c>
      <c r="I10" s="12">
        <v>5</v>
      </c>
      <c r="J10" t="str">
        <f t="shared" si="1"/>
        <v>Dim Contract as string</v>
      </c>
      <c r="K10" t="str">
        <f t="shared" si="2"/>
        <v>Contract = Mid(InputStr, 13, 7)</v>
      </c>
      <c r="L10" t="str">
        <f t="shared" si="3"/>
        <v>strAry(5) = Mid(pStr, 13, 7)</v>
      </c>
      <c r="M10" t="str">
        <f t="shared" si="4"/>
        <v>Cells(pPos, 9)=strAry(5)</v>
      </c>
    </row>
    <row r="11" spans="1:13" x14ac:dyDescent="0.25">
      <c r="A11" s="1" t="s">
        <v>23</v>
      </c>
      <c r="B11" s="1" t="s">
        <v>77</v>
      </c>
      <c r="C11" t="s">
        <v>45</v>
      </c>
      <c r="D11">
        <v>20</v>
      </c>
      <c r="E11">
        <v>29</v>
      </c>
      <c r="F11">
        <f t="shared" si="0"/>
        <v>10</v>
      </c>
      <c r="H11" s="12">
        <v>10</v>
      </c>
      <c r="I11" s="12">
        <v>6</v>
      </c>
      <c r="J11" t="str">
        <f t="shared" si="1"/>
        <v>Dim ShipNote as string</v>
      </c>
      <c r="K11" t="str">
        <f t="shared" si="2"/>
        <v>ShipNote = Mid(InputStr, 20, 10)</v>
      </c>
      <c r="L11" t="str">
        <f t="shared" si="3"/>
        <v>strAry(6) = Mid(pStr, 20, 10)</v>
      </c>
      <c r="M11" t="str">
        <f t="shared" si="4"/>
        <v>Cells(pPos, 10)=strAry(6)</v>
      </c>
    </row>
    <row r="12" spans="1:13" x14ac:dyDescent="0.25">
      <c r="A12" s="1" t="s">
        <v>24</v>
      </c>
      <c r="B12" s="1" t="s">
        <v>78</v>
      </c>
      <c r="C12" t="s">
        <v>25</v>
      </c>
      <c r="D12">
        <v>30</v>
      </c>
      <c r="E12">
        <v>31</v>
      </c>
      <c r="F12">
        <f t="shared" si="0"/>
        <v>2</v>
      </c>
      <c r="G12" s="3" t="s">
        <v>48</v>
      </c>
      <c r="H12" s="12">
        <v>11</v>
      </c>
      <c r="I12" s="12">
        <v>7</v>
      </c>
      <c r="J12" t="str">
        <f t="shared" si="1"/>
        <v>Dim Class as string</v>
      </c>
      <c r="K12" t="str">
        <f t="shared" si="2"/>
        <v>Class = Mid(InputStr, 30, 2)</v>
      </c>
      <c r="L12" t="str">
        <f t="shared" si="3"/>
        <v>strAry(7) = Mid(pStr, 30, 2)</v>
      </c>
      <c r="M12" t="str">
        <f t="shared" si="4"/>
        <v>Cells(pPos, 11)=strAry(7)</v>
      </c>
    </row>
    <row r="13" spans="1:13" x14ac:dyDescent="0.25">
      <c r="A13" s="1" t="s">
        <v>26</v>
      </c>
      <c r="B13" s="1" t="s">
        <v>97</v>
      </c>
      <c r="C13" t="s">
        <v>64</v>
      </c>
      <c r="D13">
        <v>32</v>
      </c>
      <c r="E13">
        <v>41</v>
      </c>
      <c r="F13">
        <f t="shared" si="0"/>
        <v>10</v>
      </c>
      <c r="H13" s="12">
        <v>12</v>
      </c>
      <c r="I13" s="12">
        <v>8</v>
      </c>
      <c r="J13" t="str">
        <f t="shared" si="1"/>
        <v>Dim OrgElNo as string</v>
      </c>
      <c r="K13" t="str">
        <f t="shared" si="2"/>
        <v>OrgElNo = Mid(InputStr, 32, 10)</v>
      </c>
      <c r="L13" t="str">
        <f t="shared" si="3"/>
        <v>strAry(8) = Mid(pStr, 32, 10)</v>
      </c>
      <c r="M13" t="str">
        <f t="shared" si="4"/>
        <v>Cells(pPos, 12)=strAry(8)</v>
      </c>
    </row>
    <row r="14" spans="1:13" x14ac:dyDescent="0.25">
      <c r="A14" s="1" t="s">
        <v>51</v>
      </c>
      <c r="B14" s="1" t="s">
        <v>80</v>
      </c>
      <c r="C14" t="s">
        <v>52</v>
      </c>
      <c r="D14">
        <v>42</v>
      </c>
      <c r="E14">
        <v>42</v>
      </c>
      <c r="F14">
        <f>E14-D14+1</f>
        <v>1</v>
      </c>
      <c r="G14" s="3" t="s">
        <v>49</v>
      </c>
      <c r="H14" s="12">
        <v>13</v>
      </c>
      <c r="I14" s="12">
        <v>10</v>
      </c>
      <c r="J14" t="str">
        <f t="shared" si="1"/>
        <v>Dim Quality as string</v>
      </c>
      <c r="K14" t="str">
        <f t="shared" si="2"/>
        <v>Quality = Mid(InputStr, 42, 1)</v>
      </c>
      <c r="L14" t="str">
        <f t="shared" si="3"/>
        <v>strAry(10) = Mid(pStr, 42, 1)</v>
      </c>
      <c r="M14" t="str">
        <f t="shared" si="4"/>
        <v>Cells(pPos, 13)=strAry(10)</v>
      </c>
    </row>
    <row r="15" spans="1:13" x14ac:dyDescent="0.25">
      <c r="A15" s="1" t="s">
        <v>27</v>
      </c>
      <c r="B15" s="1" t="s">
        <v>81</v>
      </c>
      <c r="C15" t="s">
        <v>28</v>
      </c>
      <c r="D15">
        <v>43</v>
      </c>
      <c r="E15">
        <v>51</v>
      </c>
      <c r="F15">
        <f t="shared" si="0"/>
        <v>9</v>
      </c>
      <c r="H15" s="12">
        <v>14</v>
      </c>
      <c r="I15" s="12">
        <v>11</v>
      </c>
      <c r="J15" t="str">
        <f t="shared" si="1"/>
        <v>Dim Qty as string</v>
      </c>
      <c r="K15" t="str">
        <f t="shared" si="2"/>
        <v>Qty = Mid(InputStr, 43, 9)</v>
      </c>
      <c r="L15" t="str">
        <f t="shared" si="3"/>
        <v>strAry(11) = Mid(pStr, 43, 9)</v>
      </c>
      <c r="M15" t="str">
        <f t="shared" si="4"/>
        <v>Cells(pPos, 14)=strAry(11)</v>
      </c>
    </row>
    <row r="16" spans="1:13" x14ac:dyDescent="0.25">
      <c r="A16" s="10"/>
      <c r="B16" s="10" t="s">
        <v>82</v>
      </c>
      <c r="C16" t="s">
        <v>50</v>
      </c>
      <c r="D16">
        <v>52</v>
      </c>
      <c r="E16">
        <v>60</v>
      </c>
      <c r="F16">
        <f t="shared" si="0"/>
        <v>9</v>
      </c>
      <c r="H16" s="12">
        <v>15</v>
      </c>
      <c r="I16" s="12">
        <v>12</v>
      </c>
      <c r="J16" t="str">
        <f t="shared" si="1"/>
        <v>Dim QtyOK as string</v>
      </c>
      <c r="K16" t="str">
        <f t="shared" si="2"/>
        <v>QtyOK = Mid(InputStr, 52, 9)</v>
      </c>
      <c r="L16" t="str">
        <f t="shared" si="3"/>
        <v>strAry(12) = Mid(pStr, 52, 9)</v>
      </c>
      <c r="M16" t="str">
        <f t="shared" si="4"/>
        <v>Cells(pPos, 15)=strAry(12)</v>
      </c>
    </row>
    <row r="17" spans="1:13" x14ac:dyDescent="0.25">
      <c r="A17" s="1" t="s">
        <v>29</v>
      </c>
      <c r="B17" s="1" t="s">
        <v>83</v>
      </c>
      <c r="C17" t="s">
        <v>30</v>
      </c>
      <c r="D17">
        <v>61</v>
      </c>
      <c r="E17">
        <v>63</v>
      </c>
      <c r="F17">
        <f t="shared" si="0"/>
        <v>3</v>
      </c>
      <c r="H17" s="12">
        <v>16</v>
      </c>
      <c r="I17" s="12">
        <v>13</v>
      </c>
      <c r="J17" t="str">
        <f t="shared" si="1"/>
        <v>Dim Unit as string</v>
      </c>
      <c r="K17" t="str">
        <f t="shared" si="2"/>
        <v>Unit = Mid(InputStr, 61, 3)</v>
      </c>
      <c r="L17" t="str">
        <f t="shared" si="3"/>
        <v>strAry(13) = Mid(pStr, 61, 3)</v>
      </c>
      <c r="M17" t="str">
        <f t="shared" si="4"/>
        <v>Cells(pPos, 16)=strAry(13)</v>
      </c>
    </row>
    <row r="18" spans="1:13" x14ac:dyDescent="0.25">
      <c r="A18" s="1" t="s">
        <v>47</v>
      </c>
      <c r="B18" s="1" t="s">
        <v>84</v>
      </c>
      <c r="C18" t="s">
        <v>53</v>
      </c>
      <c r="D18">
        <v>64</v>
      </c>
      <c r="E18">
        <v>75</v>
      </c>
      <c r="F18">
        <f t="shared" si="0"/>
        <v>12</v>
      </c>
      <c r="H18" s="12">
        <v>17</v>
      </c>
      <c r="I18" s="12">
        <v>14</v>
      </c>
      <c r="J18" t="str">
        <f t="shared" si="1"/>
        <v>Dim Price as string</v>
      </c>
      <c r="K18" t="str">
        <f t="shared" si="2"/>
        <v>Price = Mid(InputStr, 64, 12)</v>
      </c>
      <c r="L18" t="str">
        <f t="shared" si="3"/>
        <v>strAry(14) = Mid(pStr, 64, 12)</v>
      </c>
      <c r="M18" t="str">
        <f t="shared" si="4"/>
        <v>Cells(pPos, 17)=strAry(14)</v>
      </c>
    </row>
    <row r="19" spans="1:13" x14ac:dyDescent="0.25">
      <c r="A19" s="1" t="s">
        <v>1</v>
      </c>
      <c r="B19" s="1" t="s">
        <v>86</v>
      </c>
      <c r="C19" t="s">
        <v>34</v>
      </c>
      <c r="D19">
        <v>76</v>
      </c>
      <c r="E19">
        <v>84</v>
      </c>
      <c r="F19">
        <f t="shared" si="0"/>
        <v>9</v>
      </c>
      <c r="H19" s="12">
        <v>18</v>
      </c>
      <c r="I19" s="12">
        <v>15</v>
      </c>
      <c r="J19" t="str">
        <f t="shared" si="1"/>
        <v>Dim Amt00 as string</v>
      </c>
      <c r="K19" t="str">
        <f t="shared" si="2"/>
        <v>Amt00 = Mid(InputStr, 76, 9)</v>
      </c>
      <c r="L19" t="str">
        <f t="shared" si="3"/>
        <v>strAry(15) = Mid(pStr, 76, 9)</v>
      </c>
      <c r="M19" t="str">
        <f t="shared" si="4"/>
        <v>Cells(pPos, 18)=strAry(15)</v>
      </c>
    </row>
    <row r="20" spans="1:13" x14ac:dyDescent="0.25">
      <c r="A20" s="1" t="s">
        <v>54</v>
      </c>
      <c r="B20" s="1" t="s">
        <v>85</v>
      </c>
      <c r="C20" t="s">
        <v>55</v>
      </c>
      <c r="D20">
        <v>85</v>
      </c>
      <c r="E20">
        <v>92</v>
      </c>
      <c r="F20">
        <f t="shared" si="0"/>
        <v>8</v>
      </c>
      <c r="H20" s="12">
        <v>19</v>
      </c>
      <c r="I20" s="12">
        <v>16</v>
      </c>
      <c r="J20" t="str">
        <f t="shared" si="1"/>
        <v>Dim DevD as string</v>
      </c>
      <c r="K20" t="str">
        <f t="shared" si="2"/>
        <v>DevD = Mid(InputStr, 85, 8)</v>
      </c>
      <c r="L20" t="str">
        <f t="shared" si="3"/>
        <v>strAry(16) = Mid(pStr, 85, 8)</v>
      </c>
      <c r="M20" t="str">
        <f t="shared" si="4"/>
        <v>Cells(pPos, 19)=strAry(16)</v>
      </c>
    </row>
    <row r="21" spans="1:13" x14ac:dyDescent="0.25">
      <c r="A21" s="2" t="s">
        <v>2</v>
      </c>
      <c r="B21" s="11" t="s">
        <v>93</v>
      </c>
      <c r="C21" t="s">
        <v>36</v>
      </c>
      <c r="D21">
        <v>93</v>
      </c>
      <c r="E21">
        <v>101</v>
      </c>
      <c r="F21">
        <f t="shared" si="0"/>
        <v>9</v>
      </c>
      <c r="H21" s="12">
        <v>20</v>
      </c>
      <c r="I21" s="12">
        <v>17</v>
      </c>
      <c r="J21" t="str">
        <f t="shared" si="1"/>
        <v>Dim KouKan01 as string</v>
      </c>
      <c r="K21" t="str">
        <f t="shared" si="2"/>
        <v>KouKan01 = Mid(InputStr, 93, 9)</v>
      </c>
      <c r="L21" t="str">
        <f t="shared" si="3"/>
        <v>strAry(17) = Mid(pStr, 93, 9)</v>
      </c>
      <c r="M21" t="str">
        <f t="shared" si="4"/>
        <v>Cells(pPos, 20)=strAry(17)</v>
      </c>
    </row>
    <row r="22" spans="1:13" x14ac:dyDescent="0.25">
      <c r="A22" s="1" t="s">
        <v>3</v>
      </c>
      <c r="B22" s="1" t="s">
        <v>94</v>
      </c>
      <c r="C22" t="s">
        <v>38</v>
      </c>
      <c r="D22">
        <v>102</v>
      </c>
      <c r="E22">
        <v>110</v>
      </c>
      <c r="F22">
        <f t="shared" si="0"/>
        <v>9</v>
      </c>
      <c r="H22" s="12">
        <v>21</v>
      </c>
      <c r="I22" s="12">
        <v>18</v>
      </c>
      <c r="J22" t="str">
        <f t="shared" si="1"/>
        <v>Dim KouKan02 as string</v>
      </c>
      <c r="K22" t="str">
        <f t="shared" si="2"/>
        <v>KouKan02 = Mid(InputStr, 102, 9)</v>
      </c>
      <c r="L22" t="str">
        <f t="shared" si="3"/>
        <v>strAry(18) = Mid(pStr, 102, 9)</v>
      </c>
      <c r="M22" t="str">
        <f t="shared" si="4"/>
        <v>Cells(pPos, 21)=strAry(18)</v>
      </c>
    </row>
    <row r="23" spans="1:13" x14ac:dyDescent="0.25">
      <c r="A23" s="1" t="s">
        <v>4</v>
      </c>
      <c r="B23" s="1" t="s">
        <v>87</v>
      </c>
      <c r="C23" t="s">
        <v>40</v>
      </c>
      <c r="D23">
        <v>111</v>
      </c>
      <c r="E23">
        <v>119</v>
      </c>
      <c r="F23">
        <f t="shared" si="0"/>
        <v>9</v>
      </c>
      <c r="H23" s="12">
        <v>22</v>
      </c>
      <c r="I23" s="12">
        <v>19</v>
      </c>
      <c r="J23" t="str">
        <f t="shared" si="1"/>
        <v>Dim Amt01 as string</v>
      </c>
      <c r="K23" t="str">
        <f t="shared" si="2"/>
        <v>Amt01 = Mid(InputStr, 111, 9)</v>
      </c>
      <c r="L23" t="str">
        <f t="shared" si="3"/>
        <v>strAry(19) = Mid(pStr, 111, 9)</v>
      </c>
      <c r="M23" t="str">
        <f t="shared" si="4"/>
        <v>Cells(pPos, 22)=strAry(19)</v>
      </c>
    </row>
    <row r="24" spans="1:13" x14ac:dyDescent="0.25">
      <c r="A24" s="1" t="s">
        <v>41</v>
      </c>
      <c r="B24" s="1" t="s">
        <v>89</v>
      </c>
      <c r="C24" t="s">
        <v>42</v>
      </c>
      <c r="D24">
        <v>121</v>
      </c>
      <c r="E24">
        <v>121</v>
      </c>
      <c r="F24">
        <f t="shared" si="0"/>
        <v>1</v>
      </c>
      <c r="G24" s="3" t="s">
        <v>56</v>
      </c>
      <c r="H24" s="12">
        <v>23</v>
      </c>
      <c r="I24" s="12">
        <v>21</v>
      </c>
      <c r="J24" t="str">
        <f t="shared" si="1"/>
        <v>Dim Check as string</v>
      </c>
      <c r="K24" t="str">
        <f t="shared" si="2"/>
        <v>Check = Mid(InputStr, 121, 1)</v>
      </c>
      <c r="L24" t="str">
        <f t="shared" si="3"/>
        <v>strAry(21) = Mid(pStr, 121, 1)</v>
      </c>
      <c r="M24" t="str">
        <f t="shared" si="4"/>
        <v>Cells(pPos, 23)=strAry(21)</v>
      </c>
    </row>
    <row r="25" spans="1:13" x14ac:dyDescent="0.25">
      <c r="A25" s="1" t="s">
        <v>43</v>
      </c>
      <c r="B25" s="1" t="s">
        <v>90</v>
      </c>
      <c r="C25" t="s">
        <v>44</v>
      </c>
      <c r="D25">
        <v>122</v>
      </c>
      <c r="E25">
        <v>122</v>
      </c>
      <c r="F25">
        <f t="shared" si="0"/>
        <v>1</v>
      </c>
      <c r="G25" s="3" t="s">
        <v>57</v>
      </c>
      <c r="H25" s="12">
        <v>24</v>
      </c>
      <c r="I25" s="12">
        <v>22</v>
      </c>
      <c r="J25" t="str">
        <f t="shared" si="1"/>
        <v>Dim Rec as string</v>
      </c>
      <c r="K25" t="str">
        <f t="shared" si="2"/>
        <v>Rec = Mid(InputStr, 122, 1)</v>
      </c>
      <c r="L25" t="str">
        <f t="shared" si="3"/>
        <v>strAry(22) = Mid(pStr, 122, 1)</v>
      </c>
      <c r="M25" t="str">
        <f t="shared" si="4"/>
        <v>Cells(pPos, 24)=strAry(22)</v>
      </c>
    </row>
    <row r="26" spans="1:13" x14ac:dyDescent="0.25">
      <c r="A26" s="1" t="s">
        <v>31</v>
      </c>
      <c r="B26" s="1" t="s">
        <v>69</v>
      </c>
      <c r="C26" t="s">
        <v>32</v>
      </c>
      <c r="D26">
        <v>1</v>
      </c>
      <c r="E26">
        <v>1</v>
      </c>
      <c r="F26">
        <f t="shared" si="0"/>
        <v>1</v>
      </c>
      <c r="G26" s="7" t="s">
        <v>46</v>
      </c>
      <c r="H26" s="12">
        <v>25</v>
      </c>
      <c r="I26" s="19">
        <v>1</v>
      </c>
      <c r="J26" t="str">
        <f t="shared" si="1"/>
        <v>Dim tag as string</v>
      </c>
      <c r="K26" t="str">
        <f t="shared" si="2"/>
        <v>tag = Mid(InputStr, 1, 1)</v>
      </c>
      <c r="L26" t="str">
        <f t="shared" si="3"/>
        <v>strAry(1) = Mid(pStr, 1, 1)</v>
      </c>
      <c r="M26" t="str">
        <f t="shared" si="4"/>
        <v>Cells(pPos, 25)=strAry(1)</v>
      </c>
    </row>
    <row r="27" spans="1:13" x14ac:dyDescent="0.25">
      <c r="A27" s="1" t="s">
        <v>33</v>
      </c>
      <c r="B27" s="1" t="s">
        <v>91</v>
      </c>
      <c r="C27" t="s">
        <v>34</v>
      </c>
      <c r="D27">
        <v>2</v>
      </c>
      <c r="E27">
        <v>10</v>
      </c>
      <c r="F27">
        <f t="shared" si="0"/>
        <v>9</v>
      </c>
      <c r="H27" s="12">
        <v>26</v>
      </c>
      <c r="I27" s="19">
        <v>2</v>
      </c>
      <c r="J27" t="str">
        <f t="shared" si="1"/>
        <v>Dim Amt11 as string</v>
      </c>
      <c r="K27" t="str">
        <f t="shared" si="2"/>
        <v>Amt11 = Mid(InputStr, 2, 9)</v>
      </c>
      <c r="L27" t="str">
        <f t="shared" si="3"/>
        <v>strAry(2) = Mid(pStr, 2, 9)</v>
      </c>
      <c r="M27" t="str">
        <f t="shared" si="4"/>
        <v>Cells(pPos, 26)=strAry(2)</v>
      </c>
    </row>
    <row r="28" spans="1:13" x14ac:dyDescent="0.25">
      <c r="A28" s="2" t="s">
        <v>35</v>
      </c>
      <c r="B28" s="11" t="s">
        <v>95</v>
      </c>
      <c r="C28" t="s">
        <v>36</v>
      </c>
      <c r="D28">
        <v>11</v>
      </c>
      <c r="E28">
        <v>19</v>
      </c>
      <c r="F28">
        <f t="shared" si="0"/>
        <v>9</v>
      </c>
      <c r="H28" s="12">
        <v>27</v>
      </c>
      <c r="I28" s="19">
        <v>3</v>
      </c>
      <c r="J28" t="str">
        <f t="shared" si="1"/>
        <v>Dim KouKan11 as string</v>
      </c>
      <c r="K28" t="str">
        <f t="shared" si="2"/>
        <v>KouKan11 = Mid(InputStr, 11, 9)</v>
      </c>
      <c r="L28" t="str">
        <f t="shared" si="3"/>
        <v>strAry(3) = Mid(pStr, 11, 9)</v>
      </c>
      <c r="M28" t="str">
        <f t="shared" si="4"/>
        <v>Cells(pPos, 27)=strAry(3)</v>
      </c>
    </row>
    <row r="29" spans="1:13" x14ac:dyDescent="0.25">
      <c r="A29" s="1" t="s">
        <v>37</v>
      </c>
      <c r="B29" s="1" t="s">
        <v>96</v>
      </c>
      <c r="C29" t="s">
        <v>38</v>
      </c>
      <c r="D29">
        <v>20</v>
      </c>
      <c r="E29">
        <v>28</v>
      </c>
      <c r="F29">
        <f t="shared" si="0"/>
        <v>9</v>
      </c>
      <c r="H29" s="12">
        <v>28</v>
      </c>
      <c r="I29" s="19">
        <v>4</v>
      </c>
      <c r="J29" t="str">
        <f t="shared" si="1"/>
        <v>Dim KouKan12 as string</v>
      </c>
      <c r="K29" t="str">
        <f t="shared" si="2"/>
        <v>KouKan12 = Mid(InputStr, 20, 9)</v>
      </c>
      <c r="L29" t="str">
        <f t="shared" si="3"/>
        <v>strAry(4) = Mid(pStr, 20, 9)</v>
      </c>
      <c r="M29" t="str">
        <f t="shared" si="4"/>
        <v>Cells(pPos, 28)=strAry(4)</v>
      </c>
    </row>
    <row r="30" spans="1:13" x14ac:dyDescent="0.25">
      <c r="A30" s="1" t="s">
        <v>39</v>
      </c>
      <c r="B30" s="1" t="s">
        <v>92</v>
      </c>
      <c r="C30" t="s">
        <v>40</v>
      </c>
      <c r="D30">
        <v>29</v>
      </c>
      <c r="E30">
        <v>37</v>
      </c>
      <c r="F30">
        <f t="shared" si="0"/>
        <v>9</v>
      </c>
      <c r="H30" s="12">
        <v>29</v>
      </c>
      <c r="I30" s="19">
        <v>5</v>
      </c>
      <c r="J30" t="str">
        <f t="shared" si="1"/>
        <v>Dim Amt12 as string</v>
      </c>
      <c r="K30" t="str">
        <f t="shared" si="2"/>
        <v>Amt12 = Mid(InputStr, 29, 9)</v>
      </c>
      <c r="L30" t="str">
        <f t="shared" si="3"/>
        <v>strAry(5) = Mid(pStr, 29, 9)</v>
      </c>
      <c r="M30" t="str">
        <f t="shared" si="4"/>
        <v>Cells(pPos, 29)=strAry(5)</v>
      </c>
    </row>
    <row r="32" spans="1:13" s="15" customFormat="1" x14ac:dyDescent="0.25">
      <c r="A32" s="4" t="s">
        <v>0</v>
      </c>
      <c r="B32" s="4" t="s">
        <v>79</v>
      </c>
      <c r="C32" s="5"/>
      <c r="D32" s="5">
        <v>42</v>
      </c>
      <c r="E32" s="5">
        <v>42</v>
      </c>
      <c r="F32" s="5">
        <f>E32-D32+1</f>
        <v>1</v>
      </c>
      <c r="G32" s="6" t="s">
        <v>49</v>
      </c>
      <c r="H32" s="12">
        <v>13</v>
      </c>
      <c r="I32" s="16">
        <v>9</v>
      </c>
      <c r="J32" s="15" t="str">
        <f>"Dim " &amp; B32 &amp; " as string"</f>
        <v>Dim c as string</v>
      </c>
      <c r="K32" s="15" t="str">
        <f>B32 &amp; " = " &amp; "Mid(InputStr, " &amp; D32 &amp; ", " &amp; F32 &amp; ")"</f>
        <v>c = Mid(InputStr, 42, 1)</v>
      </c>
      <c r="L32" s="15" t="str">
        <f>"strAry(" &amp; I32 &amp; ") = " &amp; "Mid(InputStr, " &amp; D32 &amp; ", " &amp; F32 &amp; ")"</f>
        <v>strAry(9) = Mid(InputStr, 42, 1)</v>
      </c>
    </row>
    <row r="33" spans="1:12" x14ac:dyDescent="0.25">
      <c r="A33" s="13"/>
      <c r="B33" s="13" t="s">
        <v>88</v>
      </c>
      <c r="C33" s="5"/>
      <c r="D33" s="5">
        <v>120</v>
      </c>
      <c r="E33" s="5">
        <v>120</v>
      </c>
      <c r="F33" s="5">
        <f>E33-D33+1</f>
        <v>1</v>
      </c>
      <c r="G33" s="6" t="s">
        <v>58</v>
      </c>
      <c r="H33" s="12">
        <v>24</v>
      </c>
      <c r="I33" s="12">
        <v>20</v>
      </c>
      <c r="J33" t="str">
        <f>"Dim " &amp; B33 &amp; " as string"</f>
        <v>Dim cc as string</v>
      </c>
      <c r="K33" t="str">
        <f>B33 &amp; " = " &amp; "Mid(InputStr, " &amp; D33 &amp; ", " &amp; F33 &amp; ")"</f>
        <v>cc = Mid(InputStr, 120, 1)</v>
      </c>
      <c r="L33" t="str">
        <f>"strAry(" &amp; I33 &amp; ") = " &amp; "Mid(InputStr, " &amp; D33 &amp; ", " &amp; F33 &amp; ")"</f>
        <v>strAry(20) = Mid(InputStr, 120, 1)</v>
      </c>
    </row>
  </sheetData>
  <phoneticPr fontId="3" type="noConversion"/>
  <printOptions gridLines="1"/>
  <pageMargins left="0.70866141732283472" right="0.70866141732283472" top="0.74803149606299213" bottom="0.74803149606299213" header="0.31496062992125984" footer="0.31496062992125984"/>
  <pageSetup paperSize="9" scale="91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O160"/>
  <sheetViews>
    <sheetView tabSelected="1" topLeftCell="X1" workbookViewId="0">
      <pane ySplit="3" topLeftCell="A4" activePane="bottomLeft" state="frozen"/>
      <selection pane="bottomLeft" activeCell="AI7" sqref="AI7"/>
    </sheetView>
  </sheetViews>
  <sheetFormatPr defaultRowHeight="16.5" x14ac:dyDescent="0.25"/>
  <cols>
    <col min="1" max="1" width="4.625" customWidth="1"/>
    <col min="2" max="2" width="8.375" customWidth="1"/>
    <col min="4" max="4" width="8" bestFit="1" customWidth="1"/>
    <col min="5" max="5" width="4.5" customWidth="1"/>
    <col min="7" max="8" width="4.75" bestFit="1" customWidth="1"/>
    <col min="9" max="9" width="8.75" style="22" customWidth="1"/>
    <col min="10" max="10" width="10.625" customWidth="1"/>
    <col min="11" max="11" width="4.75" bestFit="1" customWidth="1"/>
    <col min="13" max="13" width="6.75" customWidth="1"/>
    <col min="14" max="14" width="6.375" bestFit="1" customWidth="1"/>
    <col min="15" max="15" width="7.75" customWidth="1"/>
    <col min="16" max="16" width="4.125" customWidth="1"/>
    <col min="20" max="20" width="6.25" bestFit="1" customWidth="1"/>
    <col min="25" max="25" width="4.75" bestFit="1" customWidth="1"/>
    <col min="26" max="26" width="10.75" customWidth="1"/>
    <col min="30" max="30" width="5.625" customWidth="1"/>
    <col min="31" max="31" width="10.875" style="24" customWidth="1"/>
    <col min="32" max="34" width="9" style="24"/>
    <col min="37" max="40" width="9" style="24"/>
    <col min="41" max="41" width="11.375" style="24" customWidth="1"/>
  </cols>
  <sheetData>
    <row r="1" spans="1:41" s="9" customFormat="1" ht="21.75" customHeight="1" x14ac:dyDescent="0.25">
      <c r="A1" s="9" t="s">
        <v>65</v>
      </c>
      <c r="C1" s="9" t="s">
        <v>100</v>
      </c>
      <c r="H1" s="9" t="s">
        <v>66</v>
      </c>
      <c r="I1" s="20"/>
      <c r="J1" s="9" t="s">
        <v>68</v>
      </c>
      <c r="AE1" s="23"/>
      <c r="AF1" s="23"/>
      <c r="AG1" s="23"/>
      <c r="AH1" s="23"/>
      <c r="AK1" s="23"/>
      <c r="AL1" s="23"/>
      <c r="AM1" s="23"/>
      <c r="AN1" s="23"/>
      <c r="AO1" s="23"/>
    </row>
    <row r="2" spans="1:41" s="12" customFormat="1" x14ac:dyDescent="0.25">
      <c r="A2" s="17">
        <v>1</v>
      </c>
      <c r="B2" s="17">
        <v>2</v>
      </c>
      <c r="C2" s="17">
        <v>3</v>
      </c>
      <c r="D2" s="17">
        <v>4</v>
      </c>
      <c r="E2" s="18">
        <v>1</v>
      </c>
      <c r="F2" s="18">
        <v>2</v>
      </c>
      <c r="G2" s="18">
        <v>3</v>
      </c>
      <c r="H2" s="18">
        <v>4</v>
      </c>
      <c r="I2" s="18">
        <v>5</v>
      </c>
      <c r="J2" s="18">
        <v>6</v>
      </c>
      <c r="K2" s="18">
        <v>7</v>
      </c>
      <c r="L2" s="18">
        <v>8</v>
      </c>
      <c r="M2" s="18">
        <v>10</v>
      </c>
      <c r="N2" s="18">
        <v>11</v>
      </c>
      <c r="O2" s="18">
        <v>12</v>
      </c>
      <c r="P2" s="18">
        <v>13</v>
      </c>
      <c r="Q2" s="18">
        <v>14</v>
      </c>
      <c r="R2" s="18">
        <v>15</v>
      </c>
      <c r="S2" s="18">
        <v>16</v>
      </c>
      <c r="T2" s="18">
        <v>17</v>
      </c>
      <c r="U2" s="18">
        <v>18</v>
      </c>
      <c r="V2" s="18">
        <v>19</v>
      </c>
      <c r="W2" s="18">
        <v>21</v>
      </c>
      <c r="X2" s="18">
        <v>22</v>
      </c>
      <c r="Y2" s="17">
        <v>1</v>
      </c>
      <c r="Z2" s="17">
        <v>2</v>
      </c>
      <c r="AA2" s="17">
        <v>3</v>
      </c>
      <c r="AB2" s="17">
        <v>4</v>
      </c>
      <c r="AC2" s="17">
        <v>5</v>
      </c>
      <c r="AE2" s="3"/>
      <c r="AF2" s="3"/>
      <c r="AG2" s="3"/>
      <c r="AH2" s="3"/>
      <c r="AK2" s="3"/>
      <c r="AL2" s="3"/>
      <c r="AM2" s="3"/>
      <c r="AN2" s="3"/>
      <c r="AO2" s="3"/>
    </row>
    <row r="3" spans="1:41" s="8" customFormat="1" ht="14.25" x14ac:dyDescent="0.25">
      <c r="A3" s="14" t="s">
        <v>6</v>
      </c>
      <c r="B3" s="8" t="s">
        <v>8</v>
      </c>
      <c r="C3" s="8" t="s">
        <v>10</v>
      </c>
      <c r="D3" s="8" t="s">
        <v>11</v>
      </c>
      <c r="E3" s="14" t="s">
        <v>13</v>
      </c>
      <c r="F3" s="8" t="s">
        <v>15</v>
      </c>
      <c r="G3" s="8" t="s">
        <v>17</v>
      </c>
      <c r="H3" s="8" t="s">
        <v>19</v>
      </c>
      <c r="I3" s="21" t="s">
        <v>22</v>
      </c>
      <c r="J3" s="8" t="s">
        <v>45</v>
      </c>
      <c r="K3" s="8" t="s">
        <v>25</v>
      </c>
      <c r="L3" s="8" t="s">
        <v>64</v>
      </c>
      <c r="M3" s="8" t="s">
        <v>52</v>
      </c>
      <c r="N3" s="8" t="s">
        <v>28</v>
      </c>
      <c r="O3" s="8" t="s">
        <v>50</v>
      </c>
      <c r="P3" s="8" t="s">
        <v>30</v>
      </c>
      <c r="Q3" s="8" t="s">
        <v>53</v>
      </c>
      <c r="R3" s="8" t="s">
        <v>34</v>
      </c>
      <c r="S3" s="8" t="s">
        <v>55</v>
      </c>
      <c r="T3" s="8" t="s">
        <v>36</v>
      </c>
      <c r="U3" s="8" t="s">
        <v>38</v>
      </c>
      <c r="V3" s="8" t="s">
        <v>40</v>
      </c>
      <c r="W3" s="8" t="s">
        <v>42</v>
      </c>
      <c r="X3" s="8" t="s">
        <v>44</v>
      </c>
      <c r="Y3" s="14" t="s">
        <v>32</v>
      </c>
      <c r="Z3" s="8" t="s">
        <v>34</v>
      </c>
      <c r="AA3" s="8" t="s">
        <v>36</v>
      </c>
      <c r="AB3" s="8" t="s">
        <v>38</v>
      </c>
      <c r="AC3" s="8" t="s">
        <v>40</v>
      </c>
      <c r="AD3" s="27" t="s">
        <v>667</v>
      </c>
      <c r="AE3" s="27" t="s">
        <v>45</v>
      </c>
      <c r="AF3" s="28" t="s">
        <v>657</v>
      </c>
      <c r="AG3" s="28" t="s">
        <v>658</v>
      </c>
      <c r="AH3" s="28" t="s">
        <v>659</v>
      </c>
      <c r="AI3" s="27" t="s">
        <v>662</v>
      </c>
      <c r="AJ3" s="27" t="s">
        <v>663</v>
      </c>
      <c r="AK3" s="28" t="s">
        <v>664</v>
      </c>
      <c r="AL3" s="27" t="s">
        <v>660</v>
      </c>
      <c r="AM3" s="27" t="s">
        <v>661</v>
      </c>
      <c r="AN3" s="28" t="s">
        <v>665</v>
      </c>
      <c r="AO3" s="28" t="s">
        <v>666</v>
      </c>
    </row>
    <row r="4" spans="1:41" x14ac:dyDescent="0.25">
      <c r="A4">
        <v>1</v>
      </c>
      <c r="B4" t="s">
        <v>101</v>
      </c>
      <c r="C4">
        <v>31201</v>
      </c>
      <c r="D4">
        <v>31231</v>
      </c>
      <c r="E4">
        <v>2</v>
      </c>
      <c r="F4" t="s">
        <v>102</v>
      </c>
      <c r="G4">
        <v>1</v>
      </c>
      <c r="H4" t="s">
        <v>103</v>
      </c>
      <c r="I4" s="22" t="s">
        <v>104</v>
      </c>
      <c r="J4" t="s">
        <v>105</v>
      </c>
      <c r="K4" t="s">
        <v>106</v>
      </c>
      <c r="L4" t="s">
        <v>107</v>
      </c>
      <c r="M4">
        <v>9</v>
      </c>
      <c r="N4">
        <v>5</v>
      </c>
      <c r="O4">
        <v>5</v>
      </c>
      <c r="P4" t="s">
        <v>108</v>
      </c>
      <c r="Q4">
        <v>4899140</v>
      </c>
      <c r="R4">
        <v>24496</v>
      </c>
      <c r="S4">
        <v>20141201</v>
      </c>
      <c r="T4">
        <v>0</v>
      </c>
      <c r="U4">
        <v>0</v>
      </c>
      <c r="V4">
        <v>24496</v>
      </c>
      <c r="W4" t="s">
        <v>109</v>
      </c>
      <c r="X4" t="s">
        <v>110</v>
      </c>
      <c r="Y4">
        <v>3</v>
      </c>
      <c r="Z4">
        <v>51279</v>
      </c>
      <c r="AA4">
        <v>0</v>
      </c>
      <c r="AB4">
        <v>0</v>
      </c>
      <c r="AC4">
        <v>51279</v>
      </c>
      <c r="AD4">
        <v>1</v>
      </c>
      <c r="AE4" s="24" t="s">
        <v>105</v>
      </c>
      <c r="AF4" s="24" t="s">
        <v>175</v>
      </c>
      <c r="AG4" s="24" t="s">
        <v>175</v>
      </c>
      <c r="AH4" s="24" t="s">
        <v>175</v>
      </c>
      <c r="AI4" t="s">
        <v>175</v>
      </c>
      <c r="AJ4" t="s">
        <v>175</v>
      </c>
      <c r="AK4" s="24" t="s">
        <v>175</v>
      </c>
      <c r="AL4" s="24" t="s">
        <v>175</v>
      </c>
      <c r="AM4" s="24" t="s">
        <v>175</v>
      </c>
      <c r="AN4" s="24" t="s">
        <v>175</v>
      </c>
      <c r="AO4" s="24" t="s">
        <v>175</v>
      </c>
    </row>
    <row r="5" spans="1:41" x14ac:dyDescent="0.25">
      <c r="E5">
        <v>2</v>
      </c>
      <c r="F5" t="s">
        <v>102</v>
      </c>
      <c r="G5">
        <v>2</v>
      </c>
      <c r="H5" t="s">
        <v>103</v>
      </c>
      <c r="I5" s="22" t="s">
        <v>111</v>
      </c>
      <c r="J5" t="s">
        <v>112</v>
      </c>
      <c r="K5" t="s">
        <v>106</v>
      </c>
      <c r="L5" t="s">
        <v>113</v>
      </c>
      <c r="M5">
        <v>9</v>
      </c>
      <c r="N5">
        <v>3</v>
      </c>
      <c r="O5">
        <v>3</v>
      </c>
      <c r="P5" t="s">
        <v>108</v>
      </c>
      <c r="Q5">
        <v>4174230</v>
      </c>
      <c r="R5">
        <v>12523</v>
      </c>
      <c r="S5">
        <v>20141201</v>
      </c>
      <c r="T5">
        <v>0</v>
      </c>
      <c r="U5">
        <v>0</v>
      </c>
      <c r="V5">
        <v>12523</v>
      </c>
      <c r="W5" t="s">
        <v>109</v>
      </c>
      <c r="X5" t="s">
        <v>110</v>
      </c>
      <c r="AD5">
        <v>2</v>
      </c>
      <c r="AE5" s="24" t="s">
        <v>112</v>
      </c>
      <c r="AF5" s="24" t="s">
        <v>175</v>
      </c>
      <c r="AG5" s="24" t="s">
        <v>175</v>
      </c>
      <c r="AH5" s="24" t="s">
        <v>175</v>
      </c>
      <c r="AI5" t="s">
        <v>175</v>
      </c>
      <c r="AJ5" t="s">
        <v>175</v>
      </c>
      <c r="AK5" s="24" t="s">
        <v>175</v>
      </c>
      <c r="AL5" s="24" t="s">
        <v>175</v>
      </c>
      <c r="AM5" s="24" t="s">
        <v>175</v>
      </c>
      <c r="AN5" s="24" t="s">
        <v>175</v>
      </c>
      <c r="AO5" s="24" t="s">
        <v>175</v>
      </c>
    </row>
    <row r="6" spans="1:41" x14ac:dyDescent="0.25">
      <c r="E6">
        <v>2</v>
      </c>
      <c r="F6" t="s">
        <v>102</v>
      </c>
      <c r="G6">
        <v>3</v>
      </c>
      <c r="H6" t="s">
        <v>103</v>
      </c>
      <c r="I6" s="22" t="s">
        <v>114</v>
      </c>
      <c r="J6" t="s">
        <v>115</v>
      </c>
      <c r="K6" t="s">
        <v>106</v>
      </c>
      <c r="L6" t="s">
        <v>116</v>
      </c>
      <c r="M6">
        <v>9</v>
      </c>
      <c r="N6">
        <v>2</v>
      </c>
      <c r="O6">
        <v>2</v>
      </c>
      <c r="P6" t="s">
        <v>108</v>
      </c>
      <c r="Q6">
        <v>4103680</v>
      </c>
      <c r="R6">
        <v>8207</v>
      </c>
      <c r="S6">
        <v>20141205</v>
      </c>
      <c r="T6">
        <v>0</v>
      </c>
      <c r="U6">
        <v>0</v>
      </c>
      <c r="V6">
        <v>8207</v>
      </c>
      <c r="W6" t="s">
        <v>109</v>
      </c>
      <c r="X6" t="s">
        <v>110</v>
      </c>
      <c r="AD6">
        <v>3</v>
      </c>
      <c r="AE6" s="24" t="s">
        <v>115</v>
      </c>
      <c r="AF6" s="24" t="s">
        <v>175</v>
      </c>
      <c r="AG6" s="24" t="s">
        <v>175</v>
      </c>
      <c r="AH6" s="24" t="s">
        <v>175</v>
      </c>
      <c r="AI6" t="s">
        <v>175</v>
      </c>
      <c r="AJ6" t="s">
        <v>175</v>
      </c>
      <c r="AK6" s="24" t="s">
        <v>175</v>
      </c>
      <c r="AL6" s="24" t="s">
        <v>175</v>
      </c>
      <c r="AM6" s="24" t="s">
        <v>175</v>
      </c>
      <c r="AN6" s="24" t="s">
        <v>175</v>
      </c>
      <c r="AO6" s="24" t="s">
        <v>175</v>
      </c>
    </row>
    <row r="7" spans="1:41" x14ac:dyDescent="0.25">
      <c r="E7">
        <v>2</v>
      </c>
      <c r="F7" t="s">
        <v>102</v>
      </c>
      <c r="G7">
        <v>4</v>
      </c>
      <c r="H7" t="s">
        <v>103</v>
      </c>
      <c r="I7" s="22" t="s">
        <v>117</v>
      </c>
      <c r="J7" t="s">
        <v>118</v>
      </c>
      <c r="K7" t="s">
        <v>106</v>
      </c>
      <c r="L7" t="s">
        <v>119</v>
      </c>
      <c r="M7">
        <v>9</v>
      </c>
      <c r="N7">
        <v>1</v>
      </c>
      <c r="O7">
        <v>1</v>
      </c>
      <c r="P7" t="s">
        <v>108</v>
      </c>
      <c r="Q7">
        <v>2712810</v>
      </c>
      <c r="R7">
        <v>2713</v>
      </c>
      <c r="S7">
        <v>20141201</v>
      </c>
      <c r="T7">
        <v>0</v>
      </c>
      <c r="U7">
        <v>0</v>
      </c>
      <c r="V7">
        <v>2713</v>
      </c>
      <c r="W7" t="s">
        <v>109</v>
      </c>
      <c r="X7" t="s">
        <v>110</v>
      </c>
      <c r="AD7">
        <v>4</v>
      </c>
      <c r="AE7" s="24" t="s">
        <v>118</v>
      </c>
      <c r="AF7" s="24" t="s">
        <v>175</v>
      </c>
      <c r="AG7" s="24" t="s">
        <v>175</v>
      </c>
      <c r="AH7" s="24" t="s">
        <v>175</v>
      </c>
      <c r="AI7" t="s">
        <v>175</v>
      </c>
      <c r="AJ7" t="s">
        <v>175</v>
      </c>
      <c r="AK7" s="24" t="s">
        <v>175</v>
      </c>
      <c r="AL7" s="24" t="s">
        <v>175</v>
      </c>
      <c r="AM7" s="24" t="s">
        <v>175</v>
      </c>
      <c r="AN7" s="24" t="s">
        <v>175</v>
      </c>
      <c r="AO7" s="24" t="s">
        <v>175</v>
      </c>
    </row>
    <row r="8" spans="1:41" x14ac:dyDescent="0.25">
      <c r="E8">
        <v>2</v>
      </c>
      <c r="F8" t="s">
        <v>102</v>
      </c>
      <c r="G8">
        <v>5</v>
      </c>
      <c r="H8" t="s">
        <v>103</v>
      </c>
      <c r="I8" s="22" t="s">
        <v>120</v>
      </c>
      <c r="J8" t="s">
        <v>121</v>
      </c>
      <c r="K8" t="s">
        <v>106</v>
      </c>
      <c r="L8" t="s">
        <v>122</v>
      </c>
      <c r="M8">
        <v>9</v>
      </c>
      <c r="N8">
        <v>3</v>
      </c>
      <c r="O8">
        <v>3</v>
      </c>
      <c r="P8" t="s">
        <v>108</v>
      </c>
      <c r="Q8">
        <v>639770</v>
      </c>
      <c r="R8">
        <v>1919</v>
      </c>
      <c r="S8">
        <v>20141201</v>
      </c>
      <c r="T8">
        <v>0</v>
      </c>
      <c r="U8">
        <v>0</v>
      </c>
      <c r="V8">
        <v>1919</v>
      </c>
      <c r="W8" t="s">
        <v>109</v>
      </c>
      <c r="X8" t="s">
        <v>110</v>
      </c>
      <c r="AD8">
        <v>5</v>
      </c>
      <c r="AE8" s="24" t="s">
        <v>121</v>
      </c>
      <c r="AF8" s="24" t="s">
        <v>175</v>
      </c>
      <c r="AG8" s="24" t="s">
        <v>175</v>
      </c>
      <c r="AH8" s="24" t="s">
        <v>175</v>
      </c>
      <c r="AI8" t="s">
        <v>175</v>
      </c>
      <c r="AJ8" t="s">
        <v>175</v>
      </c>
      <c r="AK8" s="24" t="s">
        <v>175</v>
      </c>
      <c r="AL8" s="24" t="s">
        <v>175</v>
      </c>
      <c r="AM8" s="24" t="s">
        <v>175</v>
      </c>
      <c r="AN8" s="24" t="s">
        <v>175</v>
      </c>
      <c r="AO8" s="24" t="s">
        <v>175</v>
      </c>
    </row>
    <row r="9" spans="1:41" x14ac:dyDescent="0.25">
      <c r="E9">
        <v>2</v>
      </c>
      <c r="F9" t="s">
        <v>102</v>
      </c>
      <c r="G9">
        <v>6</v>
      </c>
      <c r="H9" t="s">
        <v>103</v>
      </c>
      <c r="I9" s="22" t="s">
        <v>123</v>
      </c>
      <c r="J9" t="s">
        <v>124</v>
      </c>
      <c r="K9" t="s">
        <v>106</v>
      </c>
      <c r="L9" t="s">
        <v>125</v>
      </c>
      <c r="M9">
        <v>9</v>
      </c>
      <c r="N9">
        <v>5</v>
      </c>
      <c r="O9">
        <v>5</v>
      </c>
      <c r="P9" t="s">
        <v>108</v>
      </c>
      <c r="Q9">
        <v>237650</v>
      </c>
      <c r="R9">
        <v>1188</v>
      </c>
      <c r="S9">
        <v>20141208</v>
      </c>
      <c r="T9">
        <v>0</v>
      </c>
      <c r="U9">
        <v>0</v>
      </c>
      <c r="V9">
        <v>1188</v>
      </c>
      <c r="W9" t="s">
        <v>109</v>
      </c>
      <c r="X9" t="s">
        <v>110</v>
      </c>
      <c r="AD9">
        <v>6</v>
      </c>
      <c r="AE9" s="24" t="s">
        <v>124</v>
      </c>
      <c r="AF9" s="24" t="s">
        <v>175</v>
      </c>
      <c r="AG9" s="24" t="s">
        <v>175</v>
      </c>
      <c r="AH9" s="24" t="s">
        <v>175</v>
      </c>
      <c r="AI9" t="s">
        <v>175</v>
      </c>
      <c r="AJ9" t="s">
        <v>175</v>
      </c>
      <c r="AK9" s="24" t="s">
        <v>175</v>
      </c>
      <c r="AL9" s="24" t="s">
        <v>175</v>
      </c>
      <c r="AM9" s="24" t="s">
        <v>175</v>
      </c>
      <c r="AN9" s="24" t="s">
        <v>175</v>
      </c>
      <c r="AO9" s="24" t="s">
        <v>175</v>
      </c>
    </row>
    <row r="10" spans="1:41" x14ac:dyDescent="0.25">
      <c r="E10">
        <v>2</v>
      </c>
      <c r="F10" t="s">
        <v>102</v>
      </c>
      <c r="G10">
        <v>7</v>
      </c>
      <c r="H10" t="s">
        <v>103</v>
      </c>
      <c r="I10" s="22" t="s">
        <v>126</v>
      </c>
      <c r="J10" t="s">
        <v>127</v>
      </c>
      <c r="K10" t="s">
        <v>106</v>
      </c>
      <c r="L10" t="s">
        <v>128</v>
      </c>
      <c r="M10">
        <v>9</v>
      </c>
      <c r="N10">
        <v>30</v>
      </c>
      <c r="O10">
        <v>30</v>
      </c>
      <c r="P10" t="s">
        <v>108</v>
      </c>
      <c r="Q10">
        <v>7760</v>
      </c>
      <c r="R10">
        <v>233</v>
      </c>
      <c r="S10">
        <v>20141201</v>
      </c>
      <c r="T10">
        <v>0</v>
      </c>
      <c r="U10">
        <v>0</v>
      </c>
      <c r="V10">
        <v>233</v>
      </c>
      <c r="W10" t="s">
        <v>109</v>
      </c>
      <c r="X10" t="s">
        <v>110</v>
      </c>
      <c r="AD10">
        <v>7</v>
      </c>
      <c r="AE10" s="24" t="s">
        <v>127</v>
      </c>
      <c r="AF10" s="24" t="s">
        <v>175</v>
      </c>
      <c r="AG10" s="24" t="s">
        <v>175</v>
      </c>
      <c r="AH10" s="24" t="s">
        <v>175</v>
      </c>
      <c r="AI10" t="s">
        <v>175</v>
      </c>
      <c r="AJ10" t="s">
        <v>175</v>
      </c>
      <c r="AK10" s="24" t="s">
        <v>175</v>
      </c>
      <c r="AL10" s="24" t="s">
        <v>175</v>
      </c>
      <c r="AM10" s="24" t="s">
        <v>175</v>
      </c>
      <c r="AN10" s="24" t="s">
        <v>175</v>
      </c>
      <c r="AO10" s="24" t="s">
        <v>175</v>
      </c>
    </row>
    <row r="11" spans="1:41" x14ac:dyDescent="0.25">
      <c r="E11">
        <v>2</v>
      </c>
      <c r="F11" t="s">
        <v>129</v>
      </c>
      <c r="G11">
        <v>1</v>
      </c>
      <c r="H11" t="s">
        <v>103</v>
      </c>
      <c r="I11" s="22" t="s">
        <v>104</v>
      </c>
      <c r="J11" t="s">
        <v>130</v>
      </c>
      <c r="K11" t="s">
        <v>106</v>
      </c>
      <c r="L11" t="s">
        <v>131</v>
      </c>
      <c r="M11">
        <v>9</v>
      </c>
      <c r="N11">
        <v>3</v>
      </c>
      <c r="O11">
        <v>3</v>
      </c>
      <c r="P11" t="s">
        <v>108</v>
      </c>
      <c r="Q11">
        <v>4592520</v>
      </c>
      <c r="R11">
        <v>13778</v>
      </c>
      <c r="S11">
        <v>20141229</v>
      </c>
      <c r="T11">
        <v>0</v>
      </c>
      <c r="U11">
        <v>0</v>
      </c>
      <c r="V11">
        <v>13778</v>
      </c>
      <c r="W11" t="s">
        <v>109</v>
      </c>
      <c r="X11" t="s">
        <v>110</v>
      </c>
      <c r="Y11" s="15">
        <v>3</v>
      </c>
      <c r="Z11" s="15">
        <v>14208</v>
      </c>
      <c r="AA11" s="15">
        <v>0</v>
      </c>
      <c r="AB11" s="15">
        <v>0</v>
      </c>
      <c r="AC11" s="15">
        <v>14208</v>
      </c>
      <c r="AD11">
        <v>8</v>
      </c>
      <c r="AE11" s="24" t="s">
        <v>130</v>
      </c>
      <c r="AF11" s="24" t="s">
        <v>175</v>
      </c>
      <c r="AG11" s="24" t="s">
        <v>175</v>
      </c>
      <c r="AH11" s="24" t="s">
        <v>175</v>
      </c>
      <c r="AI11" t="s">
        <v>175</v>
      </c>
      <c r="AJ11" t="s">
        <v>175</v>
      </c>
      <c r="AK11" s="24" t="s">
        <v>175</v>
      </c>
      <c r="AL11" s="24" t="s">
        <v>175</v>
      </c>
      <c r="AM11" s="24" t="s">
        <v>175</v>
      </c>
      <c r="AN11" s="24" t="s">
        <v>175</v>
      </c>
      <c r="AO11" s="24" t="s">
        <v>175</v>
      </c>
    </row>
    <row r="12" spans="1:41" x14ac:dyDescent="0.25">
      <c r="E12">
        <v>2</v>
      </c>
      <c r="F12" t="s">
        <v>129</v>
      </c>
      <c r="G12">
        <v>2</v>
      </c>
      <c r="H12" t="s">
        <v>103</v>
      </c>
      <c r="I12" s="22" t="s">
        <v>132</v>
      </c>
      <c r="J12" t="s">
        <v>133</v>
      </c>
      <c r="K12" t="s">
        <v>106</v>
      </c>
      <c r="L12" t="s">
        <v>134</v>
      </c>
      <c r="M12">
        <v>9</v>
      </c>
      <c r="N12">
        <v>3</v>
      </c>
      <c r="O12">
        <v>3</v>
      </c>
      <c r="P12" t="s">
        <v>108</v>
      </c>
      <c r="Q12">
        <v>143170</v>
      </c>
      <c r="R12">
        <v>430</v>
      </c>
      <c r="S12">
        <v>20141229</v>
      </c>
      <c r="T12">
        <v>0</v>
      </c>
      <c r="U12">
        <v>0</v>
      </c>
      <c r="V12">
        <v>430</v>
      </c>
      <c r="W12" t="s">
        <v>109</v>
      </c>
      <c r="X12" t="s">
        <v>110</v>
      </c>
      <c r="AD12">
        <v>9</v>
      </c>
      <c r="AE12" s="24" t="s">
        <v>133</v>
      </c>
      <c r="AF12" s="24" t="s">
        <v>175</v>
      </c>
      <c r="AG12" s="24" t="s">
        <v>175</v>
      </c>
      <c r="AH12" s="24" t="s">
        <v>175</v>
      </c>
      <c r="AI12" t="s">
        <v>175</v>
      </c>
      <c r="AJ12" t="s">
        <v>175</v>
      </c>
      <c r="AK12" s="24" t="s">
        <v>175</v>
      </c>
      <c r="AL12" s="24" t="s">
        <v>175</v>
      </c>
      <c r="AM12" s="24" t="s">
        <v>175</v>
      </c>
      <c r="AN12" s="24" t="s">
        <v>175</v>
      </c>
      <c r="AO12" s="24" t="s">
        <v>175</v>
      </c>
    </row>
    <row r="13" spans="1:41" x14ac:dyDescent="0.25">
      <c r="A13" s="15">
        <v>1</v>
      </c>
      <c r="B13" s="15" t="s">
        <v>101</v>
      </c>
      <c r="C13" s="15">
        <v>31201</v>
      </c>
      <c r="D13" s="15">
        <v>31231</v>
      </c>
      <c r="E13">
        <v>2</v>
      </c>
      <c r="F13" t="s">
        <v>135</v>
      </c>
      <c r="G13">
        <v>1</v>
      </c>
      <c r="H13" t="s">
        <v>103</v>
      </c>
      <c r="I13" s="22" t="s">
        <v>104</v>
      </c>
      <c r="J13">
        <v>1059709601</v>
      </c>
      <c r="K13" t="s">
        <v>106</v>
      </c>
      <c r="L13" t="s">
        <v>107</v>
      </c>
      <c r="M13">
        <v>9</v>
      </c>
      <c r="N13">
        <v>20</v>
      </c>
      <c r="O13">
        <v>20</v>
      </c>
      <c r="P13" t="s">
        <v>108</v>
      </c>
      <c r="Q13">
        <v>4899140</v>
      </c>
      <c r="R13">
        <v>97983</v>
      </c>
      <c r="S13">
        <v>20141201</v>
      </c>
      <c r="T13">
        <v>0</v>
      </c>
      <c r="U13">
        <v>0</v>
      </c>
      <c r="V13">
        <v>97983</v>
      </c>
      <c r="W13" t="s">
        <v>109</v>
      </c>
      <c r="X13" t="s">
        <v>110</v>
      </c>
      <c r="Y13">
        <v>3</v>
      </c>
      <c r="Z13">
        <v>1879207</v>
      </c>
      <c r="AA13">
        <v>0</v>
      </c>
      <c r="AB13">
        <v>0</v>
      </c>
      <c r="AC13">
        <v>1879207</v>
      </c>
      <c r="AD13">
        <v>10</v>
      </c>
      <c r="AE13" s="24" t="s">
        <v>505</v>
      </c>
      <c r="AG13" s="24" t="s">
        <v>176</v>
      </c>
      <c r="AH13" s="24" t="s">
        <v>177</v>
      </c>
      <c r="AI13">
        <v>20</v>
      </c>
      <c r="AJ13">
        <v>0</v>
      </c>
      <c r="AK13" s="24" t="s">
        <v>178</v>
      </c>
      <c r="AL13" s="24" t="s">
        <v>506</v>
      </c>
      <c r="AM13" s="24" t="s">
        <v>507</v>
      </c>
      <c r="AN13" s="24" t="s">
        <v>179</v>
      </c>
      <c r="AO13" s="24" t="s">
        <v>505</v>
      </c>
    </row>
    <row r="14" spans="1:41" x14ac:dyDescent="0.25">
      <c r="E14">
        <v>2</v>
      </c>
      <c r="F14" t="s">
        <v>135</v>
      </c>
      <c r="G14">
        <v>2</v>
      </c>
      <c r="H14" t="s">
        <v>103</v>
      </c>
      <c r="I14" s="22" t="s">
        <v>104</v>
      </c>
      <c r="J14">
        <v>1060943601</v>
      </c>
      <c r="K14" t="s">
        <v>106</v>
      </c>
      <c r="L14" t="s">
        <v>107</v>
      </c>
      <c r="M14">
        <v>9</v>
      </c>
      <c r="N14">
        <v>28</v>
      </c>
      <c r="O14">
        <v>28</v>
      </c>
      <c r="P14" t="s">
        <v>108</v>
      </c>
      <c r="Q14">
        <v>4899140</v>
      </c>
      <c r="R14">
        <v>137176</v>
      </c>
      <c r="S14">
        <v>20141203</v>
      </c>
      <c r="T14">
        <v>0</v>
      </c>
      <c r="U14">
        <v>0</v>
      </c>
      <c r="V14">
        <v>137176</v>
      </c>
      <c r="W14" t="s">
        <v>109</v>
      </c>
      <c r="X14" t="s">
        <v>110</v>
      </c>
      <c r="AD14">
        <v>11</v>
      </c>
      <c r="AE14" s="24" t="s">
        <v>508</v>
      </c>
      <c r="AG14" s="24" t="s">
        <v>180</v>
      </c>
      <c r="AH14" s="24" t="s">
        <v>181</v>
      </c>
      <c r="AI14">
        <v>28</v>
      </c>
      <c r="AJ14">
        <v>0</v>
      </c>
      <c r="AK14" s="24" t="s">
        <v>178</v>
      </c>
      <c r="AL14" s="24" t="s">
        <v>506</v>
      </c>
      <c r="AM14" s="24" t="s">
        <v>507</v>
      </c>
      <c r="AN14" s="24" t="s">
        <v>179</v>
      </c>
      <c r="AO14" s="24" t="s">
        <v>508</v>
      </c>
    </row>
    <row r="15" spans="1:41" x14ac:dyDescent="0.25">
      <c r="E15">
        <v>2</v>
      </c>
      <c r="F15" t="s">
        <v>135</v>
      </c>
      <c r="G15">
        <v>3</v>
      </c>
      <c r="H15" t="s">
        <v>103</v>
      </c>
      <c r="I15" s="22" t="s">
        <v>104</v>
      </c>
      <c r="J15">
        <v>1059229811</v>
      </c>
      <c r="K15" t="s">
        <v>106</v>
      </c>
      <c r="L15" t="s">
        <v>107</v>
      </c>
      <c r="M15">
        <v>9</v>
      </c>
      <c r="N15">
        <v>16</v>
      </c>
      <c r="O15">
        <v>16</v>
      </c>
      <c r="P15" t="s">
        <v>108</v>
      </c>
      <c r="Q15">
        <v>4899140</v>
      </c>
      <c r="R15">
        <v>78386</v>
      </c>
      <c r="S15">
        <v>20141201</v>
      </c>
      <c r="T15">
        <v>0</v>
      </c>
      <c r="U15">
        <v>0</v>
      </c>
      <c r="V15">
        <v>78386</v>
      </c>
      <c r="W15" t="s">
        <v>109</v>
      </c>
      <c r="X15" t="s">
        <v>110</v>
      </c>
      <c r="AD15">
        <v>12</v>
      </c>
      <c r="AE15" s="24" t="s">
        <v>509</v>
      </c>
      <c r="AG15" s="24" t="s">
        <v>182</v>
      </c>
      <c r="AH15" s="24" t="s">
        <v>183</v>
      </c>
      <c r="AI15">
        <v>16</v>
      </c>
      <c r="AJ15">
        <v>0</v>
      </c>
      <c r="AK15" s="24" t="s">
        <v>178</v>
      </c>
      <c r="AL15" s="24" t="s">
        <v>506</v>
      </c>
      <c r="AM15" s="24" t="s">
        <v>507</v>
      </c>
      <c r="AN15" s="24" t="s">
        <v>179</v>
      </c>
      <c r="AO15" s="24" t="s">
        <v>509</v>
      </c>
    </row>
    <row r="16" spans="1:41" x14ac:dyDescent="0.25">
      <c r="E16">
        <v>2</v>
      </c>
      <c r="F16" t="s">
        <v>135</v>
      </c>
      <c r="G16">
        <v>4</v>
      </c>
      <c r="H16" t="s">
        <v>103</v>
      </c>
      <c r="I16" s="22" t="s">
        <v>104</v>
      </c>
      <c r="J16">
        <v>1060537001</v>
      </c>
      <c r="K16" t="s">
        <v>106</v>
      </c>
      <c r="L16" t="s">
        <v>107</v>
      </c>
      <c r="M16">
        <v>9</v>
      </c>
      <c r="N16">
        <v>28</v>
      </c>
      <c r="O16">
        <v>28</v>
      </c>
      <c r="P16" t="s">
        <v>108</v>
      </c>
      <c r="Q16">
        <v>4899140</v>
      </c>
      <c r="R16">
        <v>137176</v>
      </c>
      <c r="S16">
        <v>20141202</v>
      </c>
      <c r="T16">
        <v>0</v>
      </c>
      <c r="U16">
        <v>0</v>
      </c>
      <c r="V16">
        <v>137176</v>
      </c>
      <c r="W16" t="s">
        <v>109</v>
      </c>
      <c r="X16" t="s">
        <v>110</v>
      </c>
      <c r="AD16">
        <v>13</v>
      </c>
      <c r="AE16" s="24" t="s">
        <v>510</v>
      </c>
      <c r="AG16" s="24" t="s">
        <v>184</v>
      </c>
      <c r="AH16" s="24" t="s">
        <v>185</v>
      </c>
      <c r="AI16">
        <v>28</v>
      </c>
      <c r="AJ16">
        <v>0</v>
      </c>
      <c r="AK16" s="24" t="s">
        <v>178</v>
      </c>
      <c r="AL16" s="24" t="s">
        <v>506</v>
      </c>
      <c r="AM16" s="24" t="s">
        <v>507</v>
      </c>
      <c r="AN16" s="24" t="s">
        <v>179</v>
      </c>
      <c r="AO16" s="24" t="s">
        <v>510</v>
      </c>
    </row>
    <row r="17" spans="5:41" x14ac:dyDescent="0.25">
      <c r="E17">
        <v>2</v>
      </c>
      <c r="F17" t="s">
        <v>135</v>
      </c>
      <c r="G17">
        <v>5</v>
      </c>
      <c r="H17" t="s">
        <v>103</v>
      </c>
      <c r="I17" s="22" t="s">
        <v>104</v>
      </c>
      <c r="J17">
        <v>1061360901</v>
      </c>
      <c r="K17" t="s">
        <v>106</v>
      </c>
      <c r="L17" t="s">
        <v>107</v>
      </c>
      <c r="M17">
        <v>9</v>
      </c>
      <c r="N17">
        <v>28</v>
      </c>
      <c r="O17">
        <v>28</v>
      </c>
      <c r="P17" t="s">
        <v>108</v>
      </c>
      <c r="Q17">
        <v>4899140</v>
      </c>
      <c r="R17">
        <v>137176</v>
      </c>
      <c r="S17">
        <v>20141204</v>
      </c>
      <c r="T17">
        <v>0</v>
      </c>
      <c r="U17">
        <v>0</v>
      </c>
      <c r="V17">
        <v>137176</v>
      </c>
      <c r="W17" t="s">
        <v>109</v>
      </c>
      <c r="X17" t="s">
        <v>110</v>
      </c>
      <c r="AD17">
        <v>14</v>
      </c>
      <c r="AE17" s="24" t="s">
        <v>511</v>
      </c>
      <c r="AG17" s="24" t="s">
        <v>186</v>
      </c>
      <c r="AH17" s="24" t="s">
        <v>187</v>
      </c>
      <c r="AI17">
        <v>28</v>
      </c>
      <c r="AJ17">
        <v>0</v>
      </c>
      <c r="AK17" s="24" t="s">
        <v>178</v>
      </c>
      <c r="AL17" s="24" t="s">
        <v>506</v>
      </c>
      <c r="AM17" s="24" t="s">
        <v>507</v>
      </c>
      <c r="AN17" s="24" t="s">
        <v>179</v>
      </c>
      <c r="AO17" s="24" t="s">
        <v>511</v>
      </c>
    </row>
    <row r="18" spans="5:41" x14ac:dyDescent="0.25">
      <c r="E18">
        <v>2</v>
      </c>
      <c r="F18" t="s">
        <v>135</v>
      </c>
      <c r="G18">
        <v>6</v>
      </c>
      <c r="H18" t="s">
        <v>103</v>
      </c>
      <c r="I18" s="22" t="s">
        <v>104</v>
      </c>
      <c r="J18">
        <v>1066538901</v>
      </c>
      <c r="K18" t="s">
        <v>106</v>
      </c>
      <c r="L18" t="s">
        <v>107</v>
      </c>
      <c r="M18">
        <v>9</v>
      </c>
      <c r="N18">
        <v>20</v>
      </c>
      <c r="O18">
        <v>20</v>
      </c>
      <c r="P18" t="s">
        <v>108</v>
      </c>
      <c r="Q18">
        <v>4899140</v>
      </c>
      <c r="R18">
        <v>97983</v>
      </c>
      <c r="S18">
        <v>20141219</v>
      </c>
      <c r="T18">
        <v>0</v>
      </c>
      <c r="U18">
        <v>0</v>
      </c>
      <c r="V18">
        <v>97983</v>
      </c>
      <c r="W18" t="s">
        <v>109</v>
      </c>
      <c r="X18" t="s">
        <v>110</v>
      </c>
      <c r="AD18">
        <v>15</v>
      </c>
      <c r="AE18" s="24" t="s">
        <v>512</v>
      </c>
      <c r="AG18" s="24" t="s">
        <v>188</v>
      </c>
      <c r="AH18" s="24" t="s">
        <v>189</v>
      </c>
      <c r="AI18">
        <v>20</v>
      </c>
      <c r="AJ18">
        <v>0</v>
      </c>
      <c r="AK18" s="24" t="s">
        <v>178</v>
      </c>
      <c r="AL18" s="24" t="s">
        <v>506</v>
      </c>
      <c r="AM18" s="24" t="s">
        <v>507</v>
      </c>
      <c r="AN18" s="24" t="s">
        <v>179</v>
      </c>
      <c r="AO18" s="24" t="s">
        <v>512</v>
      </c>
    </row>
    <row r="19" spans="5:41" x14ac:dyDescent="0.25">
      <c r="E19">
        <v>2</v>
      </c>
      <c r="F19" t="s">
        <v>135</v>
      </c>
      <c r="G19">
        <v>7</v>
      </c>
      <c r="H19" t="s">
        <v>103</v>
      </c>
      <c r="I19" s="22" t="s">
        <v>104</v>
      </c>
      <c r="J19">
        <v>1066131801</v>
      </c>
      <c r="K19" t="s">
        <v>106</v>
      </c>
      <c r="L19" t="s">
        <v>107</v>
      </c>
      <c r="M19">
        <v>9</v>
      </c>
      <c r="N19">
        <v>8</v>
      </c>
      <c r="O19">
        <v>8</v>
      </c>
      <c r="P19" t="s">
        <v>108</v>
      </c>
      <c r="Q19">
        <v>4899140</v>
      </c>
      <c r="R19">
        <v>39193</v>
      </c>
      <c r="S19">
        <v>20141218</v>
      </c>
      <c r="T19">
        <v>0</v>
      </c>
      <c r="U19">
        <v>0</v>
      </c>
      <c r="V19">
        <v>39193</v>
      </c>
      <c r="W19" t="s">
        <v>109</v>
      </c>
      <c r="X19" t="s">
        <v>110</v>
      </c>
      <c r="AD19">
        <v>16</v>
      </c>
      <c r="AE19" s="24" t="s">
        <v>513</v>
      </c>
      <c r="AG19" s="24" t="s">
        <v>190</v>
      </c>
      <c r="AH19" s="24" t="s">
        <v>191</v>
      </c>
      <c r="AI19">
        <v>8</v>
      </c>
      <c r="AJ19">
        <v>0</v>
      </c>
      <c r="AK19" s="24" t="s">
        <v>178</v>
      </c>
      <c r="AL19" s="24" t="s">
        <v>506</v>
      </c>
      <c r="AM19" s="24" t="s">
        <v>507</v>
      </c>
      <c r="AN19" s="24" t="s">
        <v>179</v>
      </c>
      <c r="AO19" s="24" t="s">
        <v>513</v>
      </c>
    </row>
    <row r="20" spans="5:41" x14ac:dyDescent="0.25">
      <c r="E20">
        <v>2</v>
      </c>
      <c r="F20" t="s">
        <v>135</v>
      </c>
      <c r="G20">
        <v>8</v>
      </c>
      <c r="H20" t="s">
        <v>103</v>
      </c>
      <c r="I20" s="22" t="s">
        <v>104</v>
      </c>
      <c r="J20">
        <v>1063874001</v>
      </c>
      <c r="K20" t="s">
        <v>106</v>
      </c>
      <c r="L20" t="s">
        <v>136</v>
      </c>
      <c r="M20">
        <v>9</v>
      </c>
      <c r="N20">
        <v>14</v>
      </c>
      <c r="O20">
        <v>14</v>
      </c>
      <c r="P20" t="s">
        <v>108</v>
      </c>
      <c r="Q20">
        <v>4178550</v>
      </c>
      <c r="R20">
        <v>58500</v>
      </c>
      <c r="S20">
        <v>20141211</v>
      </c>
      <c r="T20">
        <v>0</v>
      </c>
      <c r="U20">
        <v>0</v>
      </c>
      <c r="V20">
        <v>58500</v>
      </c>
      <c r="W20" t="s">
        <v>109</v>
      </c>
      <c r="X20" t="s">
        <v>110</v>
      </c>
      <c r="AD20">
        <v>17</v>
      </c>
      <c r="AE20" s="24" t="s">
        <v>514</v>
      </c>
      <c r="AG20" s="24" t="s">
        <v>192</v>
      </c>
      <c r="AH20" s="24" t="s">
        <v>193</v>
      </c>
      <c r="AI20">
        <v>14</v>
      </c>
      <c r="AJ20">
        <v>0</v>
      </c>
      <c r="AK20" s="24" t="s">
        <v>194</v>
      </c>
      <c r="AL20" s="24" t="s">
        <v>506</v>
      </c>
      <c r="AM20" s="24" t="s">
        <v>507</v>
      </c>
      <c r="AN20" s="24" t="s">
        <v>195</v>
      </c>
      <c r="AO20" s="24" t="s">
        <v>514</v>
      </c>
    </row>
    <row r="21" spans="5:41" x14ac:dyDescent="0.25">
      <c r="E21">
        <v>2</v>
      </c>
      <c r="F21" t="s">
        <v>135</v>
      </c>
      <c r="G21">
        <v>9</v>
      </c>
      <c r="H21" t="s">
        <v>103</v>
      </c>
      <c r="I21" s="22" t="s">
        <v>104</v>
      </c>
      <c r="J21">
        <v>1066539001</v>
      </c>
      <c r="K21" t="s">
        <v>106</v>
      </c>
      <c r="L21" t="s">
        <v>136</v>
      </c>
      <c r="M21">
        <v>9</v>
      </c>
      <c r="N21">
        <v>3</v>
      </c>
      <c r="O21">
        <v>3</v>
      </c>
      <c r="P21" t="s">
        <v>108</v>
      </c>
      <c r="Q21">
        <v>4178550</v>
      </c>
      <c r="R21">
        <v>12536</v>
      </c>
      <c r="S21">
        <v>20141219</v>
      </c>
      <c r="T21">
        <v>0</v>
      </c>
      <c r="U21">
        <v>0</v>
      </c>
      <c r="V21">
        <v>12536</v>
      </c>
      <c r="W21" t="s">
        <v>109</v>
      </c>
      <c r="X21" t="s">
        <v>110</v>
      </c>
      <c r="AD21">
        <v>18</v>
      </c>
      <c r="AE21" s="24" t="s">
        <v>515</v>
      </c>
      <c r="AG21" s="24" t="s">
        <v>196</v>
      </c>
      <c r="AH21" s="24" t="s">
        <v>197</v>
      </c>
      <c r="AI21">
        <v>3</v>
      </c>
      <c r="AJ21">
        <v>0</v>
      </c>
      <c r="AK21" s="24" t="s">
        <v>194</v>
      </c>
      <c r="AL21" s="24" t="s">
        <v>506</v>
      </c>
      <c r="AM21" s="24" t="s">
        <v>507</v>
      </c>
      <c r="AN21" s="24" t="s">
        <v>195</v>
      </c>
      <c r="AO21" s="24" t="s">
        <v>515</v>
      </c>
    </row>
    <row r="22" spans="5:41" x14ac:dyDescent="0.25">
      <c r="E22">
        <v>2</v>
      </c>
      <c r="F22" t="s">
        <v>135</v>
      </c>
      <c r="G22">
        <v>10</v>
      </c>
      <c r="H22" t="s">
        <v>103</v>
      </c>
      <c r="I22" s="22" t="s">
        <v>104</v>
      </c>
      <c r="J22">
        <v>1065310401</v>
      </c>
      <c r="K22" t="s">
        <v>106</v>
      </c>
      <c r="L22" t="s">
        <v>136</v>
      </c>
      <c r="M22">
        <v>9</v>
      </c>
      <c r="N22">
        <v>28</v>
      </c>
      <c r="O22">
        <v>28</v>
      </c>
      <c r="P22" t="s">
        <v>108</v>
      </c>
      <c r="Q22">
        <v>4178550</v>
      </c>
      <c r="R22">
        <v>116999</v>
      </c>
      <c r="S22">
        <v>20141216</v>
      </c>
      <c r="T22">
        <v>0</v>
      </c>
      <c r="U22">
        <v>0</v>
      </c>
      <c r="V22">
        <v>116999</v>
      </c>
      <c r="W22" t="s">
        <v>109</v>
      </c>
      <c r="X22" t="s">
        <v>110</v>
      </c>
      <c r="AD22">
        <v>19</v>
      </c>
      <c r="AE22" s="24" t="s">
        <v>516</v>
      </c>
      <c r="AG22" s="24" t="s">
        <v>198</v>
      </c>
      <c r="AH22" s="24" t="s">
        <v>199</v>
      </c>
      <c r="AI22">
        <v>28</v>
      </c>
      <c r="AJ22">
        <v>0</v>
      </c>
      <c r="AK22" s="24" t="s">
        <v>194</v>
      </c>
      <c r="AL22" s="24" t="s">
        <v>506</v>
      </c>
      <c r="AM22" s="24" t="s">
        <v>507</v>
      </c>
      <c r="AN22" s="24" t="s">
        <v>195</v>
      </c>
      <c r="AO22" s="24" t="s">
        <v>516</v>
      </c>
    </row>
    <row r="23" spans="5:41" x14ac:dyDescent="0.25">
      <c r="E23">
        <v>2</v>
      </c>
      <c r="F23" t="s">
        <v>135</v>
      </c>
      <c r="G23">
        <v>11</v>
      </c>
      <c r="H23" t="s">
        <v>103</v>
      </c>
      <c r="I23" s="22" t="s">
        <v>104</v>
      </c>
      <c r="J23">
        <v>1064300401</v>
      </c>
      <c r="K23" t="s">
        <v>106</v>
      </c>
      <c r="L23" t="s">
        <v>136</v>
      </c>
      <c r="M23">
        <v>9</v>
      </c>
      <c r="N23">
        <v>24</v>
      </c>
      <c r="O23">
        <v>24</v>
      </c>
      <c r="P23" t="s">
        <v>108</v>
      </c>
      <c r="Q23">
        <v>4178550</v>
      </c>
      <c r="R23">
        <v>100285</v>
      </c>
      <c r="S23">
        <v>20141212</v>
      </c>
      <c r="T23">
        <v>0</v>
      </c>
      <c r="U23">
        <v>0</v>
      </c>
      <c r="V23">
        <v>100285</v>
      </c>
      <c r="W23" t="s">
        <v>109</v>
      </c>
      <c r="X23" t="s">
        <v>110</v>
      </c>
      <c r="AD23">
        <v>20</v>
      </c>
      <c r="AE23" s="24" t="s">
        <v>517</v>
      </c>
      <c r="AG23" s="24" t="s">
        <v>200</v>
      </c>
      <c r="AH23" s="24" t="s">
        <v>201</v>
      </c>
      <c r="AI23">
        <v>24</v>
      </c>
      <c r="AJ23">
        <v>0</v>
      </c>
      <c r="AK23" s="24" t="s">
        <v>194</v>
      </c>
      <c r="AL23" s="24" t="s">
        <v>506</v>
      </c>
      <c r="AM23" s="24" t="s">
        <v>507</v>
      </c>
      <c r="AN23" s="24" t="s">
        <v>195</v>
      </c>
      <c r="AO23" s="24" t="s">
        <v>517</v>
      </c>
    </row>
    <row r="24" spans="5:41" x14ac:dyDescent="0.25">
      <c r="E24">
        <v>2</v>
      </c>
      <c r="F24" t="s">
        <v>135</v>
      </c>
      <c r="G24">
        <v>12</v>
      </c>
      <c r="H24" t="s">
        <v>103</v>
      </c>
      <c r="I24" s="22" t="s">
        <v>104</v>
      </c>
      <c r="J24">
        <v>1065713901</v>
      </c>
      <c r="K24" t="s">
        <v>106</v>
      </c>
      <c r="L24" t="s">
        <v>136</v>
      </c>
      <c r="M24">
        <v>9</v>
      </c>
      <c r="N24">
        <v>32</v>
      </c>
      <c r="O24">
        <v>32</v>
      </c>
      <c r="P24" t="s">
        <v>108</v>
      </c>
      <c r="Q24">
        <v>4178550</v>
      </c>
      <c r="R24">
        <v>133714</v>
      </c>
      <c r="S24">
        <v>20141217</v>
      </c>
      <c r="T24">
        <v>0</v>
      </c>
      <c r="U24">
        <v>0</v>
      </c>
      <c r="V24">
        <v>133714</v>
      </c>
      <c r="W24" t="s">
        <v>109</v>
      </c>
      <c r="X24" t="s">
        <v>110</v>
      </c>
      <c r="AD24">
        <v>21</v>
      </c>
      <c r="AE24" s="24" t="s">
        <v>518</v>
      </c>
      <c r="AG24" s="24" t="s">
        <v>202</v>
      </c>
      <c r="AH24" s="24" t="s">
        <v>203</v>
      </c>
      <c r="AI24">
        <v>32</v>
      </c>
      <c r="AJ24">
        <v>0</v>
      </c>
      <c r="AK24" s="24" t="s">
        <v>194</v>
      </c>
      <c r="AL24" s="24" t="s">
        <v>506</v>
      </c>
      <c r="AM24" s="24" t="s">
        <v>507</v>
      </c>
      <c r="AN24" s="24" t="s">
        <v>195</v>
      </c>
      <c r="AO24" s="24" t="s">
        <v>518</v>
      </c>
    </row>
    <row r="25" spans="5:41" x14ac:dyDescent="0.25">
      <c r="E25">
        <v>2</v>
      </c>
      <c r="F25" t="s">
        <v>135</v>
      </c>
      <c r="G25">
        <v>13</v>
      </c>
      <c r="H25" t="s">
        <v>103</v>
      </c>
      <c r="I25" s="22" t="s">
        <v>104</v>
      </c>
      <c r="J25">
        <v>1066131901</v>
      </c>
      <c r="K25" t="s">
        <v>106</v>
      </c>
      <c r="L25" t="s">
        <v>136</v>
      </c>
      <c r="M25">
        <v>9</v>
      </c>
      <c r="N25">
        <v>24</v>
      </c>
      <c r="O25">
        <v>24</v>
      </c>
      <c r="P25" t="s">
        <v>108</v>
      </c>
      <c r="Q25">
        <v>4178550</v>
      </c>
      <c r="R25">
        <v>100285</v>
      </c>
      <c r="S25">
        <v>20141218</v>
      </c>
      <c r="T25">
        <v>0</v>
      </c>
      <c r="U25">
        <v>0</v>
      </c>
      <c r="V25">
        <v>100285</v>
      </c>
      <c r="W25" t="s">
        <v>109</v>
      </c>
      <c r="X25" t="s">
        <v>110</v>
      </c>
      <c r="AD25">
        <v>22</v>
      </c>
      <c r="AE25" s="24" t="s">
        <v>519</v>
      </c>
      <c r="AG25" s="24" t="s">
        <v>204</v>
      </c>
      <c r="AH25" s="24" t="s">
        <v>205</v>
      </c>
      <c r="AI25">
        <v>24</v>
      </c>
      <c r="AJ25">
        <v>0</v>
      </c>
      <c r="AK25" s="24" t="s">
        <v>194</v>
      </c>
      <c r="AL25" s="24" t="s">
        <v>506</v>
      </c>
      <c r="AM25" s="24" t="s">
        <v>507</v>
      </c>
      <c r="AN25" s="24" t="s">
        <v>195</v>
      </c>
      <c r="AO25" s="24" t="s">
        <v>519</v>
      </c>
    </row>
    <row r="26" spans="5:41" x14ac:dyDescent="0.25">
      <c r="E26">
        <v>2</v>
      </c>
      <c r="F26" t="s">
        <v>135</v>
      </c>
      <c r="G26">
        <v>14</v>
      </c>
      <c r="H26" t="s">
        <v>103</v>
      </c>
      <c r="I26" s="22" t="s">
        <v>104</v>
      </c>
      <c r="J26">
        <v>1063402501</v>
      </c>
      <c r="K26" t="s">
        <v>106</v>
      </c>
      <c r="L26" t="s">
        <v>136</v>
      </c>
      <c r="M26">
        <v>9</v>
      </c>
      <c r="N26">
        <v>16</v>
      </c>
      <c r="O26">
        <v>16</v>
      </c>
      <c r="P26" t="s">
        <v>108</v>
      </c>
      <c r="Q26">
        <v>4178550</v>
      </c>
      <c r="R26">
        <v>66857</v>
      </c>
      <c r="S26">
        <v>20141210</v>
      </c>
      <c r="T26">
        <v>0</v>
      </c>
      <c r="U26">
        <v>0</v>
      </c>
      <c r="V26">
        <v>66857</v>
      </c>
      <c r="W26" t="s">
        <v>109</v>
      </c>
      <c r="X26" t="s">
        <v>110</v>
      </c>
      <c r="AD26">
        <v>23</v>
      </c>
      <c r="AE26" s="24" t="s">
        <v>520</v>
      </c>
      <c r="AG26" s="24" t="s">
        <v>206</v>
      </c>
      <c r="AH26" s="24" t="s">
        <v>207</v>
      </c>
      <c r="AI26">
        <v>16</v>
      </c>
      <c r="AJ26">
        <v>0</v>
      </c>
      <c r="AK26" s="24" t="s">
        <v>194</v>
      </c>
      <c r="AL26" s="24" t="s">
        <v>506</v>
      </c>
      <c r="AM26" s="24" t="s">
        <v>507</v>
      </c>
      <c r="AN26" s="24" t="s">
        <v>195</v>
      </c>
      <c r="AO26" s="24" t="s">
        <v>520</v>
      </c>
    </row>
    <row r="27" spans="5:41" x14ac:dyDescent="0.25">
      <c r="E27">
        <v>2</v>
      </c>
      <c r="F27" t="s">
        <v>135</v>
      </c>
      <c r="G27">
        <v>15</v>
      </c>
      <c r="H27" t="s">
        <v>103</v>
      </c>
      <c r="I27" s="22" t="s">
        <v>104</v>
      </c>
      <c r="J27">
        <v>1061361001</v>
      </c>
      <c r="K27" t="s">
        <v>106</v>
      </c>
      <c r="L27" t="s">
        <v>136</v>
      </c>
      <c r="M27">
        <v>9</v>
      </c>
      <c r="N27">
        <v>6</v>
      </c>
      <c r="O27">
        <v>6</v>
      </c>
      <c r="P27" t="s">
        <v>108</v>
      </c>
      <c r="Q27">
        <v>4178550</v>
      </c>
      <c r="R27">
        <v>25071</v>
      </c>
      <c r="S27">
        <v>20141204</v>
      </c>
      <c r="T27">
        <v>0</v>
      </c>
      <c r="U27">
        <v>0</v>
      </c>
      <c r="V27">
        <v>25071</v>
      </c>
      <c r="W27" t="s">
        <v>109</v>
      </c>
      <c r="X27" t="s">
        <v>110</v>
      </c>
      <c r="AD27">
        <v>24</v>
      </c>
      <c r="AE27" s="24" t="s">
        <v>521</v>
      </c>
      <c r="AG27" s="24" t="s">
        <v>208</v>
      </c>
      <c r="AH27" s="24" t="s">
        <v>209</v>
      </c>
      <c r="AI27">
        <v>6</v>
      </c>
      <c r="AJ27">
        <v>0</v>
      </c>
      <c r="AK27" s="24" t="s">
        <v>194</v>
      </c>
      <c r="AL27" s="24" t="s">
        <v>506</v>
      </c>
      <c r="AM27" s="24" t="s">
        <v>507</v>
      </c>
      <c r="AN27" s="24" t="s">
        <v>195</v>
      </c>
      <c r="AO27" s="24" t="s">
        <v>521</v>
      </c>
    </row>
    <row r="28" spans="5:41" x14ac:dyDescent="0.25">
      <c r="E28">
        <v>2</v>
      </c>
      <c r="F28" t="s">
        <v>135</v>
      </c>
      <c r="G28">
        <v>16</v>
      </c>
      <c r="H28" t="s">
        <v>103</v>
      </c>
      <c r="I28" s="22" t="s">
        <v>104</v>
      </c>
      <c r="J28">
        <v>1064728601</v>
      </c>
      <c r="K28" t="s">
        <v>106</v>
      </c>
      <c r="L28" t="s">
        <v>136</v>
      </c>
      <c r="M28">
        <v>9</v>
      </c>
      <c r="N28">
        <v>16</v>
      </c>
      <c r="O28">
        <v>16</v>
      </c>
      <c r="P28" t="s">
        <v>108</v>
      </c>
      <c r="Q28">
        <v>4178550</v>
      </c>
      <c r="R28">
        <v>66857</v>
      </c>
      <c r="S28">
        <v>20141215</v>
      </c>
      <c r="T28">
        <v>0</v>
      </c>
      <c r="U28">
        <v>0</v>
      </c>
      <c r="V28">
        <v>66857</v>
      </c>
      <c r="W28" t="s">
        <v>109</v>
      </c>
      <c r="X28" t="s">
        <v>110</v>
      </c>
      <c r="AD28">
        <v>25</v>
      </c>
      <c r="AE28" s="24" t="s">
        <v>522</v>
      </c>
      <c r="AG28" s="24" t="s">
        <v>210</v>
      </c>
      <c r="AH28" s="24" t="s">
        <v>211</v>
      </c>
      <c r="AI28">
        <v>16</v>
      </c>
      <c r="AJ28">
        <v>0</v>
      </c>
      <c r="AK28" s="24" t="s">
        <v>194</v>
      </c>
      <c r="AL28" s="24" t="s">
        <v>506</v>
      </c>
      <c r="AM28" s="24" t="s">
        <v>507</v>
      </c>
      <c r="AN28" s="24" t="s">
        <v>195</v>
      </c>
      <c r="AO28" s="24" t="s">
        <v>522</v>
      </c>
    </row>
    <row r="29" spans="5:41" x14ac:dyDescent="0.25">
      <c r="E29">
        <v>2</v>
      </c>
      <c r="F29" t="s">
        <v>135</v>
      </c>
      <c r="G29">
        <v>17</v>
      </c>
      <c r="H29" t="s">
        <v>103</v>
      </c>
      <c r="I29" s="22" t="s">
        <v>104</v>
      </c>
      <c r="J29">
        <v>1060536701</v>
      </c>
      <c r="K29" t="s">
        <v>106</v>
      </c>
      <c r="L29" t="s">
        <v>131</v>
      </c>
      <c r="M29">
        <v>9</v>
      </c>
      <c r="N29">
        <v>26</v>
      </c>
      <c r="O29">
        <v>26</v>
      </c>
      <c r="P29" t="s">
        <v>108</v>
      </c>
      <c r="Q29">
        <v>4592520</v>
      </c>
      <c r="R29">
        <v>119406</v>
      </c>
      <c r="S29">
        <v>20141202</v>
      </c>
      <c r="T29">
        <v>0</v>
      </c>
      <c r="U29">
        <v>0</v>
      </c>
      <c r="V29">
        <v>119406</v>
      </c>
      <c r="W29" t="s">
        <v>109</v>
      </c>
      <c r="X29" t="s">
        <v>110</v>
      </c>
      <c r="AD29">
        <v>26</v>
      </c>
      <c r="AE29" s="24" t="s">
        <v>523</v>
      </c>
      <c r="AG29" s="24" t="s">
        <v>212</v>
      </c>
      <c r="AH29" s="24" t="s">
        <v>213</v>
      </c>
      <c r="AI29">
        <v>26</v>
      </c>
      <c r="AJ29">
        <v>0</v>
      </c>
      <c r="AK29" s="24" t="s">
        <v>214</v>
      </c>
      <c r="AL29" s="24" t="s">
        <v>506</v>
      </c>
      <c r="AM29" s="24" t="s">
        <v>507</v>
      </c>
      <c r="AN29" s="24" t="s">
        <v>215</v>
      </c>
      <c r="AO29" s="24" t="s">
        <v>523</v>
      </c>
    </row>
    <row r="30" spans="5:41" x14ac:dyDescent="0.25">
      <c r="E30">
        <v>2</v>
      </c>
      <c r="F30" t="s">
        <v>135</v>
      </c>
      <c r="G30">
        <v>18</v>
      </c>
      <c r="H30" t="s">
        <v>103</v>
      </c>
      <c r="I30" s="22" t="s">
        <v>104</v>
      </c>
      <c r="J30">
        <v>1060943411</v>
      </c>
      <c r="K30" t="s">
        <v>106</v>
      </c>
      <c r="L30" t="s">
        <v>131</v>
      </c>
      <c r="M30">
        <v>9</v>
      </c>
      <c r="N30">
        <v>5</v>
      </c>
      <c r="O30">
        <v>5</v>
      </c>
      <c r="P30" t="s">
        <v>108</v>
      </c>
      <c r="Q30">
        <v>4592520</v>
      </c>
      <c r="R30">
        <v>22963</v>
      </c>
      <c r="S30">
        <v>20141204</v>
      </c>
      <c r="T30">
        <v>0</v>
      </c>
      <c r="U30">
        <v>0</v>
      </c>
      <c r="V30">
        <v>22963</v>
      </c>
      <c r="W30" t="s">
        <v>109</v>
      </c>
      <c r="X30" t="s">
        <v>110</v>
      </c>
      <c r="AD30">
        <v>27</v>
      </c>
      <c r="AE30" s="24" t="s">
        <v>524</v>
      </c>
      <c r="AG30" s="24" t="s">
        <v>216</v>
      </c>
      <c r="AH30" s="24" t="s">
        <v>217</v>
      </c>
      <c r="AI30">
        <v>5</v>
      </c>
      <c r="AJ30">
        <v>0</v>
      </c>
      <c r="AK30" s="24" t="s">
        <v>214</v>
      </c>
      <c r="AL30" s="24" t="s">
        <v>506</v>
      </c>
      <c r="AM30" s="24" t="s">
        <v>507</v>
      </c>
      <c r="AN30" s="24" t="s">
        <v>215</v>
      </c>
      <c r="AO30" s="24" t="s">
        <v>524</v>
      </c>
    </row>
    <row r="31" spans="5:41" x14ac:dyDescent="0.25">
      <c r="E31">
        <v>2</v>
      </c>
      <c r="F31" t="s">
        <v>135</v>
      </c>
      <c r="G31">
        <v>19</v>
      </c>
      <c r="H31" t="s">
        <v>103</v>
      </c>
      <c r="I31" s="22" t="s">
        <v>104</v>
      </c>
      <c r="J31">
        <v>1061361401</v>
      </c>
      <c r="K31" t="s">
        <v>106</v>
      </c>
      <c r="L31" t="s">
        <v>131</v>
      </c>
      <c r="M31">
        <v>9</v>
      </c>
      <c r="N31">
        <v>22</v>
      </c>
      <c r="O31">
        <v>22</v>
      </c>
      <c r="P31" t="s">
        <v>108</v>
      </c>
      <c r="Q31">
        <v>4592520</v>
      </c>
      <c r="R31">
        <v>101035</v>
      </c>
      <c r="S31">
        <v>20141204</v>
      </c>
      <c r="T31">
        <v>0</v>
      </c>
      <c r="U31">
        <v>0</v>
      </c>
      <c r="V31">
        <v>101035</v>
      </c>
      <c r="W31" t="s">
        <v>109</v>
      </c>
      <c r="X31" t="s">
        <v>110</v>
      </c>
      <c r="AD31">
        <v>28</v>
      </c>
      <c r="AE31" s="24" t="s">
        <v>525</v>
      </c>
      <c r="AG31" s="24" t="s">
        <v>218</v>
      </c>
      <c r="AH31" s="24" t="s">
        <v>219</v>
      </c>
      <c r="AI31">
        <v>22</v>
      </c>
      <c r="AJ31">
        <v>0</v>
      </c>
      <c r="AK31" s="24" t="s">
        <v>214</v>
      </c>
      <c r="AL31" s="24" t="s">
        <v>506</v>
      </c>
      <c r="AM31" s="24" t="s">
        <v>507</v>
      </c>
      <c r="AN31" s="24" t="s">
        <v>215</v>
      </c>
      <c r="AO31" s="24" t="s">
        <v>525</v>
      </c>
    </row>
    <row r="32" spans="5:41" x14ac:dyDescent="0.25">
      <c r="E32">
        <v>2</v>
      </c>
      <c r="F32" t="s">
        <v>135</v>
      </c>
      <c r="G32">
        <v>20</v>
      </c>
      <c r="H32" t="s">
        <v>103</v>
      </c>
      <c r="I32" s="22" t="s">
        <v>104</v>
      </c>
      <c r="J32">
        <v>1061803701</v>
      </c>
      <c r="K32" t="s">
        <v>106</v>
      </c>
      <c r="L32" t="s">
        <v>131</v>
      </c>
      <c r="M32">
        <v>9</v>
      </c>
      <c r="N32">
        <v>20</v>
      </c>
      <c r="O32">
        <v>20</v>
      </c>
      <c r="P32" t="s">
        <v>108</v>
      </c>
      <c r="Q32">
        <v>4592520</v>
      </c>
      <c r="R32">
        <v>91850</v>
      </c>
      <c r="S32">
        <v>20141205</v>
      </c>
      <c r="T32">
        <v>0</v>
      </c>
      <c r="U32">
        <v>0</v>
      </c>
      <c r="V32">
        <v>91850</v>
      </c>
      <c r="W32" t="s">
        <v>109</v>
      </c>
      <c r="X32" t="s">
        <v>110</v>
      </c>
      <c r="AD32">
        <v>29</v>
      </c>
      <c r="AE32" s="24" t="s">
        <v>526</v>
      </c>
      <c r="AG32" s="24" t="s">
        <v>220</v>
      </c>
      <c r="AH32" s="24" t="s">
        <v>221</v>
      </c>
      <c r="AI32">
        <v>20</v>
      </c>
      <c r="AJ32">
        <v>0</v>
      </c>
      <c r="AK32" s="24" t="s">
        <v>214</v>
      </c>
      <c r="AL32" s="24" t="s">
        <v>506</v>
      </c>
      <c r="AM32" s="24" t="s">
        <v>507</v>
      </c>
      <c r="AN32" s="24" t="s">
        <v>215</v>
      </c>
      <c r="AO32" s="24" t="s">
        <v>526</v>
      </c>
    </row>
    <row r="33" spans="5:41" x14ac:dyDescent="0.25">
      <c r="E33">
        <v>2</v>
      </c>
      <c r="F33" t="s">
        <v>135</v>
      </c>
      <c r="G33">
        <v>21</v>
      </c>
      <c r="H33" t="s">
        <v>103</v>
      </c>
      <c r="I33" s="22" t="s">
        <v>104</v>
      </c>
      <c r="J33">
        <v>1062265301</v>
      </c>
      <c r="K33" t="s">
        <v>106</v>
      </c>
      <c r="L33" t="s">
        <v>131</v>
      </c>
      <c r="M33">
        <v>9</v>
      </c>
      <c r="N33">
        <v>2</v>
      </c>
      <c r="O33">
        <v>2</v>
      </c>
      <c r="P33" t="s">
        <v>108</v>
      </c>
      <c r="Q33">
        <v>4592520</v>
      </c>
      <c r="R33">
        <v>9185</v>
      </c>
      <c r="S33">
        <v>20141208</v>
      </c>
      <c r="T33">
        <v>0</v>
      </c>
      <c r="U33">
        <v>0</v>
      </c>
      <c r="V33">
        <v>9185</v>
      </c>
      <c r="W33" t="s">
        <v>109</v>
      </c>
      <c r="X33" t="s">
        <v>110</v>
      </c>
      <c r="AD33">
        <v>30</v>
      </c>
      <c r="AE33" s="24" t="s">
        <v>527</v>
      </c>
      <c r="AG33" s="24" t="s">
        <v>222</v>
      </c>
      <c r="AH33" s="24" t="s">
        <v>223</v>
      </c>
      <c r="AI33">
        <v>2</v>
      </c>
      <c r="AJ33">
        <v>0</v>
      </c>
      <c r="AK33" s="24" t="s">
        <v>214</v>
      </c>
      <c r="AL33" s="24" t="s">
        <v>506</v>
      </c>
      <c r="AM33" s="24" t="s">
        <v>507</v>
      </c>
      <c r="AN33" s="24" t="s">
        <v>215</v>
      </c>
      <c r="AO33" s="24" t="s">
        <v>527</v>
      </c>
    </row>
    <row r="34" spans="5:41" x14ac:dyDescent="0.25">
      <c r="E34">
        <v>2</v>
      </c>
      <c r="F34" t="s">
        <v>135</v>
      </c>
      <c r="G34">
        <v>22</v>
      </c>
      <c r="H34" t="s">
        <v>103</v>
      </c>
      <c r="I34" s="22" t="s">
        <v>104</v>
      </c>
      <c r="J34">
        <v>1062953101</v>
      </c>
      <c r="K34" t="s">
        <v>106</v>
      </c>
      <c r="L34" t="s">
        <v>131</v>
      </c>
      <c r="M34">
        <v>9</v>
      </c>
      <c r="N34">
        <v>28</v>
      </c>
      <c r="O34">
        <v>28</v>
      </c>
      <c r="P34" t="s">
        <v>108</v>
      </c>
      <c r="Q34">
        <v>4592520</v>
      </c>
      <c r="R34">
        <v>128591</v>
      </c>
      <c r="S34">
        <v>20141209</v>
      </c>
      <c r="T34">
        <v>0</v>
      </c>
      <c r="U34">
        <v>0</v>
      </c>
      <c r="V34">
        <v>128591</v>
      </c>
      <c r="W34" t="s">
        <v>109</v>
      </c>
      <c r="X34" t="s">
        <v>110</v>
      </c>
      <c r="AD34">
        <v>31</v>
      </c>
      <c r="AE34" s="24" t="s">
        <v>528</v>
      </c>
      <c r="AG34" s="24" t="s">
        <v>224</v>
      </c>
      <c r="AH34" s="24" t="s">
        <v>225</v>
      </c>
      <c r="AI34">
        <v>28</v>
      </c>
      <c r="AJ34">
        <v>0</v>
      </c>
      <c r="AK34" s="24" t="s">
        <v>214</v>
      </c>
      <c r="AL34" s="24" t="s">
        <v>506</v>
      </c>
      <c r="AM34" s="24" t="s">
        <v>507</v>
      </c>
      <c r="AN34" s="24" t="s">
        <v>215</v>
      </c>
      <c r="AO34" s="24" t="s">
        <v>528</v>
      </c>
    </row>
    <row r="35" spans="5:41" x14ac:dyDescent="0.25">
      <c r="E35">
        <v>2</v>
      </c>
      <c r="F35" t="s">
        <v>137</v>
      </c>
      <c r="G35">
        <v>1</v>
      </c>
      <c r="H35" t="s">
        <v>103</v>
      </c>
      <c r="I35" s="22" t="s">
        <v>104</v>
      </c>
      <c r="J35">
        <v>1060943401</v>
      </c>
      <c r="K35" t="s">
        <v>106</v>
      </c>
      <c r="L35" t="s">
        <v>131</v>
      </c>
      <c r="M35">
        <v>9</v>
      </c>
      <c r="N35">
        <v>5</v>
      </c>
      <c r="O35">
        <v>5</v>
      </c>
      <c r="P35" t="s">
        <v>108</v>
      </c>
      <c r="Q35">
        <v>4592520</v>
      </c>
      <c r="R35">
        <v>22963</v>
      </c>
      <c r="S35">
        <v>20141203</v>
      </c>
      <c r="T35">
        <v>0</v>
      </c>
      <c r="U35">
        <v>0</v>
      </c>
      <c r="V35">
        <v>22963</v>
      </c>
      <c r="W35" t="s">
        <v>109</v>
      </c>
      <c r="X35" t="s">
        <v>110</v>
      </c>
      <c r="Y35">
        <v>3</v>
      </c>
      <c r="Z35">
        <v>710600</v>
      </c>
      <c r="AA35">
        <v>0</v>
      </c>
      <c r="AB35">
        <v>0</v>
      </c>
      <c r="AC35">
        <v>710600</v>
      </c>
      <c r="AD35">
        <v>32</v>
      </c>
      <c r="AE35" s="24" t="s">
        <v>529</v>
      </c>
      <c r="AG35" s="24" t="s">
        <v>226</v>
      </c>
      <c r="AH35" s="24" t="s">
        <v>227</v>
      </c>
      <c r="AI35">
        <v>5</v>
      </c>
      <c r="AJ35">
        <v>0</v>
      </c>
      <c r="AK35" s="24" t="s">
        <v>214</v>
      </c>
      <c r="AL35" s="24" t="s">
        <v>506</v>
      </c>
      <c r="AM35" s="24" t="s">
        <v>507</v>
      </c>
      <c r="AN35" s="24" t="s">
        <v>215</v>
      </c>
      <c r="AO35" s="24" t="s">
        <v>529</v>
      </c>
    </row>
    <row r="36" spans="5:41" x14ac:dyDescent="0.25">
      <c r="E36">
        <v>2</v>
      </c>
      <c r="F36" t="s">
        <v>137</v>
      </c>
      <c r="G36">
        <v>2</v>
      </c>
      <c r="H36" t="s">
        <v>103</v>
      </c>
      <c r="I36" s="22" t="s">
        <v>104</v>
      </c>
      <c r="J36">
        <v>1060536801</v>
      </c>
      <c r="K36" t="s">
        <v>106</v>
      </c>
      <c r="L36" t="s">
        <v>138</v>
      </c>
      <c r="M36">
        <v>9</v>
      </c>
      <c r="N36">
        <v>8</v>
      </c>
      <c r="O36">
        <v>8</v>
      </c>
      <c r="P36" t="s">
        <v>108</v>
      </c>
      <c r="Q36">
        <v>4341400</v>
      </c>
      <c r="R36">
        <v>34731</v>
      </c>
      <c r="S36">
        <v>20141202</v>
      </c>
      <c r="T36">
        <v>0</v>
      </c>
      <c r="U36">
        <v>0</v>
      </c>
      <c r="V36">
        <v>34731</v>
      </c>
      <c r="W36" t="s">
        <v>109</v>
      </c>
      <c r="X36" t="s">
        <v>110</v>
      </c>
      <c r="AD36">
        <v>33</v>
      </c>
      <c r="AE36" s="24" t="s">
        <v>530</v>
      </c>
      <c r="AG36" s="24" t="s">
        <v>228</v>
      </c>
      <c r="AH36" s="24" t="s">
        <v>229</v>
      </c>
      <c r="AI36">
        <v>8</v>
      </c>
      <c r="AJ36">
        <v>0</v>
      </c>
      <c r="AK36" s="24" t="s">
        <v>230</v>
      </c>
      <c r="AL36" s="24" t="s">
        <v>506</v>
      </c>
      <c r="AM36" s="24" t="s">
        <v>507</v>
      </c>
      <c r="AN36" s="24" t="s">
        <v>231</v>
      </c>
      <c r="AO36" s="24" t="s">
        <v>530</v>
      </c>
    </row>
    <row r="37" spans="5:41" x14ac:dyDescent="0.25">
      <c r="E37">
        <v>2</v>
      </c>
      <c r="F37" t="s">
        <v>137</v>
      </c>
      <c r="G37">
        <v>3</v>
      </c>
      <c r="H37" t="s">
        <v>103</v>
      </c>
      <c r="I37" s="22" t="s">
        <v>104</v>
      </c>
      <c r="J37">
        <v>1061361201</v>
      </c>
      <c r="K37" t="s">
        <v>106</v>
      </c>
      <c r="L37" t="s">
        <v>138</v>
      </c>
      <c r="M37">
        <v>9</v>
      </c>
      <c r="N37">
        <v>6</v>
      </c>
      <c r="O37">
        <v>6</v>
      </c>
      <c r="P37" t="s">
        <v>108</v>
      </c>
      <c r="Q37">
        <v>4341400</v>
      </c>
      <c r="R37">
        <v>26048</v>
      </c>
      <c r="S37">
        <v>20141204</v>
      </c>
      <c r="T37">
        <v>0</v>
      </c>
      <c r="U37">
        <v>0</v>
      </c>
      <c r="V37">
        <v>26048</v>
      </c>
      <c r="W37" t="s">
        <v>109</v>
      </c>
      <c r="X37" t="s">
        <v>110</v>
      </c>
      <c r="AD37">
        <v>34</v>
      </c>
      <c r="AE37" s="24" t="s">
        <v>531</v>
      </c>
      <c r="AG37" s="24" t="s">
        <v>232</v>
      </c>
      <c r="AH37" s="24" t="s">
        <v>233</v>
      </c>
      <c r="AI37">
        <v>6</v>
      </c>
      <c r="AJ37">
        <v>0</v>
      </c>
      <c r="AK37" s="24" t="s">
        <v>230</v>
      </c>
      <c r="AL37" s="24" t="s">
        <v>506</v>
      </c>
      <c r="AM37" s="24" t="s">
        <v>507</v>
      </c>
      <c r="AN37" s="24" t="s">
        <v>231</v>
      </c>
      <c r="AO37" s="24" t="s">
        <v>531</v>
      </c>
    </row>
    <row r="38" spans="5:41" x14ac:dyDescent="0.25">
      <c r="E38">
        <v>2</v>
      </c>
      <c r="F38" t="s">
        <v>137</v>
      </c>
      <c r="G38">
        <v>4</v>
      </c>
      <c r="H38" t="s">
        <v>103</v>
      </c>
      <c r="I38" s="22" t="s">
        <v>104</v>
      </c>
      <c r="J38">
        <v>1062265201</v>
      </c>
      <c r="K38" t="s">
        <v>106</v>
      </c>
      <c r="L38" t="s">
        <v>138</v>
      </c>
      <c r="M38">
        <v>9</v>
      </c>
      <c r="N38">
        <v>4</v>
      </c>
      <c r="O38">
        <v>4</v>
      </c>
      <c r="P38" t="s">
        <v>108</v>
      </c>
      <c r="Q38">
        <v>4341400</v>
      </c>
      <c r="R38">
        <v>17366</v>
      </c>
      <c r="S38">
        <v>20141208</v>
      </c>
      <c r="T38">
        <v>0</v>
      </c>
      <c r="U38">
        <v>0</v>
      </c>
      <c r="V38">
        <v>17366</v>
      </c>
      <c r="W38" t="s">
        <v>109</v>
      </c>
      <c r="X38" t="s">
        <v>110</v>
      </c>
      <c r="AD38">
        <v>35</v>
      </c>
      <c r="AE38" s="24" t="s">
        <v>532</v>
      </c>
      <c r="AG38" s="24" t="s">
        <v>234</v>
      </c>
      <c r="AH38" s="24" t="s">
        <v>235</v>
      </c>
      <c r="AI38">
        <v>4</v>
      </c>
      <c r="AJ38">
        <v>0</v>
      </c>
      <c r="AK38" s="24" t="s">
        <v>230</v>
      </c>
      <c r="AL38" s="24" t="s">
        <v>506</v>
      </c>
      <c r="AM38" s="24" t="s">
        <v>507</v>
      </c>
      <c r="AN38" s="24" t="s">
        <v>231</v>
      </c>
      <c r="AO38" s="24" t="s">
        <v>532</v>
      </c>
    </row>
    <row r="39" spans="5:41" x14ac:dyDescent="0.25">
      <c r="E39">
        <v>2</v>
      </c>
      <c r="F39" t="s">
        <v>137</v>
      </c>
      <c r="G39">
        <v>5</v>
      </c>
      <c r="H39" t="s">
        <v>103</v>
      </c>
      <c r="I39" s="22" t="s">
        <v>104</v>
      </c>
      <c r="J39">
        <v>1061803901</v>
      </c>
      <c r="K39" t="s">
        <v>106</v>
      </c>
      <c r="L39" t="s">
        <v>138</v>
      </c>
      <c r="M39">
        <v>9</v>
      </c>
      <c r="N39">
        <v>5</v>
      </c>
      <c r="O39">
        <v>5</v>
      </c>
      <c r="P39" t="s">
        <v>108</v>
      </c>
      <c r="Q39">
        <v>4341400</v>
      </c>
      <c r="R39">
        <v>21707</v>
      </c>
      <c r="S39">
        <v>20141205</v>
      </c>
      <c r="T39">
        <v>0</v>
      </c>
      <c r="U39">
        <v>0</v>
      </c>
      <c r="V39">
        <v>21707</v>
      </c>
      <c r="W39" t="s">
        <v>109</v>
      </c>
      <c r="X39" t="s">
        <v>110</v>
      </c>
      <c r="AD39">
        <v>36</v>
      </c>
      <c r="AE39" s="24" t="s">
        <v>533</v>
      </c>
      <c r="AG39" s="24" t="s">
        <v>236</v>
      </c>
      <c r="AH39" s="24" t="s">
        <v>237</v>
      </c>
      <c r="AI39">
        <v>5</v>
      </c>
      <c r="AJ39">
        <v>0</v>
      </c>
      <c r="AK39" s="24" t="s">
        <v>230</v>
      </c>
      <c r="AL39" s="24" t="s">
        <v>506</v>
      </c>
      <c r="AM39" s="24" t="s">
        <v>507</v>
      </c>
      <c r="AN39" s="24" t="s">
        <v>231</v>
      </c>
      <c r="AO39" s="24" t="s">
        <v>533</v>
      </c>
    </row>
    <row r="40" spans="5:41" x14ac:dyDescent="0.25">
      <c r="E40">
        <v>2</v>
      </c>
      <c r="F40" t="s">
        <v>137</v>
      </c>
      <c r="G40">
        <v>6</v>
      </c>
      <c r="H40" t="s">
        <v>103</v>
      </c>
      <c r="I40" s="22" t="s">
        <v>104</v>
      </c>
      <c r="J40">
        <v>1060943501</v>
      </c>
      <c r="K40" t="s">
        <v>106</v>
      </c>
      <c r="L40" t="s">
        <v>138</v>
      </c>
      <c r="M40">
        <v>9</v>
      </c>
      <c r="N40">
        <v>20</v>
      </c>
      <c r="O40">
        <v>20</v>
      </c>
      <c r="P40" t="s">
        <v>108</v>
      </c>
      <c r="Q40">
        <v>4341400</v>
      </c>
      <c r="R40">
        <v>86828</v>
      </c>
      <c r="S40">
        <v>20141203</v>
      </c>
      <c r="T40">
        <v>0</v>
      </c>
      <c r="U40">
        <v>0</v>
      </c>
      <c r="V40">
        <v>86828</v>
      </c>
      <c r="W40" t="s">
        <v>109</v>
      </c>
      <c r="X40" t="s">
        <v>110</v>
      </c>
      <c r="AD40">
        <v>37</v>
      </c>
      <c r="AE40" s="24" t="s">
        <v>534</v>
      </c>
      <c r="AG40" s="24" t="s">
        <v>238</v>
      </c>
      <c r="AH40" s="24" t="s">
        <v>239</v>
      </c>
      <c r="AI40">
        <v>20</v>
      </c>
      <c r="AJ40">
        <v>0</v>
      </c>
      <c r="AK40" s="24" t="s">
        <v>230</v>
      </c>
      <c r="AL40" s="24" t="s">
        <v>506</v>
      </c>
      <c r="AM40" s="24" t="s">
        <v>507</v>
      </c>
      <c r="AN40" s="24" t="s">
        <v>231</v>
      </c>
      <c r="AO40" s="24" t="s">
        <v>534</v>
      </c>
    </row>
    <row r="41" spans="5:41" x14ac:dyDescent="0.25">
      <c r="E41">
        <v>2</v>
      </c>
      <c r="F41" t="s">
        <v>137</v>
      </c>
      <c r="G41">
        <v>7</v>
      </c>
      <c r="H41" t="s">
        <v>103</v>
      </c>
      <c r="I41" s="22" t="s">
        <v>111</v>
      </c>
      <c r="J41">
        <v>1066132001</v>
      </c>
      <c r="K41" t="s">
        <v>106</v>
      </c>
      <c r="L41" t="s">
        <v>139</v>
      </c>
      <c r="M41">
        <v>9</v>
      </c>
      <c r="N41">
        <v>2</v>
      </c>
      <c r="O41">
        <v>2</v>
      </c>
      <c r="P41" t="s">
        <v>108</v>
      </c>
      <c r="Q41">
        <v>4894180</v>
      </c>
      <c r="R41">
        <v>9788</v>
      </c>
      <c r="S41">
        <v>20141218</v>
      </c>
      <c r="T41">
        <v>0</v>
      </c>
      <c r="U41">
        <v>0</v>
      </c>
      <c r="V41">
        <v>9788</v>
      </c>
      <c r="W41" t="s">
        <v>109</v>
      </c>
      <c r="X41" t="s">
        <v>110</v>
      </c>
      <c r="AD41">
        <v>38</v>
      </c>
      <c r="AE41" s="24" t="s">
        <v>535</v>
      </c>
      <c r="AG41" s="24" t="s">
        <v>240</v>
      </c>
      <c r="AH41" s="24" t="s">
        <v>241</v>
      </c>
      <c r="AI41">
        <v>2</v>
      </c>
      <c r="AJ41">
        <v>0</v>
      </c>
      <c r="AK41" s="24" t="s">
        <v>242</v>
      </c>
      <c r="AL41" s="24" t="s">
        <v>506</v>
      </c>
      <c r="AM41" s="24" t="s">
        <v>507</v>
      </c>
      <c r="AN41" s="24" t="s">
        <v>243</v>
      </c>
      <c r="AO41" s="24" t="s">
        <v>535</v>
      </c>
    </row>
    <row r="42" spans="5:41" x14ac:dyDescent="0.25">
      <c r="E42">
        <v>2</v>
      </c>
      <c r="F42" t="s">
        <v>137</v>
      </c>
      <c r="G42">
        <v>8</v>
      </c>
      <c r="H42" t="s">
        <v>103</v>
      </c>
      <c r="I42" s="22" t="s">
        <v>111</v>
      </c>
      <c r="J42">
        <v>1059709801</v>
      </c>
      <c r="K42" t="s">
        <v>106</v>
      </c>
      <c r="L42" t="s">
        <v>113</v>
      </c>
      <c r="M42">
        <v>9</v>
      </c>
      <c r="N42">
        <v>2</v>
      </c>
      <c r="O42">
        <v>2</v>
      </c>
      <c r="P42" t="s">
        <v>108</v>
      </c>
      <c r="Q42">
        <v>4174230</v>
      </c>
      <c r="R42">
        <v>8348</v>
      </c>
      <c r="S42">
        <v>20141201</v>
      </c>
      <c r="T42">
        <v>0</v>
      </c>
      <c r="U42">
        <v>0</v>
      </c>
      <c r="V42">
        <v>8348</v>
      </c>
      <c r="W42" t="s">
        <v>109</v>
      </c>
      <c r="X42" t="s">
        <v>110</v>
      </c>
      <c r="AD42">
        <v>39</v>
      </c>
      <c r="AE42" s="24" t="s">
        <v>536</v>
      </c>
      <c r="AG42" s="24" t="s">
        <v>244</v>
      </c>
      <c r="AH42" s="24" t="s">
        <v>245</v>
      </c>
      <c r="AI42">
        <v>2</v>
      </c>
      <c r="AJ42">
        <v>0</v>
      </c>
      <c r="AK42" s="24" t="s">
        <v>246</v>
      </c>
      <c r="AL42" s="24" t="s">
        <v>506</v>
      </c>
      <c r="AM42" s="24" t="s">
        <v>507</v>
      </c>
      <c r="AN42" s="24" t="s">
        <v>247</v>
      </c>
      <c r="AO42" s="24" t="s">
        <v>536</v>
      </c>
    </row>
    <row r="43" spans="5:41" x14ac:dyDescent="0.25">
      <c r="E43">
        <v>2</v>
      </c>
      <c r="F43" t="s">
        <v>137</v>
      </c>
      <c r="G43">
        <v>9</v>
      </c>
      <c r="H43" t="s">
        <v>103</v>
      </c>
      <c r="I43" s="22" t="s">
        <v>111</v>
      </c>
      <c r="J43">
        <v>1064300601</v>
      </c>
      <c r="K43" t="s">
        <v>106</v>
      </c>
      <c r="L43" t="s">
        <v>113</v>
      </c>
      <c r="M43">
        <v>9</v>
      </c>
      <c r="N43">
        <v>4</v>
      </c>
      <c r="O43">
        <v>4</v>
      </c>
      <c r="P43" t="s">
        <v>108</v>
      </c>
      <c r="Q43">
        <v>4174230</v>
      </c>
      <c r="R43">
        <v>16697</v>
      </c>
      <c r="S43">
        <v>20141212</v>
      </c>
      <c r="T43">
        <v>0</v>
      </c>
      <c r="U43">
        <v>0</v>
      </c>
      <c r="V43">
        <v>16697</v>
      </c>
      <c r="W43" t="s">
        <v>109</v>
      </c>
      <c r="X43" t="s">
        <v>110</v>
      </c>
      <c r="AD43">
        <v>40</v>
      </c>
      <c r="AE43" s="24" t="s">
        <v>537</v>
      </c>
      <c r="AG43" s="24" t="s">
        <v>248</v>
      </c>
      <c r="AH43" s="24" t="s">
        <v>249</v>
      </c>
      <c r="AI43">
        <v>4</v>
      </c>
      <c r="AJ43">
        <v>0</v>
      </c>
      <c r="AK43" s="24" t="s">
        <v>246</v>
      </c>
      <c r="AL43" s="24" t="s">
        <v>506</v>
      </c>
      <c r="AM43" s="24" t="s">
        <v>507</v>
      </c>
      <c r="AN43" s="24" t="s">
        <v>247</v>
      </c>
      <c r="AO43" s="24" t="s">
        <v>537</v>
      </c>
    </row>
    <row r="44" spans="5:41" x14ac:dyDescent="0.25">
      <c r="E44">
        <v>2</v>
      </c>
      <c r="F44" t="s">
        <v>137</v>
      </c>
      <c r="G44">
        <v>10</v>
      </c>
      <c r="H44" t="s">
        <v>103</v>
      </c>
      <c r="I44" s="22" t="s">
        <v>111</v>
      </c>
      <c r="J44">
        <v>1063874101</v>
      </c>
      <c r="K44" t="s">
        <v>106</v>
      </c>
      <c r="L44" t="s">
        <v>113</v>
      </c>
      <c r="M44">
        <v>9</v>
      </c>
      <c r="N44">
        <v>6</v>
      </c>
      <c r="O44">
        <v>6</v>
      </c>
      <c r="P44" t="s">
        <v>108</v>
      </c>
      <c r="Q44">
        <v>4174230</v>
      </c>
      <c r="R44">
        <v>25045</v>
      </c>
      <c r="S44">
        <v>20141211</v>
      </c>
      <c r="T44">
        <v>0</v>
      </c>
      <c r="U44">
        <v>0</v>
      </c>
      <c r="V44">
        <v>25045</v>
      </c>
      <c r="W44" t="s">
        <v>109</v>
      </c>
      <c r="X44" t="s">
        <v>110</v>
      </c>
      <c r="AD44">
        <v>41</v>
      </c>
      <c r="AE44" s="24" t="s">
        <v>538</v>
      </c>
      <c r="AG44" s="24" t="s">
        <v>250</v>
      </c>
      <c r="AH44" s="24" t="s">
        <v>251</v>
      </c>
      <c r="AI44">
        <v>6</v>
      </c>
      <c r="AJ44">
        <v>0</v>
      </c>
      <c r="AK44" s="24" t="s">
        <v>246</v>
      </c>
      <c r="AL44" s="24" t="s">
        <v>506</v>
      </c>
      <c r="AM44" s="24" t="s">
        <v>507</v>
      </c>
      <c r="AN44" s="24" t="s">
        <v>247</v>
      </c>
      <c r="AO44" s="24" t="s">
        <v>538</v>
      </c>
    </row>
    <row r="45" spans="5:41" x14ac:dyDescent="0.25">
      <c r="E45">
        <v>2</v>
      </c>
      <c r="F45" t="s">
        <v>137</v>
      </c>
      <c r="G45">
        <v>11</v>
      </c>
      <c r="H45" t="s">
        <v>103</v>
      </c>
      <c r="I45" s="22" t="s">
        <v>111</v>
      </c>
      <c r="J45">
        <v>1062953501</v>
      </c>
      <c r="K45" t="s">
        <v>106</v>
      </c>
      <c r="L45" t="s">
        <v>113</v>
      </c>
      <c r="M45">
        <v>9</v>
      </c>
      <c r="N45">
        <v>28</v>
      </c>
      <c r="O45">
        <v>28</v>
      </c>
      <c r="P45" t="s">
        <v>108</v>
      </c>
      <c r="Q45">
        <v>4174230</v>
      </c>
      <c r="R45">
        <v>116878</v>
      </c>
      <c r="S45">
        <v>20141209</v>
      </c>
      <c r="T45">
        <v>0</v>
      </c>
      <c r="U45">
        <v>0</v>
      </c>
      <c r="V45">
        <v>116878</v>
      </c>
      <c r="W45" t="s">
        <v>109</v>
      </c>
      <c r="X45" t="s">
        <v>110</v>
      </c>
      <c r="AD45">
        <v>42</v>
      </c>
      <c r="AE45" s="24" t="s">
        <v>539</v>
      </c>
      <c r="AG45" s="24" t="s">
        <v>252</v>
      </c>
      <c r="AH45" s="24" t="s">
        <v>253</v>
      </c>
      <c r="AI45">
        <v>28</v>
      </c>
      <c r="AJ45">
        <v>0</v>
      </c>
      <c r="AK45" s="24" t="s">
        <v>246</v>
      </c>
      <c r="AL45" s="24" t="s">
        <v>506</v>
      </c>
      <c r="AM45" s="24" t="s">
        <v>507</v>
      </c>
      <c r="AN45" s="24" t="s">
        <v>247</v>
      </c>
      <c r="AO45" s="24" t="s">
        <v>539</v>
      </c>
    </row>
    <row r="46" spans="5:41" x14ac:dyDescent="0.25">
      <c r="E46">
        <v>2</v>
      </c>
      <c r="F46" t="s">
        <v>137</v>
      </c>
      <c r="G46">
        <v>12</v>
      </c>
      <c r="H46" t="s">
        <v>103</v>
      </c>
      <c r="I46" s="22" t="s">
        <v>111</v>
      </c>
      <c r="J46">
        <v>1061803601</v>
      </c>
      <c r="K46" t="s">
        <v>106</v>
      </c>
      <c r="L46" t="s">
        <v>113</v>
      </c>
      <c r="M46">
        <v>9</v>
      </c>
      <c r="N46">
        <v>20</v>
      </c>
      <c r="O46">
        <v>20</v>
      </c>
      <c r="P46" t="s">
        <v>108</v>
      </c>
      <c r="Q46">
        <v>4174230</v>
      </c>
      <c r="R46">
        <v>83485</v>
      </c>
      <c r="S46">
        <v>20141205</v>
      </c>
      <c r="T46">
        <v>0</v>
      </c>
      <c r="U46">
        <v>0</v>
      </c>
      <c r="V46">
        <v>83485</v>
      </c>
      <c r="W46" t="s">
        <v>109</v>
      </c>
      <c r="X46" t="s">
        <v>110</v>
      </c>
      <c r="AD46">
        <v>43</v>
      </c>
      <c r="AE46" s="24" t="s">
        <v>540</v>
      </c>
      <c r="AG46" s="24" t="s">
        <v>254</v>
      </c>
      <c r="AH46" s="24" t="s">
        <v>255</v>
      </c>
      <c r="AI46">
        <v>20</v>
      </c>
      <c r="AJ46">
        <v>0</v>
      </c>
      <c r="AK46" s="24" t="s">
        <v>246</v>
      </c>
      <c r="AL46" s="24" t="s">
        <v>506</v>
      </c>
      <c r="AM46" s="24" t="s">
        <v>507</v>
      </c>
      <c r="AN46" s="24" t="s">
        <v>247</v>
      </c>
      <c r="AO46" s="24" t="s">
        <v>540</v>
      </c>
    </row>
    <row r="47" spans="5:41" x14ac:dyDescent="0.25">
      <c r="E47">
        <v>2</v>
      </c>
      <c r="F47" t="s">
        <v>137</v>
      </c>
      <c r="G47">
        <v>13</v>
      </c>
      <c r="H47" t="s">
        <v>103</v>
      </c>
      <c r="I47" s="22" t="s">
        <v>111</v>
      </c>
      <c r="J47">
        <v>1062265401</v>
      </c>
      <c r="K47" t="s">
        <v>106</v>
      </c>
      <c r="L47" t="s">
        <v>113</v>
      </c>
      <c r="M47">
        <v>9</v>
      </c>
      <c r="N47">
        <v>36</v>
      </c>
      <c r="O47">
        <v>36</v>
      </c>
      <c r="P47" t="s">
        <v>108</v>
      </c>
      <c r="Q47">
        <v>4174230</v>
      </c>
      <c r="R47">
        <v>150272</v>
      </c>
      <c r="S47">
        <v>20141208</v>
      </c>
      <c r="T47">
        <v>0</v>
      </c>
      <c r="U47">
        <v>0</v>
      </c>
      <c r="V47">
        <v>150272</v>
      </c>
      <c r="W47" t="s">
        <v>109</v>
      </c>
      <c r="X47" t="s">
        <v>110</v>
      </c>
      <c r="AD47">
        <v>44</v>
      </c>
      <c r="AE47" s="24" t="s">
        <v>541</v>
      </c>
      <c r="AG47" s="24" t="s">
        <v>256</v>
      </c>
      <c r="AH47" s="24" t="s">
        <v>257</v>
      </c>
      <c r="AI47">
        <v>36</v>
      </c>
      <c r="AJ47">
        <v>0</v>
      </c>
      <c r="AK47" s="24" t="s">
        <v>246</v>
      </c>
      <c r="AL47" s="24" t="s">
        <v>506</v>
      </c>
      <c r="AM47" s="24" t="s">
        <v>507</v>
      </c>
      <c r="AN47" s="24" t="s">
        <v>247</v>
      </c>
      <c r="AO47" s="24" t="s">
        <v>541</v>
      </c>
    </row>
    <row r="48" spans="5:41" x14ac:dyDescent="0.25">
      <c r="E48">
        <v>2</v>
      </c>
      <c r="F48" t="s">
        <v>137</v>
      </c>
      <c r="G48">
        <v>14</v>
      </c>
      <c r="H48" t="s">
        <v>103</v>
      </c>
      <c r="I48" s="22" t="s">
        <v>111</v>
      </c>
      <c r="J48">
        <v>1063402401</v>
      </c>
      <c r="K48" t="s">
        <v>106</v>
      </c>
      <c r="L48" t="s">
        <v>113</v>
      </c>
      <c r="M48">
        <v>9</v>
      </c>
      <c r="N48">
        <v>5</v>
      </c>
      <c r="O48">
        <v>5</v>
      </c>
      <c r="P48" t="s">
        <v>108</v>
      </c>
      <c r="Q48">
        <v>4174230</v>
      </c>
      <c r="R48">
        <v>20871</v>
      </c>
      <c r="S48">
        <v>20141210</v>
      </c>
      <c r="T48">
        <v>0</v>
      </c>
      <c r="U48">
        <v>0</v>
      </c>
      <c r="V48">
        <v>20871</v>
      </c>
      <c r="W48" t="s">
        <v>109</v>
      </c>
      <c r="X48" t="s">
        <v>110</v>
      </c>
      <c r="AD48">
        <v>45</v>
      </c>
      <c r="AE48" s="24" t="s">
        <v>542</v>
      </c>
      <c r="AG48" s="24" t="s">
        <v>258</v>
      </c>
      <c r="AH48" s="24" t="s">
        <v>259</v>
      </c>
      <c r="AI48">
        <v>5</v>
      </c>
      <c r="AJ48">
        <v>0</v>
      </c>
      <c r="AK48" s="24" t="s">
        <v>246</v>
      </c>
      <c r="AL48" s="24" t="s">
        <v>506</v>
      </c>
      <c r="AM48" s="24" t="s">
        <v>507</v>
      </c>
      <c r="AN48" s="24" t="s">
        <v>247</v>
      </c>
      <c r="AO48" s="24" t="s">
        <v>542</v>
      </c>
    </row>
    <row r="49" spans="5:41" x14ac:dyDescent="0.25">
      <c r="E49">
        <v>2</v>
      </c>
      <c r="F49" t="s">
        <v>137</v>
      </c>
      <c r="G49">
        <v>15</v>
      </c>
      <c r="H49" t="s">
        <v>103</v>
      </c>
      <c r="I49" s="22" t="s">
        <v>111</v>
      </c>
      <c r="J49">
        <v>1063402411</v>
      </c>
      <c r="K49" t="s">
        <v>106</v>
      </c>
      <c r="L49" t="s">
        <v>113</v>
      </c>
      <c r="M49">
        <v>9</v>
      </c>
      <c r="N49">
        <v>3</v>
      </c>
      <c r="O49">
        <v>3</v>
      </c>
      <c r="P49" t="s">
        <v>108</v>
      </c>
      <c r="Q49">
        <v>4174230</v>
      </c>
      <c r="R49">
        <v>12523</v>
      </c>
      <c r="S49">
        <v>20141211</v>
      </c>
      <c r="T49">
        <v>0</v>
      </c>
      <c r="U49">
        <v>0</v>
      </c>
      <c r="V49">
        <v>12523</v>
      </c>
      <c r="W49" t="s">
        <v>109</v>
      </c>
      <c r="X49" t="s">
        <v>110</v>
      </c>
      <c r="AD49">
        <v>46</v>
      </c>
      <c r="AE49" s="24" t="s">
        <v>543</v>
      </c>
      <c r="AG49" s="24" t="s">
        <v>260</v>
      </c>
      <c r="AH49" s="24" t="s">
        <v>261</v>
      </c>
      <c r="AI49">
        <v>3</v>
      </c>
      <c r="AJ49">
        <v>0</v>
      </c>
      <c r="AK49" s="24" t="s">
        <v>246</v>
      </c>
      <c r="AL49" s="24" t="s">
        <v>506</v>
      </c>
      <c r="AM49" s="24" t="s">
        <v>507</v>
      </c>
      <c r="AN49" s="24" t="s">
        <v>247</v>
      </c>
      <c r="AO49" s="24" t="s">
        <v>543</v>
      </c>
    </row>
    <row r="50" spans="5:41" x14ac:dyDescent="0.25">
      <c r="E50">
        <v>2</v>
      </c>
      <c r="F50" t="s">
        <v>137</v>
      </c>
      <c r="G50">
        <v>16</v>
      </c>
      <c r="H50" t="s">
        <v>103</v>
      </c>
      <c r="I50" s="22" t="s">
        <v>111</v>
      </c>
      <c r="J50">
        <v>1064728401</v>
      </c>
      <c r="K50" t="s">
        <v>106</v>
      </c>
      <c r="L50" t="s">
        <v>113</v>
      </c>
      <c r="M50">
        <v>9</v>
      </c>
      <c r="N50">
        <v>6</v>
      </c>
      <c r="O50">
        <v>6</v>
      </c>
      <c r="P50" t="s">
        <v>108</v>
      </c>
      <c r="Q50">
        <v>4174230</v>
      </c>
      <c r="R50">
        <v>25045</v>
      </c>
      <c r="S50">
        <v>20141215</v>
      </c>
      <c r="T50">
        <v>0</v>
      </c>
      <c r="U50">
        <v>0</v>
      </c>
      <c r="V50">
        <v>25045</v>
      </c>
      <c r="W50" t="s">
        <v>109</v>
      </c>
      <c r="X50" t="s">
        <v>110</v>
      </c>
      <c r="AD50">
        <v>47</v>
      </c>
      <c r="AE50" s="24" t="s">
        <v>544</v>
      </c>
      <c r="AG50" s="24" t="s">
        <v>262</v>
      </c>
      <c r="AH50" s="24" t="s">
        <v>263</v>
      </c>
      <c r="AI50">
        <v>6</v>
      </c>
      <c r="AJ50">
        <v>0</v>
      </c>
      <c r="AK50" s="24" t="s">
        <v>246</v>
      </c>
      <c r="AL50" s="24" t="s">
        <v>506</v>
      </c>
      <c r="AM50" s="24" t="s">
        <v>507</v>
      </c>
      <c r="AN50" s="24" t="s">
        <v>247</v>
      </c>
      <c r="AO50" s="24" t="s">
        <v>544</v>
      </c>
    </row>
    <row r="51" spans="5:41" x14ac:dyDescent="0.25">
      <c r="E51">
        <v>2</v>
      </c>
      <c r="F51" t="s">
        <v>137</v>
      </c>
      <c r="G51">
        <v>17</v>
      </c>
      <c r="H51" t="s">
        <v>103</v>
      </c>
      <c r="I51" s="22" t="s">
        <v>111</v>
      </c>
      <c r="J51">
        <v>1065310301</v>
      </c>
      <c r="K51" t="s">
        <v>106</v>
      </c>
      <c r="L51" t="s">
        <v>113</v>
      </c>
      <c r="M51">
        <v>9</v>
      </c>
      <c r="N51">
        <v>4</v>
      </c>
      <c r="O51">
        <v>4</v>
      </c>
      <c r="P51" t="s">
        <v>108</v>
      </c>
      <c r="Q51">
        <v>4174230</v>
      </c>
      <c r="R51">
        <v>16697</v>
      </c>
      <c r="S51">
        <v>20141216</v>
      </c>
      <c r="T51">
        <v>0</v>
      </c>
      <c r="U51">
        <v>0</v>
      </c>
      <c r="V51">
        <v>16697</v>
      </c>
      <c r="W51" t="s">
        <v>109</v>
      </c>
      <c r="X51" t="s">
        <v>110</v>
      </c>
      <c r="AD51">
        <v>48</v>
      </c>
      <c r="AE51" s="24" t="s">
        <v>545</v>
      </c>
      <c r="AG51" s="24" t="s">
        <v>264</v>
      </c>
      <c r="AH51" s="24" t="s">
        <v>265</v>
      </c>
      <c r="AI51">
        <v>4</v>
      </c>
      <c r="AJ51">
        <v>0</v>
      </c>
      <c r="AK51" s="24" t="s">
        <v>246</v>
      </c>
      <c r="AL51" s="24" t="s">
        <v>506</v>
      </c>
      <c r="AM51" s="24" t="s">
        <v>507</v>
      </c>
      <c r="AN51" s="24" t="s">
        <v>247</v>
      </c>
      <c r="AO51" s="24" t="s">
        <v>545</v>
      </c>
    </row>
    <row r="52" spans="5:41" x14ac:dyDescent="0.25">
      <c r="E52">
        <v>2</v>
      </c>
      <c r="F52" t="s">
        <v>137</v>
      </c>
      <c r="G52">
        <v>18</v>
      </c>
      <c r="H52" t="s">
        <v>103</v>
      </c>
      <c r="I52" s="22" t="s">
        <v>140</v>
      </c>
      <c r="J52">
        <v>1059709901</v>
      </c>
      <c r="K52" t="s">
        <v>106</v>
      </c>
      <c r="L52" t="s">
        <v>141</v>
      </c>
      <c r="M52">
        <v>9</v>
      </c>
      <c r="N52">
        <v>32</v>
      </c>
      <c r="O52">
        <v>32</v>
      </c>
      <c r="P52" t="s">
        <v>108</v>
      </c>
      <c r="Q52">
        <v>94640</v>
      </c>
      <c r="R52">
        <v>3028</v>
      </c>
      <c r="S52">
        <v>20141201</v>
      </c>
      <c r="T52">
        <v>0</v>
      </c>
      <c r="U52">
        <v>0</v>
      </c>
      <c r="V52">
        <v>3028</v>
      </c>
      <c r="W52" t="s">
        <v>109</v>
      </c>
      <c r="X52" t="s">
        <v>110</v>
      </c>
      <c r="AD52">
        <v>49</v>
      </c>
      <c r="AE52" s="24" t="s">
        <v>546</v>
      </c>
      <c r="AG52" s="24" t="s">
        <v>266</v>
      </c>
      <c r="AH52" s="24" t="s">
        <v>267</v>
      </c>
      <c r="AI52">
        <v>32</v>
      </c>
      <c r="AJ52">
        <v>0</v>
      </c>
      <c r="AK52" s="24" t="s">
        <v>268</v>
      </c>
      <c r="AL52" s="24" t="s">
        <v>269</v>
      </c>
      <c r="AM52" s="24" t="s">
        <v>507</v>
      </c>
      <c r="AN52" s="24" t="s">
        <v>270</v>
      </c>
      <c r="AO52" s="24" t="s">
        <v>546</v>
      </c>
    </row>
    <row r="53" spans="5:41" x14ac:dyDescent="0.25">
      <c r="E53">
        <v>2</v>
      </c>
      <c r="F53" t="s">
        <v>137</v>
      </c>
      <c r="G53">
        <v>19</v>
      </c>
      <c r="H53" t="s">
        <v>103</v>
      </c>
      <c r="I53" s="22" t="s">
        <v>140</v>
      </c>
      <c r="J53">
        <v>1061361301</v>
      </c>
      <c r="K53" t="s">
        <v>106</v>
      </c>
      <c r="L53" t="s">
        <v>141</v>
      </c>
      <c r="M53">
        <v>9</v>
      </c>
      <c r="N53">
        <v>32</v>
      </c>
      <c r="O53">
        <v>32</v>
      </c>
      <c r="P53" t="s">
        <v>108</v>
      </c>
      <c r="Q53">
        <v>94640</v>
      </c>
      <c r="R53">
        <v>3028</v>
      </c>
      <c r="S53">
        <v>20141204</v>
      </c>
      <c r="T53">
        <v>0</v>
      </c>
      <c r="U53">
        <v>0</v>
      </c>
      <c r="V53">
        <v>3028</v>
      </c>
      <c r="W53" t="s">
        <v>109</v>
      </c>
      <c r="X53" t="s">
        <v>110</v>
      </c>
      <c r="AD53">
        <v>50</v>
      </c>
      <c r="AE53" s="24" t="s">
        <v>547</v>
      </c>
      <c r="AG53" s="24" t="s">
        <v>271</v>
      </c>
      <c r="AH53" s="24" t="s">
        <v>272</v>
      </c>
      <c r="AI53">
        <v>32</v>
      </c>
      <c r="AJ53">
        <v>0</v>
      </c>
      <c r="AK53" s="24" t="s">
        <v>268</v>
      </c>
      <c r="AL53" s="24" t="s">
        <v>269</v>
      </c>
      <c r="AM53" s="24" t="s">
        <v>507</v>
      </c>
      <c r="AN53" s="24" t="s">
        <v>270</v>
      </c>
      <c r="AO53" s="24" t="s">
        <v>547</v>
      </c>
    </row>
    <row r="54" spans="5:41" x14ac:dyDescent="0.25">
      <c r="E54">
        <v>2</v>
      </c>
      <c r="F54" t="s">
        <v>137</v>
      </c>
      <c r="G54">
        <v>20</v>
      </c>
      <c r="H54" t="s">
        <v>103</v>
      </c>
      <c r="I54" s="22" t="s">
        <v>140</v>
      </c>
      <c r="J54">
        <v>1066132101</v>
      </c>
      <c r="K54" t="s">
        <v>106</v>
      </c>
      <c r="L54" t="s">
        <v>141</v>
      </c>
      <c r="M54">
        <v>9</v>
      </c>
      <c r="N54">
        <v>32</v>
      </c>
      <c r="O54">
        <v>32</v>
      </c>
      <c r="P54" t="s">
        <v>108</v>
      </c>
      <c r="Q54">
        <v>94640</v>
      </c>
      <c r="R54">
        <v>3028</v>
      </c>
      <c r="S54">
        <v>20141218</v>
      </c>
      <c r="T54">
        <v>0</v>
      </c>
      <c r="U54">
        <v>0</v>
      </c>
      <c r="V54">
        <v>3028</v>
      </c>
      <c r="W54" t="s">
        <v>109</v>
      </c>
      <c r="X54" t="s">
        <v>110</v>
      </c>
      <c r="AD54">
        <v>51</v>
      </c>
      <c r="AE54" s="24" t="s">
        <v>548</v>
      </c>
      <c r="AG54" s="24" t="s">
        <v>273</v>
      </c>
      <c r="AH54" s="24" t="s">
        <v>274</v>
      </c>
      <c r="AI54">
        <v>32</v>
      </c>
      <c r="AJ54">
        <v>0</v>
      </c>
      <c r="AK54" s="24" t="s">
        <v>268</v>
      </c>
      <c r="AL54" s="24" t="s">
        <v>269</v>
      </c>
      <c r="AM54" s="24" t="s">
        <v>507</v>
      </c>
      <c r="AN54" s="24" t="s">
        <v>270</v>
      </c>
      <c r="AO54" s="24" t="s">
        <v>548</v>
      </c>
    </row>
    <row r="55" spans="5:41" x14ac:dyDescent="0.25">
      <c r="E55">
        <v>2</v>
      </c>
      <c r="F55" t="s">
        <v>137</v>
      </c>
      <c r="G55">
        <v>21</v>
      </c>
      <c r="H55" t="s">
        <v>103</v>
      </c>
      <c r="I55" s="22" t="s">
        <v>140</v>
      </c>
      <c r="J55">
        <v>1060536501</v>
      </c>
      <c r="K55" t="s">
        <v>106</v>
      </c>
      <c r="L55" t="s">
        <v>141</v>
      </c>
      <c r="M55">
        <v>9</v>
      </c>
      <c r="N55">
        <v>32</v>
      </c>
      <c r="O55">
        <v>32</v>
      </c>
      <c r="P55" t="s">
        <v>108</v>
      </c>
      <c r="Q55">
        <v>94640</v>
      </c>
      <c r="R55">
        <v>3028</v>
      </c>
      <c r="S55">
        <v>20141202</v>
      </c>
      <c r="T55">
        <v>0</v>
      </c>
      <c r="U55">
        <v>0</v>
      </c>
      <c r="V55">
        <v>3028</v>
      </c>
      <c r="W55" t="s">
        <v>109</v>
      </c>
      <c r="X55" t="s">
        <v>110</v>
      </c>
      <c r="AD55">
        <v>52</v>
      </c>
      <c r="AE55" s="24" t="s">
        <v>549</v>
      </c>
      <c r="AG55" s="24" t="s">
        <v>275</v>
      </c>
      <c r="AH55" s="24" t="s">
        <v>276</v>
      </c>
      <c r="AI55">
        <v>32</v>
      </c>
      <c r="AJ55">
        <v>0</v>
      </c>
      <c r="AK55" s="24" t="s">
        <v>268</v>
      </c>
      <c r="AL55" s="24" t="s">
        <v>269</v>
      </c>
      <c r="AM55" s="24" t="s">
        <v>507</v>
      </c>
      <c r="AN55" s="24" t="s">
        <v>270</v>
      </c>
      <c r="AO55" s="24" t="s">
        <v>549</v>
      </c>
    </row>
    <row r="56" spans="5:41" x14ac:dyDescent="0.25">
      <c r="E56">
        <v>2</v>
      </c>
      <c r="F56" t="s">
        <v>137</v>
      </c>
      <c r="G56">
        <v>22</v>
      </c>
      <c r="H56" t="s">
        <v>103</v>
      </c>
      <c r="I56" s="22" t="s">
        <v>140</v>
      </c>
      <c r="J56">
        <v>1060536601</v>
      </c>
      <c r="K56" t="s">
        <v>106</v>
      </c>
      <c r="L56" t="s">
        <v>142</v>
      </c>
      <c r="M56">
        <v>9</v>
      </c>
      <c r="N56">
        <v>32</v>
      </c>
      <c r="O56">
        <v>32</v>
      </c>
      <c r="P56" t="s">
        <v>108</v>
      </c>
      <c r="Q56">
        <v>99880</v>
      </c>
      <c r="R56">
        <v>3196</v>
      </c>
      <c r="S56">
        <v>20141202</v>
      </c>
      <c r="T56">
        <v>0</v>
      </c>
      <c r="U56">
        <v>0</v>
      </c>
      <c r="V56">
        <v>3196</v>
      </c>
      <c r="W56" t="s">
        <v>109</v>
      </c>
      <c r="X56" t="s">
        <v>110</v>
      </c>
      <c r="AD56">
        <v>53</v>
      </c>
      <c r="AE56" s="24" t="s">
        <v>550</v>
      </c>
      <c r="AG56" s="24" t="s">
        <v>277</v>
      </c>
      <c r="AH56" s="24" t="s">
        <v>278</v>
      </c>
      <c r="AI56">
        <v>32</v>
      </c>
      <c r="AJ56">
        <v>0</v>
      </c>
      <c r="AK56" s="24" t="s">
        <v>279</v>
      </c>
      <c r="AL56" s="24" t="s">
        <v>269</v>
      </c>
      <c r="AM56" s="24" t="s">
        <v>507</v>
      </c>
      <c r="AN56" s="24" t="s">
        <v>280</v>
      </c>
      <c r="AO56" s="24" t="s">
        <v>550</v>
      </c>
    </row>
    <row r="57" spans="5:41" x14ac:dyDescent="0.25">
      <c r="E57">
        <v>2</v>
      </c>
      <c r="F57" t="s">
        <v>143</v>
      </c>
      <c r="G57">
        <v>1</v>
      </c>
      <c r="H57" t="s">
        <v>103</v>
      </c>
      <c r="I57" s="22" t="s">
        <v>140</v>
      </c>
      <c r="J57">
        <v>1061804101</v>
      </c>
      <c r="K57" t="s">
        <v>106</v>
      </c>
      <c r="L57" t="s">
        <v>142</v>
      </c>
      <c r="M57">
        <v>9</v>
      </c>
      <c r="N57">
        <v>32</v>
      </c>
      <c r="O57">
        <v>32</v>
      </c>
      <c r="P57" t="s">
        <v>108</v>
      </c>
      <c r="Q57">
        <v>99880</v>
      </c>
      <c r="R57">
        <v>3196</v>
      </c>
      <c r="S57">
        <v>20141205</v>
      </c>
      <c r="T57">
        <v>0</v>
      </c>
      <c r="U57">
        <v>0</v>
      </c>
      <c r="V57">
        <v>3196</v>
      </c>
      <c r="W57" t="s">
        <v>109</v>
      </c>
      <c r="X57" t="s">
        <v>110</v>
      </c>
      <c r="Y57">
        <v>3</v>
      </c>
      <c r="Z57">
        <v>488270</v>
      </c>
      <c r="AA57">
        <v>0</v>
      </c>
      <c r="AB57">
        <v>0</v>
      </c>
      <c r="AC57">
        <v>488270</v>
      </c>
      <c r="AD57">
        <v>54</v>
      </c>
      <c r="AE57" s="24" t="s">
        <v>551</v>
      </c>
      <c r="AG57" s="24" t="s">
        <v>281</v>
      </c>
      <c r="AH57" s="24" t="s">
        <v>282</v>
      </c>
      <c r="AI57">
        <v>32</v>
      </c>
      <c r="AJ57">
        <v>0</v>
      </c>
      <c r="AK57" s="24" t="s">
        <v>279</v>
      </c>
      <c r="AL57" s="24" t="s">
        <v>269</v>
      </c>
      <c r="AM57" s="24" t="s">
        <v>507</v>
      </c>
      <c r="AN57" s="24" t="s">
        <v>280</v>
      </c>
      <c r="AO57" s="24" t="s">
        <v>551</v>
      </c>
    </row>
    <row r="58" spans="5:41" x14ac:dyDescent="0.25">
      <c r="E58">
        <v>2</v>
      </c>
      <c r="F58" t="s">
        <v>143</v>
      </c>
      <c r="G58">
        <v>2</v>
      </c>
      <c r="H58" t="s">
        <v>103</v>
      </c>
      <c r="I58" s="22" t="s">
        <v>140</v>
      </c>
      <c r="J58">
        <v>1062953301</v>
      </c>
      <c r="K58" t="s">
        <v>106</v>
      </c>
      <c r="L58" t="s">
        <v>142</v>
      </c>
      <c r="M58">
        <v>9</v>
      </c>
      <c r="N58">
        <v>32</v>
      </c>
      <c r="O58">
        <v>32</v>
      </c>
      <c r="P58" t="s">
        <v>108</v>
      </c>
      <c r="Q58">
        <v>99880</v>
      </c>
      <c r="R58">
        <v>3196</v>
      </c>
      <c r="S58">
        <v>20141209</v>
      </c>
      <c r="T58">
        <v>0</v>
      </c>
      <c r="U58">
        <v>0</v>
      </c>
      <c r="V58">
        <v>3196</v>
      </c>
      <c r="W58" t="s">
        <v>109</v>
      </c>
      <c r="X58" t="s">
        <v>110</v>
      </c>
      <c r="AD58">
        <v>55</v>
      </c>
      <c r="AE58" s="24" t="s">
        <v>552</v>
      </c>
      <c r="AG58" s="24" t="s">
        <v>283</v>
      </c>
      <c r="AH58" s="24" t="s">
        <v>284</v>
      </c>
      <c r="AI58">
        <v>32</v>
      </c>
      <c r="AJ58">
        <v>0</v>
      </c>
      <c r="AK58" s="24" t="s">
        <v>279</v>
      </c>
      <c r="AL58" s="24" t="s">
        <v>269</v>
      </c>
      <c r="AM58" s="24" t="s">
        <v>507</v>
      </c>
      <c r="AN58" s="24" t="s">
        <v>280</v>
      </c>
      <c r="AO58" s="24" t="s">
        <v>552</v>
      </c>
    </row>
    <row r="59" spans="5:41" x14ac:dyDescent="0.25">
      <c r="E59">
        <v>2</v>
      </c>
      <c r="F59" t="s">
        <v>143</v>
      </c>
      <c r="G59">
        <v>3</v>
      </c>
      <c r="H59" t="s">
        <v>103</v>
      </c>
      <c r="I59" s="22" t="s">
        <v>140</v>
      </c>
      <c r="J59">
        <v>1064728501</v>
      </c>
      <c r="K59" t="s">
        <v>106</v>
      </c>
      <c r="L59" t="s">
        <v>142</v>
      </c>
      <c r="M59">
        <v>9</v>
      </c>
      <c r="N59">
        <v>32</v>
      </c>
      <c r="O59">
        <v>32</v>
      </c>
      <c r="P59" t="s">
        <v>108</v>
      </c>
      <c r="Q59">
        <v>99880</v>
      </c>
      <c r="R59">
        <v>3196</v>
      </c>
      <c r="S59">
        <v>20141215</v>
      </c>
      <c r="T59">
        <v>0</v>
      </c>
      <c r="U59">
        <v>0</v>
      </c>
      <c r="V59">
        <v>3196</v>
      </c>
      <c r="W59" t="s">
        <v>109</v>
      </c>
      <c r="X59" t="s">
        <v>110</v>
      </c>
      <c r="AD59">
        <v>56</v>
      </c>
      <c r="AE59" s="24" t="s">
        <v>553</v>
      </c>
      <c r="AG59" s="24" t="s">
        <v>285</v>
      </c>
      <c r="AH59" s="24" t="s">
        <v>286</v>
      </c>
      <c r="AI59">
        <v>32</v>
      </c>
      <c r="AJ59">
        <v>0</v>
      </c>
      <c r="AK59" s="24" t="s">
        <v>279</v>
      </c>
      <c r="AL59" s="24" t="s">
        <v>269</v>
      </c>
      <c r="AM59" s="24" t="s">
        <v>507</v>
      </c>
      <c r="AN59" s="24" t="s">
        <v>280</v>
      </c>
      <c r="AO59" s="24" t="s">
        <v>553</v>
      </c>
    </row>
    <row r="60" spans="5:41" x14ac:dyDescent="0.25">
      <c r="E60">
        <v>2</v>
      </c>
      <c r="F60" t="s">
        <v>143</v>
      </c>
      <c r="G60">
        <v>4</v>
      </c>
      <c r="H60" t="s">
        <v>103</v>
      </c>
      <c r="I60" s="22" t="s">
        <v>140</v>
      </c>
      <c r="J60">
        <v>1066132201</v>
      </c>
      <c r="K60" t="s">
        <v>106</v>
      </c>
      <c r="L60" t="s">
        <v>142</v>
      </c>
      <c r="M60">
        <v>9</v>
      </c>
      <c r="N60">
        <v>32</v>
      </c>
      <c r="O60">
        <v>32</v>
      </c>
      <c r="P60" t="s">
        <v>108</v>
      </c>
      <c r="Q60">
        <v>99880</v>
      </c>
      <c r="R60">
        <v>3196</v>
      </c>
      <c r="S60">
        <v>20141218</v>
      </c>
      <c r="T60">
        <v>0</v>
      </c>
      <c r="U60">
        <v>0</v>
      </c>
      <c r="V60">
        <v>3196</v>
      </c>
      <c r="W60" t="s">
        <v>109</v>
      </c>
      <c r="X60" t="s">
        <v>110</v>
      </c>
      <c r="AD60">
        <v>57</v>
      </c>
      <c r="AE60" s="24" t="s">
        <v>554</v>
      </c>
      <c r="AG60" s="24" t="s">
        <v>287</v>
      </c>
      <c r="AH60" s="24" t="s">
        <v>288</v>
      </c>
      <c r="AI60">
        <v>32</v>
      </c>
      <c r="AJ60">
        <v>0</v>
      </c>
      <c r="AK60" s="24" t="s">
        <v>279</v>
      </c>
      <c r="AL60" s="24" t="s">
        <v>269</v>
      </c>
      <c r="AM60" s="24" t="s">
        <v>507</v>
      </c>
      <c r="AN60" s="24" t="s">
        <v>280</v>
      </c>
      <c r="AO60" s="24" t="s">
        <v>554</v>
      </c>
    </row>
    <row r="61" spans="5:41" x14ac:dyDescent="0.25">
      <c r="E61">
        <v>2</v>
      </c>
      <c r="F61" t="s">
        <v>143</v>
      </c>
      <c r="G61">
        <v>5</v>
      </c>
      <c r="H61" t="s">
        <v>103</v>
      </c>
      <c r="I61" s="22" t="s">
        <v>140</v>
      </c>
      <c r="J61">
        <v>1064300501</v>
      </c>
      <c r="K61" t="s">
        <v>106</v>
      </c>
      <c r="L61" t="s">
        <v>142</v>
      </c>
      <c r="M61">
        <v>9</v>
      </c>
      <c r="N61">
        <v>32</v>
      </c>
      <c r="O61">
        <v>32</v>
      </c>
      <c r="P61" t="s">
        <v>108</v>
      </c>
      <c r="Q61">
        <v>99880</v>
      </c>
      <c r="R61">
        <v>3196</v>
      </c>
      <c r="S61">
        <v>20141212</v>
      </c>
      <c r="T61">
        <v>0</v>
      </c>
      <c r="U61">
        <v>0</v>
      </c>
      <c r="V61">
        <v>3196</v>
      </c>
      <c r="W61" t="s">
        <v>109</v>
      </c>
      <c r="X61" t="s">
        <v>110</v>
      </c>
      <c r="AD61">
        <v>58</v>
      </c>
      <c r="AE61" s="24" t="s">
        <v>555</v>
      </c>
      <c r="AG61" s="24" t="s">
        <v>289</v>
      </c>
      <c r="AH61" s="24" t="s">
        <v>290</v>
      </c>
      <c r="AI61">
        <v>32</v>
      </c>
      <c r="AJ61">
        <v>0</v>
      </c>
      <c r="AK61" s="24" t="s">
        <v>279</v>
      </c>
      <c r="AL61" s="24" t="s">
        <v>269</v>
      </c>
      <c r="AM61" s="24" t="s">
        <v>507</v>
      </c>
      <c r="AN61" s="24" t="s">
        <v>280</v>
      </c>
      <c r="AO61" s="24" t="s">
        <v>555</v>
      </c>
    </row>
    <row r="62" spans="5:41" x14ac:dyDescent="0.25">
      <c r="E62">
        <v>2</v>
      </c>
      <c r="F62" t="s">
        <v>143</v>
      </c>
      <c r="G62">
        <v>6</v>
      </c>
      <c r="H62" t="s">
        <v>103</v>
      </c>
      <c r="I62" s="22" t="s">
        <v>140</v>
      </c>
      <c r="J62">
        <v>1061804001</v>
      </c>
      <c r="K62" t="s">
        <v>106</v>
      </c>
      <c r="L62" t="s">
        <v>142</v>
      </c>
      <c r="M62">
        <v>9</v>
      </c>
      <c r="N62">
        <v>32</v>
      </c>
      <c r="O62">
        <v>32</v>
      </c>
      <c r="P62" t="s">
        <v>108</v>
      </c>
      <c r="Q62">
        <v>99880</v>
      </c>
      <c r="R62">
        <v>3196</v>
      </c>
      <c r="S62">
        <v>20141205</v>
      </c>
      <c r="T62">
        <v>0</v>
      </c>
      <c r="U62">
        <v>0</v>
      </c>
      <c r="V62">
        <v>3196</v>
      </c>
      <c r="W62" t="s">
        <v>109</v>
      </c>
      <c r="X62" t="s">
        <v>110</v>
      </c>
      <c r="AD62">
        <v>59</v>
      </c>
      <c r="AE62" s="24" t="s">
        <v>556</v>
      </c>
      <c r="AG62" s="24" t="s">
        <v>291</v>
      </c>
      <c r="AH62" s="24" t="s">
        <v>292</v>
      </c>
      <c r="AI62">
        <v>32</v>
      </c>
      <c r="AJ62">
        <v>0</v>
      </c>
      <c r="AK62" s="24" t="s">
        <v>279</v>
      </c>
      <c r="AL62" s="24" t="s">
        <v>269</v>
      </c>
      <c r="AM62" s="24" t="s">
        <v>507</v>
      </c>
      <c r="AN62" s="24" t="s">
        <v>280</v>
      </c>
      <c r="AO62" s="24" t="s">
        <v>556</v>
      </c>
    </row>
    <row r="63" spans="5:41" x14ac:dyDescent="0.25">
      <c r="E63">
        <v>2</v>
      </c>
      <c r="F63" t="s">
        <v>143</v>
      </c>
      <c r="G63">
        <v>7</v>
      </c>
      <c r="H63" t="s">
        <v>103</v>
      </c>
      <c r="I63" s="22" t="s">
        <v>140</v>
      </c>
      <c r="J63">
        <v>1060943701</v>
      </c>
      <c r="K63" t="s">
        <v>106</v>
      </c>
      <c r="L63" t="s">
        <v>142</v>
      </c>
      <c r="M63">
        <v>9</v>
      </c>
      <c r="N63">
        <v>32</v>
      </c>
      <c r="O63">
        <v>32</v>
      </c>
      <c r="P63" t="s">
        <v>108</v>
      </c>
      <c r="Q63">
        <v>99880</v>
      </c>
      <c r="R63">
        <v>3196</v>
      </c>
      <c r="S63">
        <v>20141203</v>
      </c>
      <c r="T63">
        <v>0</v>
      </c>
      <c r="U63">
        <v>0</v>
      </c>
      <c r="V63">
        <v>3196</v>
      </c>
      <c r="W63" t="s">
        <v>109</v>
      </c>
      <c r="X63" t="s">
        <v>110</v>
      </c>
      <c r="AD63">
        <v>60</v>
      </c>
      <c r="AE63" s="24" t="s">
        <v>557</v>
      </c>
      <c r="AG63" s="24" t="s">
        <v>293</v>
      </c>
      <c r="AH63" s="24" t="s">
        <v>294</v>
      </c>
      <c r="AI63">
        <v>32</v>
      </c>
      <c r="AJ63">
        <v>0</v>
      </c>
      <c r="AK63" s="24" t="s">
        <v>279</v>
      </c>
      <c r="AL63" s="24" t="s">
        <v>269</v>
      </c>
      <c r="AM63" s="24" t="s">
        <v>507</v>
      </c>
      <c r="AN63" s="24" t="s">
        <v>280</v>
      </c>
      <c r="AO63" s="24" t="s">
        <v>557</v>
      </c>
    </row>
    <row r="64" spans="5:41" x14ac:dyDescent="0.25">
      <c r="E64">
        <v>2</v>
      </c>
      <c r="F64" t="s">
        <v>143</v>
      </c>
      <c r="G64">
        <v>8</v>
      </c>
      <c r="H64" t="s">
        <v>103</v>
      </c>
      <c r="I64" s="22" t="s">
        <v>140</v>
      </c>
      <c r="J64">
        <v>1061361101</v>
      </c>
      <c r="K64" t="s">
        <v>106</v>
      </c>
      <c r="L64" t="s">
        <v>142</v>
      </c>
      <c r="M64">
        <v>9</v>
      </c>
      <c r="N64">
        <v>32</v>
      </c>
      <c r="O64">
        <v>32</v>
      </c>
      <c r="P64" t="s">
        <v>108</v>
      </c>
      <c r="Q64">
        <v>99880</v>
      </c>
      <c r="R64">
        <v>3196</v>
      </c>
      <c r="S64">
        <v>20141204</v>
      </c>
      <c r="T64">
        <v>0</v>
      </c>
      <c r="U64">
        <v>0</v>
      </c>
      <c r="V64">
        <v>3196</v>
      </c>
      <c r="W64" t="s">
        <v>109</v>
      </c>
      <c r="X64" t="s">
        <v>110</v>
      </c>
      <c r="AD64">
        <v>61</v>
      </c>
      <c r="AE64" s="24" t="s">
        <v>558</v>
      </c>
      <c r="AG64" s="24" t="s">
        <v>295</v>
      </c>
      <c r="AH64" s="24" t="s">
        <v>296</v>
      </c>
      <c r="AI64">
        <v>32</v>
      </c>
      <c r="AJ64">
        <v>0</v>
      </c>
      <c r="AK64" s="24" t="s">
        <v>279</v>
      </c>
      <c r="AL64" s="24" t="s">
        <v>269</v>
      </c>
      <c r="AM64" s="24" t="s">
        <v>507</v>
      </c>
      <c r="AN64" s="24" t="s">
        <v>280</v>
      </c>
      <c r="AO64" s="24" t="s">
        <v>558</v>
      </c>
    </row>
    <row r="65" spans="5:41" x14ac:dyDescent="0.25">
      <c r="E65">
        <v>2</v>
      </c>
      <c r="F65" t="s">
        <v>143</v>
      </c>
      <c r="G65">
        <v>9</v>
      </c>
      <c r="H65" t="s">
        <v>103</v>
      </c>
      <c r="I65" s="22" t="s">
        <v>140</v>
      </c>
      <c r="J65">
        <v>1062953201</v>
      </c>
      <c r="K65" t="s">
        <v>106</v>
      </c>
      <c r="L65" t="s">
        <v>142</v>
      </c>
      <c r="M65">
        <v>9</v>
      </c>
      <c r="N65">
        <v>32</v>
      </c>
      <c r="O65">
        <v>32</v>
      </c>
      <c r="P65" t="s">
        <v>108</v>
      </c>
      <c r="Q65">
        <v>99880</v>
      </c>
      <c r="R65">
        <v>3196</v>
      </c>
      <c r="S65">
        <v>20141209</v>
      </c>
      <c r="T65">
        <v>0</v>
      </c>
      <c r="U65">
        <v>0</v>
      </c>
      <c r="V65">
        <v>3196</v>
      </c>
      <c r="W65" t="s">
        <v>109</v>
      </c>
      <c r="X65" t="s">
        <v>110</v>
      </c>
      <c r="AD65">
        <v>62</v>
      </c>
      <c r="AE65" s="24" t="s">
        <v>559</v>
      </c>
      <c r="AG65" s="24" t="s">
        <v>297</v>
      </c>
      <c r="AH65" s="24" t="s">
        <v>298</v>
      </c>
      <c r="AI65">
        <v>32</v>
      </c>
      <c r="AJ65">
        <v>0</v>
      </c>
      <c r="AK65" s="24" t="s">
        <v>279</v>
      </c>
      <c r="AL65" s="24" t="s">
        <v>269</v>
      </c>
      <c r="AM65" s="24" t="s">
        <v>507</v>
      </c>
      <c r="AN65" s="24" t="s">
        <v>280</v>
      </c>
      <c r="AO65" s="24" t="s">
        <v>559</v>
      </c>
    </row>
    <row r="66" spans="5:41" x14ac:dyDescent="0.25">
      <c r="E66">
        <v>2</v>
      </c>
      <c r="F66" t="s">
        <v>143</v>
      </c>
      <c r="G66">
        <v>10</v>
      </c>
      <c r="H66" t="s">
        <v>103</v>
      </c>
      <c r="I66" s="22" t="s">
        <v>140</v>
      </c>
      <c r="J66">
        <v>1065310201</v>
      </c>
      <c r="K66" t="s">
        <v>106</v>
      </c>
      <c r="L66" t="s">
        <v>142</v>
      </c>
      <c r="M66">
        <v>9</v>
      </c>
      <c r="N66">
        <v>32</v>
      </c>
      <c r="O66">
        <v>32</v>
      </c>
      <c r="P66" t="s">
        <v>108</v>
      </c>
      <c r="Q66">
        <v>99880</v>
      </c>
      <c r="R66">
        <v>3196</v>
      </c>
      <c r="S66">
        <v>20141216</v>
      </c>
      <c r="T66">
        <v>0</v>
      </c>
      <c r="U66">
        <v>0</v>
      </c>
      <c r="V66">
        <v>3196</v>
      </c>
      <c r="W66" t="s">
        <v>109</v>
      </c>
      <c r="X66" t="s">
        <v>110</v>
      </c>
      <c r="AD66">
        <v>63</v>
      </c>
      <c r="AE66" s="24" t="s">
        <v>560</v>
      </c>
      <c r="AG66" s="24" t="s">
        <v>299</v>
      </c>
      <c r="AH66" s="24" t="s">
        <v>300</v>
      </c>
      <c r="AI66">
        <v>32</v>
      </c>
      <c r="AJ66">
        <v>0</v>
      </c>
      <c r="AK66" s="24" t="s">
        <v>279</v>
      </c>
      <c r="AL66" s="24" t="s">
        <v>269</v>
      </c>
      <c r="AM66" s="24" t="s">
        <v>507</v>
      </c>
      <c r="AN66" s="24" t="s">
        <v>280</v>
      </c>
      <c r="AO66" s="24" t="s">
        <v>560</v>
      </c>
    </row>
    <row r="67" spans="5:41" x14ac:dyDescent="0.25">
      <c r="E67">
        <v>2</v>
      </c>
      <c r="F67" t="s">
        <v>143</v>
      </c>
      <c r="G67">
        <v>11</v>
      </c>
      <c r="H67" t="s">
        <v>103</v>
      </c>
      <c r="I67" s="22" t="s">
        <v>140</v>
      </c>
      <c r="J67">
        <v>1065714001</v>
      </c>
      <c r="K67" t="s">
        <v>106</v>
      </c>
      <c r="L67" t="s">
        <v>142</v>
      </c>
      <c r="M67">
        <v>9</v>
      </c>
      <c r="N67">
        <v>32</v>
      </c>
      <c r="O67">
        <v>32</v>
      </c>
      <c r="P67" t="s">
        <v>108</v>
      </c>
      <c r="Q67">
        <v>99880</v>
      </c>
      <c r="R67">
        <v>3196</v>
      </c>
      <c r="S67">
        <v>20141217</v>
      </c>
      <c r="T67">
        <v>0</v>
      </c>
      <c r="U67">
        <v>0</v>
      </c>
      <c r="V67">
        <v>3196</v>
      </c>
      <c r="W67" t="s">
        <v>109</v>
      </c>
      <c r="X67" t="s">
        <v>110</v>
      </c>
      <c r="AD67">
        <v>64</v>
      </c>
      <c r="AE67" s="24" t="s">
        <v>561</v>
      </c>
      <c r="AG67" s="24" t="s">
        <v>301</v>
      </c>
      <c r="AH67" s="24" t="s">
        <v>302</v>
      </c>
      <c r="AI67">
        <v>32</v>
      </c>
      <c r="AJ67">
        <v>0</v>
      </c>
      <c r="AK67" s="24" t="s">
        <v>279</v>
      </c>
      <c r="AL67" s="24" t="s">
        <v>269</v>
      </c>
      <c r="AM67" s="24" t="s">
        <v>507</v>
      </c>
      <c r="AN67" s="24" t="s">
        <v>280</v>
      </c>
      <c r="AO67" s="24" t="s">
        <v>561</v>
      </c>
    </row>
    <row r="68" spans="5:41" x14ac:dyDescent="0.25">
      <c r="E68">
        <v>2</v>
      </c>
      <c r="F68" t="s">
        <v>143</v>
      </c>
      <c r="G68">
        <v>12</v>
      </c>
      <c r="H68" t="s">
        <v>103</v>
      </c>
      <c r="I68" s="22" t="s">
        <v>140</v>
      </c>
      <c r="J68">
        <v>1063402601</v>
      </c>
      <c r="K68" t="s">
        <v>106</v>
      </c>
      <c r="L68" t="s">
        <v>142</v>
      </c>
      <c r="M68">
        <v>9</v>
      </c>
      <c r="N68">
        <v>32</v>
      </c>
      <c r="O68">
        <v>32</v>
      </c>
      <c r="P68" t="s">
        <v>108</v>
      </c>
      <c r="Q68">
        <v>99880</v>
      </c>
      <c r="R68">
        <v>3196</v>
      </c>
      <c r="S68">
        <v>20141210</v>
      </c>
      <c r="T68">
        <v>0</v>
      </c>
      <c r="U68">
        <v>0</v>
      </c>
      <c r="V68">
        <v>3196</v>
      </c>
      <c r="W68" t="s">
        <v>109</v>
      </c>
      <c r="X68" t="s">
        <v>110</v>
      </c>
      <c r="AD68">
        <v>65</v>
      </c>
      <c r="AE68" s="24" t="s">
        <v>562</v>
      </c>
      <c r="AG68" s="24" t="s">
        <v>303</v>
      </c>
      <c r="AH68" s="24" t="s">
        <v>304</v>
      </c>
      <c r="AI68">
        <v>32</v>
      </c>
      <c r="AJ68">
        <v>0</v>
      </c>
      <c r="AK68" s="24" t="s">
        <v>279</v>
      </c>
      <c r="AL68" s="24" t="s">
        <v>269</v>
      </c>
      <c r="AM68" s="24" t="s">
        <v>507</v>
      </c>
      <c r="AN68" s="24" t="s">
        <v>280</v>
      </c>
      <c r="AO68" s="24" t="s">
        <v>562</v>
      </c>
    </row>
    <row r="69" spans="5:41" x14ac:dyDescent="0.25">
      <c r="E69">
        <v>2</v>
      </c>
      <c r="F69" t="s">
        <v>143</v>
      </c>
      <c r="G69">
        <v>13</v>
      </c>
      <c r="H69" t="s">
        <v>103</v>
      </c>
      <c r="I69" s="22" t="s">
        <v>140</v>
      </c>
      <c r="J69">
        <v>1062265501</v>
      </c>
      <c r="K69" t="s">
        <v>106</v>
      </c>
      <c r="L69" t="s">
        <v>142</v>
      </c>
      <c r="M69">
        <v>9</v>
      </c>
      <c r="N69">
        <v>32</v>
      </c>
      <c r="O69">
        <v>32</v>
      </c>
      <c r="P69" t="s">
        <v>108</v>
      </c>
      <c r="Q69">
        <v>99880</v>
      </c>
      <c r="R69">
        <v>3196</v>
      </c>
      <c r="S69">
        <v>20141208</v>
      </c>
      <c r="T69">
        <v>0</v>
      </c>
      <c r="U69">
        <v>0</v>
      </c>
      <c r="V69">
        <v>3196</v>
      </c>
      <c r="W69" t="s">
        <v>109</v>
      </c>
      <c r="X69" t="s">
        <v>110</v>
      </c>
      <c r="AD69">
        <v>66</v>
      </c>
      <c r="AE69" s="24" t="s">
        <v>563</v>
      </c>
      <c r="AG69" s="24" t="s">
        <v>305</v>
      </c>
      <c r="AH69" s="24" t="s">
        <v>306</v>
      </c>
      <c r="AI69">
        <v>32</v>
      </c>
      <c r="AJ69">
        <v>0</v>
      </c>
      <c r="AK69" s="24" t="s">
        <v>279</v>
      </c>
      <c r="AL69" s="24" t="s">
        <v>269</v>
      </c>
      <c r="AM69" s="24" t="s">
        <v>507</v>
      </c>
      <c r="AN69" s="24" t="s">
        <v>280</v>
      </c>
      <c r="AO69" s="24" t="s">
        <v>563</v>
      </c>
    </row>
    <row r="70" spans="5:41" x14ac:dyDescent="0.25">
      <c r="E70">
        <v>2</v>
      </c>
      <c r="F70" t="s">
        <v>143</v>
      </c>
      <c r="G70">
        <v>14</v>
      </c>
      <c r="H70" t="s">
        <v>103</v>
      </c>
      <c r="I70" s="22" t="s">
        <v>144</v>
      </c>
      <c r="J70">
        <v>1059710001</v>
      </c>
      <c r="K70" t="s">
        <v>106</v>
      </c>
      <c r="L70" t="s">
        <v>145</v>
      </c>
      <c r="M70">
        <v>9</v>
      </c>
      <c r="N70">
        <v>24</v>
      </c>
      <c r="O70">
        <v>24</v>
      </c>
      <c r="P70" t="s">
        <v>108</v>
      </c>
      <c r="Q70">
        <v>2659050</v>
      </c>
      <c r="R70">
        <v>63817</v>
      </c>
      <c r="S70">
        <v>20141201</v>
      </c>
      <c r="T70">
        <v>0</v>
      </c>
      <c r="U70">
        <v>0</v>
      </c>
      <c r="V70">
        <v>63817</v>
      </c>
      <c r="W70" t="s">
        <v>109</v>
      </c>
      <c r="X70" t="s">
        <v>110</v>
      </c>
      <c r="AD70">
        <v>67</v>
      </c>
      <c r="AE70" s="24" t="s">
        <v>564</v>
      </c>
      <c r="AG70" s="24" t="s">
        <v>307</v>
      </c>
      <c r="AH70" s="24" t="s">
        <v>308</v>
      </c>
      <c r="AI70">
        <v>24</v>
      </c>
      <c r="AJ70">
        <v>0</v>
      </c>
      <c r="AK70" s="24" t="s">
        <v>309</v>
      </c>
      <c r="AL70" s="24" t="s">
        <v>310</v>
      </c>
      <c r="AM70" s="24" t="s">
        <v>507</v>
      </c>
      <c r="AN70" s="24" t="s">
        <v>311</v>
      </c>
      <c r="AO70" s="24" t="s">
        <v>564</v>
      </c>
    </row>
    <row r="71" spans="5:41" x14ac:dyDescent="0.25">
      <c r="E71">
        <v>2</v>
      </c>
      <c r="F71" t="s">
        <v>143</v>
      </c>
      <c r="G71">
        <v>15</v>
      </c>
      <c r="H71" t="s">
        <v>103</v>
      </c>
      <c r="I71" s="22" t="s">
        <v>144</v>
      </c>
      <c r="J71">
        <v>1062265101</v>
      </c>
      <c r="K71" t="s">
        <v>106</v>
      </c>
      <c r="L71" t="s">
        <v>145</v>
      </c>
      <c r="M71">
        <v>9</v>
      </c>
      <c r="N71">
        <v>12</v>
      </c>
      <c r="O71">
        <v>12</v>
      </c>
      <c r="P71" t="s">
        <v>108</v>
      </c>
      <c r="Q71">
        <v>2659050</v>
      </c>
      <c r="R71">
        <v>31909</v>
      </c>
      <c r="S71">
        <v>20141208</v>
      </c>
      <c r="T71">
        <v>0</v>
      </c>
      <c r="U71">
        <v>0</v>
      </c>
      <c r="V71">
        <v>31909</v>
      </c>
      <c r="W71" t="s">
        <v>109</v>
      </c>
      <c r="X71" t="s">
        <v>110</v>
      </c>
      <c r="AD71">
        <v>68</v>
      </c>
      <c r="AE71" s="24" t="s">
        <v>565</v>
      </c>
      <c r="AG71" s="24" t="s">
        <v>312</v>
      </c>
      <c r="AH71" s="24" t="s">
        <v>313</v>
      </c>
      <c r="AI71">
        <v>12</v>
      </c>
      <c r="AJ71">
        <v>0</v>
      </c>
      <c r="AK71" s="24" t="s">
        <v>309</v>
      </c>
      <c r="AL71" s="24" t="s">
        <v>310</v>
      </c>
      <c r="AM71" s="24" t="s">
        <v>507</v>
      </c>
      <c r="AN71" s="24" t="s">
        <v>311</v>
      </c>
      <c r="AO71" s="24" t="s">
        <v>565</v>
      </c>
    </row>
    <row r="72" spans="5:41" x14ac:dyDescent="0.25">
      <c r="E72">
        <v>2</v>
      </c>
      <c r="F72" t="s">
        <v>143</v>
      </c>
      <c r="G72">
        <v>16</v>
      </c>
      <c r="H72" t="s">
        <v>103</v>
      </c>
      <c r="I72" s="22" t="s">
        <v>144</v>
      </c>
      <c r="J72">
        <v>1061361601</v>
      </c>
      <c r="K72" t="s">
        <v>106</v>
      </c>
      <c r="L72" t="s">
        <v>145</v>
      </c>
      <c r="M72">
        <v>9</v>
      </c>
      <c r="N72">
        <v>24</v>
      </c>
      <c r="O72">
        <v>24</v>
      </c>
      <c r="P72" t="s">
        <v>108</v>
      </c>
      <c r="Q72">
        <v>2659050</v>
      </c>
      <c r="R72">
        <v>63817</v>
      </c>
      <c r="S72">
        <v>20141204</v>
      </c>
      <c r="T72">
        <v>0</v>
      </c>
      <c r="U72">
        <v>0</v>
      </c>
      <c r="V72">
        <v>63817</v>
      </c>
      <c r="W72" t="s">
        <v>109</v>
      </c>
      <c r="X72" t="s">
        <v>110</v>
      </c>
      <c r="AD72">
        <v>69</v>
      </c>
      <c r="AE72" s="24" t="s">
        <v>566</v>
      </c>
      <c r="AG72" s="24" t="s">
        <v>314</v>
      </c>
      <c r="AH72" s="24" t="s">
        <v>315</v>
      </c>
      <c r="AI72">
        <v>24</v>
      </c>
      <c r="AJ72">
        <v>0</v>
      </c>
      <c r="AK72" s="24" t="s">
        <v>309</v>
      </c>
      <c r="AL72" s="24" t="s">
        <v>310</v>
      </c>
      <c r="AM72" s="24" t="s">
        <v>507</v>
      </c>
      <c r="AN72" s="24" t="s">
        <v>311</v>
      </c>
      <c r="AO72" s="24" t="s">
        <v>566</v>
      </c>
    </row>
    <row r="73" spans="5:41" x14ac:dyDescent="0.25">
      <c r="E73">
        <v>2</v>
      </c>
      <c r="F73" t="s">
        <v>143</v>
      </c>
      <c r="G73">
        <v>17</v>
      </c>
      <c r="H73" t="s">
        <v>103</v>
      </c>
      <c r="I73" s="22" t="s">
        <v>144</v>
      </c>
      <c r="J73">
        <v>1060537101</v>
      </c>
      <c r="K73" t="s">
        <v>106</v>
      </c>
      <c r="L73" t="s">
        <v>145</v>
      </c>
      <c r="M73">
        <v>9</v>
      </c>
      <c r="N73">
        <v>24</v>
      </c>
      <c r="O73">
        <v>24</v>
      </c>
      <c r="P73" t="s">
        <v>108</v>
      </c>
      <c r="Q73">
        <v>2659050</v>
      </c>
      <c r="R73">
        <v>63817</v>
      </c>
      <c r="S73">
        <v>20141202</v>
      </c>
      <c r="T73">
        <v>0</v>
      </c>
      <c r="U73">
        <v>0</v>
      </c>
      <c r="V73">
        <v>63817</v>
      </c>
      <c r="W73" t="s">
        <v>109</v>
      </c>
      <c r="X73" t="s">
        <v>110</v>
      </c>
      <c r="AD73">
        <v>70</v>
      </c>
      <c r="AE73" s="24" t="s">
        <v>567</v>
      </c>
      <c r="AG73" s="24" t="s">
        <v>316</v>
      </c>
      <c r="AH73" s="24" t="s">
        <v>317</v>
      </c>
      <c r="AI73">
        <v>24</v>
      </c>
      <c r="AJ73">
        <v>0</v>
      </c>
      <c r="AK73" s="24" t="s">
        <v>309</v>
      </c>
      <c r="AL73" s="24" t="s">
        <v>310</v>
      </c>
      <c r="AM73" s="24" t="s">
        <v>507</v>
      </c>
      <c r="AN73" s="24" t="s">
        <v>311</v>
      </c>
      <c r="AO73" s="24" t="s">
        <v>567</v>
      </c>
    </row>
    <row r="74" spans="5:41" x14ac:dyDescent="0.25">
      <c r="E74">
        <v>2</v>
      </c>
      <c r="F74" t="s">
        <v>143</v>
      </c>
      <c r="G74">
        <v>18</v>
      </c>
      <c r="H74" t="s">
        <v>103</v>
      </c>
      <c r="I74" s="22" t="s">
        <v>144</v>
      </c>
      <c r="J74">
        <v>1060943201</v>
      </c>
      <c r="K74" t="s">
        <v>106</v>
      </c>
      <c r="L74" t="s">
        <v>145</v>
      </c>
      <c r="M74">
        <v>9</v>
      </c>
      <c r="N74">
        <v>36</v>
      </c>
      <c r="O74">
        <v>36</v>
      </c>
      <c r="P74" t="s">
        <v>108</v>
      </c>
      <c r="Q74">
        <v>2659050</v>
      </c>
      <c r="R74">
        <v>95726</v>
      </c>
      <c r="S74">
        <v>20141203</v>
      </c>
      <c r="T74">
        <v>0</v>
      </c>
      <c r="U74">
        <v>0</v>
      </c>
      <c r="V74">
        <v>95726</v>
      </c>
      <c r="W74" t="s">
        <v>109</v>
      </c>
      <c r="X74" t="s">
        <v>110</v>
      </c>
      <c r="AD74">
        <v>71</v>
      </c>
      <c r="AE74" s="24" t="s">
        <v>568</v>
      </c>
      <c r="AG74" s="24" t="s">
        <v>318</v>
      </c>
      <c r="AH74" s="24" t="s">
        <v>319</v>
      </c>
      <c r="AI74">
        <v>36</v>
      </c>
      <c r="AJ74">
        <v>0</v>
      </c>
      <c r="AK74" s="24" t="s">
        <v>309</v>
      </c>
      <c r="AL74" s="24" t="s">
        <v>310</v>
      </c>
      <c r="AM74" s="24" t="s">
        <v>507</v>
      </c>
      <c r="AN74" s="24" t="s">
        <v>311</v>
      </c>
      <c r="AO74" s="24" t="s">
        <v>568</v>
      </c>
    </row>
    <row r="75" spans="5:41" x14ac:dyDescent="0.25">
      <c r="E75">
        <v>2</v>
      </c>
      <c r="F75" t="s">
        <v>143</v>
      </c>
      <c r="G75">
        <v>19</v>
      </c>
      <c r="H75" t="s">
        <v>103</v>
      </c>
      <c r="I75" s="22" t="s">
        <v>144</v>
      </c>
      <c r="J75">
        <v>1060943801</v>
      </c>
      <c r="K75" t="s">
        <v>106</v>
      </c>
      <c r="L75" t="s">
        <v>145</v>
      </c>
      <c r="M75">
        <v>9</v>
      </c>
      <c r="N75">
        <v>12</v>
      </c>
      <c r="O75">
        <v>12</v>
      </c>
      <c r="P75" t="s">
        <v>108</v>
      </c>
      <c r="Q75">
        <v>2659050</v>
      </c>
      <c r="R75">
        <v>31909</v>
      </c>
      <c r="S75">
        <v>20141203</v>
      </c>
      <c r="T75">
        <v>0</v>
      </c>
      <c r="U75">
        <v>0</v>
      </c>
      <c r="V75">
        <v>31909</v>
      </c>
      <c r="W75" t="s">
        <v>109</v>
      </c>
      <c r="X75" t="s">
        <v>110</v>
      </c>
      <c r="AD75">
        <v>72</v>
      </c>
      <c r="AE75" s="24" t="s">
        <v>569</v>
      </c>
      <c r="AG75" s="24" t="s">
        <v>320</v>
      </c>
      <c r="AH75" s="24" t="s">
        <v>321</v>
      </c>
      <c r="AI75">
        <v>12</v>
      </c>
      <c r="AJ75">
        <v>0</v>
      </c>
      <c r="AK75" s="24" t="s">
        <v>309</v>
      </c>
      <c r="AL75" s="24" t="s">
        <v>310</v>
      </c>
      <c r="AM75" s="24" t="s">
        <v>507</v>
      </c>
      <c r="AN75" s="24" t="s">
        <v>311</v>
      </c>
      <c r="AO75" s="24" t="s">
        <v>569</v>
      </c>
    </row>
    <row r="76" spans="5:41" x14ac:dyDescent="0.25">
      <c r="E76">
        <v>2</v>
      </c>
      <c r="F76" t="s">
        <v>143</v>
      </c>
      <c r="G76">
        <v>20</v>
      </c>
      <c r="H76" t="s">
        <v>103</v>
      </c>
      <c r="I76" s="22" t="s">
        <v>144</v>
      </c>
      <c r="J76">
        <v>1061360701</v>
      </c>
      <c r="K76" t="s">
        <v>106</v>
      </c>
      <c r="L76" t="s">
        <v>145</v>
      </c>
      <c r="M76">
        <v>9</v>
      </c>
      <c r="N76">
        <v>12</v>
      </c>
      <c r="O76">
        <v>12</v>
      </c>
      <c r="P76" t="s">
        <v>108</v>
      </c>
      <c r="Q76">
        <v>2659050</v>
      </c>
      <c r="R76">
        <v>31909</v>
      </c>
      <c r="S76">
        <v>20141204</v>
      </c>
      <c r="T76">
        <v>0</v>
      </c>
      <c r="U76">
        <v>0</v>
      </c>
      <c r="V76">
        <v>31909</v>
      </c>
      <c r="W76" t="s">
        <v>109</v>
      </c>
      <c r="X76" t="s">
        <v>110</v>
      </c>
      <c r="AD76">
        <v>73</v>
      </c>
      <c r="AE76" s="24" t="s">
        <v>570</v>
      </c>
      <c r="AG76" s="24" t="s">
        <v>322</v>
      </c>
      <c r="AH76" s="24" t="s">
        <v>323</v>
      </c>
      <c r="AI76">
        <v>12</v>
      </c>
      <c r="AJ76">
        <v>0</v>
      </c>
      <c r="AK76" s="24" t="s">
        <v>309</v>
      </c>
      <c r="AL76" s="24" t="s">
        <v>310</v>
      </c>
      <c r="AM76" s="24" t="s">
        <v>507</v>
      </c>
      <c r="AN76" s="24" t="s">
        <v>311</v>
      </c>
      <c r="AO76" s="24" t="s">
        <v>570</v>
      </c>
    </row>
    <row r="77" spans="5:41" x14ac:dyDescent="0.25">
      <c r="E77">
        <v>2</v>
      </c>
      <c r="F77" t="s">
        <v>143</v>
      </c>
      <c r="G77">
        <v>21</v>
      </c>
      <c r="H77" t="s">
        <v>103</v>
      </c>
      <c r="I77" s="22" t="s">
        <v>144</v>
      </c>
      <c r="J77">
        <v>1066132301</v>
      </c>
      <c r="K77" t="s">
        <v>106</v>
      </c>
      <c r="L77" t="s">
        <v>145</v>
      </c>
      <c r="M77">
        <v>9</v>
      </c>
      <c r="N77">
        <v>12</v>
      </c>
      <c r="O77">
        <v>12</v>
      </c>
      <c r="P77" t="s">
        <v>108</v>
      </c>
      <c r="Q77">
        <v>2659050</v>
      </c>
      <c r="R77">
        <v>31909</v>
      </c>
      <c r="S77">
        <v>20141218</v>
      </c>
      <c r="T77">
        <v>0</v>
      </c>
      <c r="U77">
        <v>0</v>
      </c>
      <c r="V77">
        <v>31909</v>
      </c>
      <c r="W77" t="s">
        <v>109</v>
      </c>
      <c r="X77" t="s">
        <v>110</v>
      </c>
      <c r="AD77">
        <v>74</v>
      </c>
      <c r="AE77" s="24" t="s">
        <v>571</v>
      </c>
      <c r="AG77" s="24" t="s">
        <v>324</v>
      </c>
      <c r="AH77" s="24" t="s">
        <v>325</v>
      </c>
      <c r="AI77">
        <v>12</v>
      </c>
      <c r="AJ77">
        <v>0</v>
      </c>
      <c r="AK77" s="24" t="s">
        <v>309</v>
      </c>
      <c r="AL77" s="24" t="s">
        <v>326</v>
      </c>
      <c r="AM77" s="24" t="s">
        <v>507</v>
      </c>
      <c r="AN77" s="24" t="s">
        <v>311</v>
      </c>
      <c r="AO77" s="24" t="s">
        <v>571</v>
      </c>
    </row>
    <row r="78" spans="5:41" x14ac:dyDescent="0.25">
      <c r="E78">
        <v>2</v>
      </c>
      <c r="F78" t="s">
        <v>143</v>
      </c>
      <c r="G78">
        <v>22</v>
      </c>
      <c r="H78" t="s">
        <v>103</v>
      </c>
      <c r="I78" s="22" t="s">
        <v>144</v>
      </c>
      <c r="J78">
        <v>1060536901</v>
      </c>
      <c r="K78" t="s">
        <v>106</v>
      </c>
      <c r="L78" t="s">
        <v>145</v>
      </c>
      <c r="M78">
        <v>9</v>
      </c>
      <c r="N78">
        <v>12</v>
      </c>
      <c r="O78">
        <v>12</v>
      </c>
      <c r="P78" t="s">
        <v>108</v>
      </c>
      <c r="Q78">
        <v>2659050</v>
      </c>
      <c r="R78">
        <v>31909</v>
      </c>
      <c r="S78">
        <v>20141202</v>
      </c>
      <c r="T78">
        <v>0</v>
      </c>
      <c r="U78">
        <v>0</v>
      </c>
      <c r="V78">
        <v>31909</v>
      </c>
      <c r="W78" t="s">
        <v>109</v>
      </c>
      <c r="X78" t="s">
        <v>110</v>
      </c>
      <c r="AD78">
        <v>75</v>
      </c>
      <c r="AE78" s="24" t="s">
        <v>572</v>
      </c>
      <c r="AG78" s="24" t="s">
        <v>327</v>
      </c>
      <c r="AH78" s="24" t="s">
        <v>328</v>
      </c>
      <c r="AI78">
        <v>12</v>
      </c>
      <c r="AJ78">
        <v>0</v>
      </c>
      <c r="AK78" s="24" t="s">
        <v>309</v>
      </c>
      <c r="AL78" s="24" t="s">
        <v>310</v>
      </c>
      <c r="AM78" s="24" t="s">
        <v>507</v>
      </c>
      <c r="AN78" s="24" t="s">
        <v>311</v>
      </c>
      <c r="AO78" s="24" t="s">
        <v>572</v>
      </c>
    </row>
    <row r="79" spans="5:41" x14ac:dyDescent="0.25">
      <c r="E79">
        <v>2</v>
      </c>
      <c r="F79" t="s">
        <v>146</v>
      </c>
      <c r="G79">
        <v>1</v>
      </c>
      <c r="H79" t="s">
        <v>103</v>
      </c>
      <c r="I79" s="22" t="s">
        <v>144</v>
      </c>
      <c r="J79">
        <v>1066539101</v>
      </c>
      <c r="K79" t="s">
        <v>106</v>
      </c>
      <c r="L79" t="s">
        <v>145</v>
      </c>
      <c r="M79">
        <v>9</v>
      </c>
      <c r="N79">
        <v>12</v>
      </c>
      <c r="O79">
        <v>12</v>
      </c>
      <c r="P79" t="s">
        <v>108</v>
      </c>
      <c r="Q79">
        <v>2659050</v>
      </c>
      <c r="R79">
        <v>31909</v>
      </c>
      <c r="S79">
        <v>20141219</v>
      </c>
      <c r="T79">
        <v>0</v>
      </c>
      <c r="U79">
        <v>0</v>
      </c>
      <c r="V79">
        <v>31909</v>
      </c>
      <c r="W79" t="s">
        <v>109</v>
      </c>
      <c r="X79" t="s">
        <v>110</v>
      </c>
      <c r="Y79">
        <v>3</v>
      </c>
      <c r="Z79">
        <v>243213</v>
      </c>
      <c r="AA79">
        <v>0</v>
      </c>
      <c r="AB79">
        <v>0</v>
      </c>
      <c r="AC79">
        <v>243213</v>
      </c>
      <c r="AD79">
        <v>76</v>
      </c>
      <c r="AE79" s="24" t="s">
        <v>573</v>
      </c>
      <c r="AG79" s="24" t="s">
        <v>329</v>
      </c>
      <c r="AH79" s="24" t="s">
        <v>330</v>
      </c>
      <c r="AI79">
        <v>12</v>
      </c>
      <c r="AJ79">
        <v>0</v>
      </c>
      <c r="AK79" s="24" t="s">
        <v>309</v>
      </c>
      <c r="AL79" s="24" t="s">
        <v>326</v>
      </c>
      <c r="AM79" s="24" t="s">
        <v>507</v>
      </c>
      <c r="AN79" s="24" t="s">
        <v>311</v>
      </c>
      <c r="AO79" s="24" t="s">
        <v>573</v>
      </c>
    </row>
    <row r="80" spans="5:41" x14ac:dyDescent="0.25">
      <c r="E80">
        <v>2</v>
      </c>
      <c r="F80" t="s">
        <v>146</v>
      </c>
      <c r="G80">
        <v>2</v>
      </c>
      <c r="H80" t="s">
        <v>103</v>
      </c>
      <c r="I80" s="22" t="s">
        <v>147</v>
      </c>
      <c r="J80">
        <v>1063874201</v>
      </c>
      <c r="K80" t="s">
        <v>106</v>
      </c>
      <c r="L80" t="s">
        <v>148</v>
      </c>
      <c r="M80">
        <v>9</v>
      </c>
      <c r="N80">
        <v>16</v>
      </c>
      <c r="O80">
        <v>16</v>
      </c>
      <c r="P80" t="s">
        <v>108</v>
      </c>
      <c r="Q80">
        <v>2753830</v>
      </c>
      <c r="R80">
        <v>44061</v>
      </c>
      <c r="S80">
        <v>20141211</v>
      </c>
      <c r="T80">
        <v>0</v>
      </c>
      <c r="U80">
        <v>0</v>
      </c>
      <c r="V80">
        <v>44061</v>
      </c>
      <c r="W80" t="s">
        <v>109</v>
      </c>
      <c r="X80" t="s">
        <v>110</v>
      </c>
      <c r="AD80">
        <v>77</v>
      </c>
      <c r="AE80" s="24" t="s">
        <v>574</v>
      </c>
      <c r="AG80" s="24" t="s">
        <v>331</v>
      </c>
      <c r="AH80" s="24" t="s">
        <v>332</v>
      </c>
      <c r="AI80">
        <v>16</v>
      </c>
      <c r="AJ80">
        <v>0</v>
      </c>
      <c r="AK80" s="24" t="s">
        <v>333</v>
      </c>
      <c r="AL80" s="24" t="s">
        <v>269</v>
      </c>
      <c r="AM80" s="24" t="s">
        <v>507</v>
      </c>
      <c r="AN80" s="24" t="s">
        <v>334</v>
      </c>
      <c r="AO80" s="24" t="s">
        <v>574</v>
      </c>
    </row>
    <row r="81" spans="5:41" x14ac:dyDescent="0.25">
      <c r="E81">
        <v>2</v>
      </c>
      <c r="F81" t="s">
        <v>146</v>
      </c>
      <c r="G81">
        <v>3</v>
      </c>
      <c r="H81" t="s">
        <v>103</v>
      </c>
      <c r="I81" s="22" t="s">
        <v>147</v>
      </c>
      <c r="J81">
        <v>1065310501</v>
      </c>
      <c r="K81" t="s">
        <v>106</v>
      </c>
      <c r="L81" t="s">
        <v>148</v>
      </c>
      <c r="M81">
        <v>9</v>
      </c>
      <c r="N81">
        <v>16</v>
      </c>
      <c r="O81">
        <v>16</v>
      </c>
      <c r="P81" t="s">
        <v>108</v>
      </c>
      <c r="Q81">
        <v>2753830</v>
      </c>
      <c r="R81">
        <v>44061</v>
      </c>
      <c r="S81">
        <v>20141216</v>
      </c>
      <c r="T81">
        <v>0</v>
      </c>
      <c r="U81">
        <v>0</v>
      </c>
      <c r="V81">
        <v>44061</v>
      </c>
      <c r="W81" t="s">
        <v>109</v>
      </c>
      <c r="X81" t="s">
        <v>110</v>
      </c>
      <c r="AD81">
        <v>78</v>
      </c>
      <c r="AE81" s="24" t="s">
        <v>575</v>
      </c>
      <c r="AG81" s="24" t="s">
        <v>335</v>
      </c>
      <c r="AH81" s="24" t="s">
        <v>336</v>
      </c>
      <c r="AI81">
        <v>16</v>
      </c>
      <c r="AJ81">
        <v>0</v>
      </c>
      <c r="AK81" s="24" t="s">
        <v>333</v>
      </c>
      <c r="AL81" s="24" t="s">
        <v>269</v>
      </c>
      <c r="AM81" s="24" t="s">
        <v>507</v>
      </c>
      <c r="AN81" s="24" t="s">
        <v>334</v>
      </c>
      <c r="AO81" s="24" t="s">
        <v>575</v>
      </c>
    </row>
    <row r="82" spans="5:41" x14ac:dyDescent="0.25">
      <c r="E82">
        <v>2</v>
      </c>
      <c r="F82" t="s">
        <v>146</v>
      </c>
      <c r="G82">
        <v>4</v>
      </c>
      <c r="H82" t="s">
        <v>103</v>
      </c>
      <c r="I82" s="22" t="s">
        <v>149</v>
      </c>
      <c r="J82">
        <v>1063874401</v>
      </c>
      <c r="K82" t="s">
        <v>106</v>
      </c>
      <c r="L82" t="s">
        <v>150</v>
      </c>
      <c r="M82">
        <v>9</v>
      </c>
      <c r="N82">
        <v>52</v>
      </c>
      <c r="O82">
        <v>52</v>
      </c>
      <c r="P82" t="s">
        <v>108</v>
      </c>
      <c r="Q82">
        <v>123240</v>
      </c>
      <c r="R82">
        <v>6408</v>
      </c>
      <c r="S82">
        <v>20141211</v>
      </c>
      <c r="T82">
        <v>0</v>
      </c>
      <c r="U82">
        <v>0</v>
      </c>
      <c r="V82">
        <v>6408</v>
      </c>
      <c r="W82" t="s">
        <v>109</v>
      </c>
      <c r="X82" t="s">
        <v>110</v>
      </c>
      <c r="AD82">
        <v>79</v>
      </c>
      <c r="AE82" s="24" t="s">
        <v>576</v>
      </c>
      <c r="AF82" s="24" t="s">
        <v>337</v>
      </c>
      <c r="AG82" s="24" t="s">
        <v>338</v>
      </c>
      <c r="AH82" s="24" t="s">
        <v>339</v>
      </c>
      <c r="AI82">
        <v>52</v>
      </c>
      <c r="AJ82">
        <v>123.24</v>
      </c>
      <c r="AK82" s="24" t="s">
        <v>340</v>
      </c>
      <c r="AL82" s="24" t="s">
        <v>577</v>
      </c>
      <c r="AM82" s="24" t="s">
        <v>507</v>
      </c>
      <c r="AN82" s="24" t="s">
        <v>341</v>
      </c>
      <c r="AO82" s="24" t="s">
        <v>576</v>
      </c>
    </row>
    <row r="83" spans="5:41" x14ac:dyDescent="0.25">
      <c r="E83">
        <v>2</v>
      </c>
      <c r="F83" t="s">
        <v>146</v>
      </c>
      <c r="G83">
        <v>5</v>
      </c>
      <c r="H83" t="s">
        <v>103</v>
      </c>
      <c r="I83" s="22" t="s">
        <v>149</v>
      </c>
      <c r="J83">
        <v>1062953401</v>
      </c>
      <c r="K83" t="s">
        <v>106</v>
      </c>
      <c r="L83" t="s">
        <v>151</v>
      </c>
      <c r="M83">
        <v>9</v>
      </c>
      <c r="N83">
        <v>52</v>
      </c>
      <c r="O83">
        <v>52</v>
      </c>
      <c r="P83" t="s">
        <v>108</v>
      </c>
      <c r="Q83">
        <v>459220</v>
      </c>
      <c r="R83">
        <v>23879</v>
      </c>
      <c r="S83">
        <v>20141209</v>
      </c>
      <c r="T83">
        <v>0</v>
      </c>
      <c r="U83">
        <v>0</v>
      </c>
      <c r="V83">
        <v>23879</v>
      </c>
      <c r="W83" t="s">
        <v>109</v>
      </c>
      <c r="X83" t="s">
        <v>110</v>
      </c>
      <c r="AD83">
        <v>80</v>
      </c>
      <c r="AE83" s="24" t="s">
        <v>578</v>
      </c>
      <c r="AF83" s="24" t="s">
        <v>337</v>
      </c>
      <c r="AG83" s="24" t="s">
        <v>342</v>
      </c>
      <c r="AH83" s="24" t="s">
        <v>343</v>
      </c>
      <c r="AI83">
        <v>52</v>
      </c>
      <c r="AJ83">
        <v>459.22</v>
      </c>
      <c r="AK83" s="24" t="s">
        <v>344</v>
      </c>
      <c r="AL83" s="24" t="s">
        <v>579</v>
      </c>
      <c r="AM83" s="24" t="s">
        <v>507</v>
      </c>
      <c r="AN83" s="24" t="s">
        <v>345</v>
      </c>
      <c r="AO83" s="24" t="s">
        <v>578</v>
      </c>
    </row>
    <row r="84" spans="5:41" x14ac:dyDescent="0.25">
      <c r="E84">
        <v>2</v>
      </c>
      <c r="F84" t="s">
        <v>146</v>
      </c>
      <c r="G84">
        <v>6</v>
      </c>
      <c r="H84" t="s">
        <v>103</v>
      </c>
      <c r="I84" s="22" t="s">
        <v>149</v>
      </c>
      <c r="J84">
        <v>1064728701</v>
      </c>
      <c r="K84" t="s">
        <v>106</v>
      </c>
      <c r="L84" t="s">
        <v>151</v>
      </c>
      <c r="M84">
        <v>9</v>
      </c>
      <c r="N84">
        <v>52</v>
      </c>
      <c r="O84">
        <v>52</v>
      </c>
      <c r="P84" t="s">
        <v>108</v>
      </c>
      <c r="Q84">
        <v>459220</v>
      </c>
      <c r="R84">
        <v>23879</v>
      </c>
      <c r="S84">
        <v>20141215</v>
      </c>
      <c r="T84">
        <v>0</v>
      </c>
      <c r="U84">
        <v>0</v>
      </c>
      <c r="V84">
        <v>23879</v>
      </c>
      <c r="W84" t="s">
        <v>109</v>
      </c>
      <c r="X84" t="s">
        <v>110</v>
      </c>
      <c r="AD84">
        <v>81</v>
      </c>
      <c r="AE84" s="24" t="s">
        <v>580</v>
      </c>
      <c r="AF84" s="24" t="s">
        <v>337</v>
      </c>
      <c r="AG84" s="24" t="s">
        <v>346</v>
      </c>
      <c r="AH84" s="24" t="s">
        <v>347</v>
      </c>
      <c r="AI84">
        <v>52</v>
      </c>
      <c r="AJ84">
        <v>459.22</v>
      </c>
      <c r="AK84" s="24" t="s">
        <v>344</v>
      </c>
      <c r="AL84" s="24" t="s">
        <v>579</v>
      </c>
      <c r="AM84" s="24" t="s">
        <v>507</v>
      </c>
      <c r="AN84" s="24" t="s">
        <v>345</v>
      </c>
      <c r="AO84" s="24" t="s">
        <v>580</v>
      </c>
    </row>
    <row r="85" spans="5:41" x14ac:dyDescent="0.25">
      <c r="E85">
        <v>2</v>
      </c>
      <c r="F85" t="s">
        <v>146</v>
      </c>
      <c r="G85">
        <v>7</v>
      </c>
      <c r="H85" t="s">
        <v>103</v>
      </c>
      <c r="I85" s="22" t="s">
        <v>123</v>
      </c>
      <c r="J85">
        <v>1060004801</v>
      </c>
      <c r="K85" t="s">
        <v>106</v>
      </c>
      <c r="L85" t="s">
        <v>152</v>
      </c>
      <c r="M85">
        <v>9</v>
      </c>
      <c r="N85">
        <v>40</v>
      </c>
      <c r="O85">
        <v>40</v>
      </c>
      <c r="P85" t="s">
        <v>108</v>
      </c>
      <c r="Q85">
        <v>240100</v>
      </c>
      <c r="R85">
        <v>9604</v>
      </c>
      <c r="S85">
        <v>20141205</v>
      </c>
      <c r="T85">
        <v>0</v>
      </c>
      <c r="U85">
        <v>0</v>
      </c>
      <c r="V85">
        <v>9604</v>
      </c>
      <c r="W85" t="s">
        <v>109</v>
      </c>
      <c r="X85" t="s">
        <v>110</v>
      </c>
      <c r="AD85">
        <v>82</v>
      </c>
      <c r="AE85" s="24" t="s">
        <v>581</v>
      </c>
      <c r="AG85" s="24" t="s">
        <v>348</v>
      </c>
      <c r="AH85" s="24" t="s">
        <v>349</v>
      </c>
      <c r="AI85">
        <v>40</v>
      </c>
      <c r="AJ85">
        <v>0</v>
      </c>
      <c r="AK85" s="24" t="s">
        <v>350</v>
      </c>
      <c r="AL85" s="24" t="s">
        <v>507</v>
      </c>
      <c r="AM85" s="24" t="s">
        <v>507</v>
      </c>
      <c r="AN85" s="24" t="s">
        <v>351</v>
      </c>
      <c r="AO85" s="24" t="s">
        <v>581</v>
      </c>
    </row>
    <row r="86" spans="5:41" x14ac:dyDescent="0.25">
      <c r="E86">
        <v>2</v>
      </c>
      <c r="F86" t="s">
        <v>146</v>
      </c>
      <c r="G86">
        <v>8</v>
      </c>
      <c r="H86" t="s">
        <v>103</v>
      </c>
      <c r="I86" s="22" t="s">
        <v>123</v>
      </c>
      <c r="J86">
        <v>1062541101</v>
      </c>
      <c r="K86" t="s">
        <v>106</v>
      </c>
      <c r="L86" t="s">
        <v>152</v>
      </c>
      <c r="M86">
        <v>9</v>
      </c>
      <c r="N86">
        <v>40</v>
      </c>
      <c r="O86">
        <v>40</v>
      </c>
      <c r="P86" t="s">
        <v>108</v>
      </c>
      <c r="Q86">
        <v>240100</v>
      </c>
      <c r="R86">
        <v>9604</v>
      </c>
      <c r="S86">
        <v>20141217</v>
      </c>
      <c r="T86">
        <v>0</v>
      </c>
      <c r="U86">
        <v>0</v>
      </c>
      <c r="V86">
        <v>9604</v>
      </c>
      <c r="W86" t="s">
        <v>109</v>
      </c>
      <c r="X86" t="s">
        <v>110</v>
      </c>
      <c r="AD86">
        <v>83</v>
      </c>
      <c r="AE86" s="24" t="s">
        <v>582</v>
      </c>
      <c r="AG86" s="24" t="s">
        <v>352</v>
      </c>
      <c r="AH86" s="24" t="s">
        <v>353</v>
      </c>
      <c r="AI86">
        <v>40</v>
      </c>
      <c r="AJ86">
        <v>0</v>
      </c>
      <c r="AK86" s="24" t="s">
        <v>350</v>
      </c>
      <c r="AL86" s="24" t="s">
        <v>507</v>
      </c>
      <c r="AM86" s="24" t="s">
        <v>507</v>
      </c>
      <c r="AN86" s="24" t="s">
        <v>351</v>
      </c>
      <c r="AO86" s="24" t="s">
        <v>582</v>
      </c>
    </row>
    <row r="87" spans="5:41" x14ac:dyDescent="0.25">
      <c r="E87">
        <v>2</v>
      </c>
      <c r="F87" t="s">
        <v>146</v>
      </c>
      <c r="G87">
        <v>9</v>
      </c>
      <c r="H87" t="s">
        <v>103</v>
      </c>
      <c r="I87" s="22" t="s">
        <v>123</v>
      </c>
      <c r="J87">
        <v>1062541201</v>
      </c>
      <c r="K87" t="s">
        <v>106</v>
      </c>
      <c r="L87" t="s">
        <v>153</v>
      </c>
      <c r="M87">
        <v>9</v>
      </c>
      <c r="N87">
        <v>40</v>
      </c>
      <c r="O87">
        <v>40</v>
      </c>
      <c r="P87" t="s">
        <v>108</v>
      </c>
      <c r="Q87">
        <v>55290</v>
      </c>
      <c r="R87">
        <v>2212</v>
      </c>
      <c r="S87">
        <v>20141217</v>
      </c>
      <c r="T87">
        <v>0</v>
      </c>
      <c r="U87">
        <v>0</v>
      </c>
      <c r="V87">
        <v>2212</v>
      </c>
      <c r="W87" t="s">
        <v>109</v>
      </c>
      <c r="X87" t="s">
        <v>110</v>
      </c>
      <c r="AD87">
        <v>84</v>
      </c>
      <c r="AE87" s="24" t="s">
        <v>583</v>
      </c>
      <c r="AG87" s="24" t="s">
        <v>354</v>
      </c>
      <c r="AH87" s="24" t="s">
        <v>355</v>
      </c>
      <c r="AI87">
        <v>40</v>
      </c>
      <c r="AJ87">
        <v>0</v>
      </c>
      <c r="AK87" s="24" t="s">
        <v>356</v>
      </c>
      <c r="AL87" s="24" t="s">
        <v>584</v>
      </c>
      <c r="AM87" s="24" t="s">
        <v>507</v>
      </c>
      <c r="AN87" s="24" t="s">
        <v>357</v>
      </c>
      <c r="AO87" s="24" t="s">
        <v>583</v>
      </c>
    </row>
    <row r="88" spans="5:41" x14ac:dyDescent="0.25">
      <c r="E88">
        <v>2</v>
      </c>
      <c r="F88" t="s">
        <v>146</v>
      </c>
      <c r="G88">
        <v>10</v>
      </c>
      <c r="H88" t="s">
        <v>103</v>
      </c>
      <c r="I88" s="22" t="s">
        <v>123</v>
      </c>
      <c r="J88">
        <v>1060004901</v>
      </c>
      <c r="K88" t="s">
        <v>106</v>
      </c>
      <c r="L88" t="s">
        <v>153</v>
      </c>
      <c r="M88">
        <v>9</v>
      </c>
      <c r="N88">
        <v>40</v>
      </c>
      <c r="O88">
        <v>40</v>
      </c>
      <c r="P88" t="s">
        <v>108</v>
      </c>
      <c r="Q88">
        <v>55290</v>
      </c>
      <c r="R88">
        <v>2212</v>
      </c>
      <c r="S88">
        <v>20141205</v>
      </c>
      <c r="T88">
        <v>0</v>
      </c>
      <c r="U88">
        <v>0</v>
      </c>
      <c r="V88">
        <v>2212</v>
      </c>
      <c r="W88" t="s">
        <v>109</v>
      </c>
      <c r="X88" t="s">
        <v>110</v>
      </c>
      <c r="AD88">
        <v>85</v>
      </c>
      <c r="AE88" s="24" t="s">
        <v>585</v>
      </c>
      <c r="AG88" s="24" t="s">
        <v>358</v>
      </c>
      <c r="AH88" s="24" t="s">
        <v>359</v>
      </c>
      <c r="AI88">
        <v>40</v>
      </c>
      <c r="AJ88">
        <v>0</v>
      </c>
      <c r="AK88" s="24" t="s">
        <v>356</v>
      </c>
      <c r="AL88" s="24" t="s">
        <v>584</v>
      </c>
      <c r="AM88" s="24" t="s">
        <v>507</v>
      </c>
      <c r="AN88" s="24" t="s">
        <v>357</v>
      </c>
      <c r="AO88" s="24" t="s">
        <v>585</v>
      </c>
    </row>
    <row r="89" spans="5:41" x14ac:dyDescent="0.25">
      <c r="E89">
        <v>2</v>
      </c>
      <c r="F89" t="s">
        <v>146</v>
      </c>
      <c r="G89">
        <v>11</v>
      </c>
      <c r="H89" t="s">
        <v>103</v>
      </c>
      <c r="I89" s="22" t="s">
        <v>154</v>
      </c>
      <c r="J89">
        <v>1053809301</v>
      </c>
      <c r="K89" t="s">
        <v>106</v>
      </c>
      <c r="L89" t="s">
        <v>155</v>
      </c>
      <c r="M89">
        <v>9</v>
      </c>
      <c r="N89">
        <v>1</v>
      </c>
      <c r="O89">
        <v>1</v>
      </c>
      <c r="P89" t="s">
        <v>108</v>
      </c>
      <c r="Q89">
        <v>240100</v>
      </c>
      <c r="R89">
        <v>240</v>
      </c>
      <c r="S89">
        <v>20141215</v>
      </c>
      <c r="T89">
        <v>0</v>
      </c>
      <c r="U89">
        <v>0</v>
      </c>
      <c r="V89">
        <v>240</v>
      </c>
      <c r="W89" t="s">
        <v>109</v>
      </c>
      <c r="X89" t="s">
        <v>110</v>
      </c>
      <c r="AD89">
        <v>86</v>
      </c>
      <c r="AE89" s="24" t="s">
        <v>586</v>
      </c>
      <c r="AF89" s="24" t="s">
        <v>175</v>
      </c>
      <c r="AG89" s="24" t="s">
        <v>175</v>
      </c>
      <c r="AH89" s="24" t="s">
        <v>175</v>
      </c>
      <c r="AI89" t="s">
        <v>175</v>
      </c>
      <c r="AJ89" t="s">
        <v>175</v>
      </c>
      <c r="AK89" s="24" t="s">
        <v>175</v>
      </c>
      <c r="AL89" s="24" t="s">
        <v>175</v>
      </c>
      <c r="AM89" s="24" t="s">
        <v>175</v>
      </c>
      <c r="AN89" s="24" t="s">
        <v>175</v>
      </c>
      <c r="AO89" s="24" t="s">
        <v>175</v>
      </c>
    </row>
    <row r="90" spans="5:41" x14ac:dyDescent="0.25">
      <c r="E90">
        <v>2</v>
      </c>
      <c r="F90" t="s">
        <v>146</v>
      </c>
      <c r="G90">
        <v>12</v>
      </c>
      <c r="H90" t="s">
        <v>103</v>
      </c>
      <c r="I90" s="22" t="s">
        <v>140</v>
      </c>
      <c r="J90">
        <v>1063874301</v>
      </c>
      <c r="K90" t="s">
        <v>106</v>
      </c>
      <c r="L90" t="s">
        <v>156</v>
      </c>
      <c r="M90">
        <v>9</v>
      </c>
      <c r="N90">
        <v>100</v>
      </c>
      <c r="O90">
        <v>100</v>
      </c>
      <c r="P90" t="s">
        <v>108</v>
      </c>
      <c r="Q90">
        <v>18740</v>
      </c>
      <c r="R90">
        <v>1874</v>
      </c>
      <c r="S90">
        <v>20141211</v>
      </c>
      <c r="T90">
        <v>0</v>
      </c>
      <c r="U90">
        <v>0</v>
      </c>
      <c r="V90">
        <v>1874</v>
      </c>
      <c r="W90" t="s">
        <v>109</v>
      </c>
      <c r="X90" t="s">
        <v>110</v>
      </c>
      <c r="AD90">
        <v>87</v>
      </c>
      <c r="AE90" s="24" t="s">
        <v>587</v>
      </c>
      <c r="AG90" s="24" t="s">
        <v>360</v>
      </c>
      <c r="AH90" s="24" t="s">
        <v>361</v>
      </c>
      <c r="AI90">
        <v>100</v>
      </c>
      <c r="AJ90">
        <v>0</v>
      </c>
      <c r="AK90" s="24" t="s">
        <v>362</v>
      </c>
      <c r="AL90" s="24" t="s">
        <v>363</v>
      </c>
      <c r="AM90" s="24" t="s">
        <v>507</v>
      </c>
      <c r="AN90" s="24" t="s">
        <v>364</v>
      </c>
      <c r="AO90" s="24" t="s">
        <v>587</v>
      </c>
    </row>
    <row r="91" spans="5:41" x14ac:dyDescent="0.25">
      <c r="E91">
        <v>2</v>
      </c>
      <c r="F91" t="s">
        <v>146</v>
      </c>
      <c r="G91">
        <v>13</v>
      </c>
      <c r="H91" t="s">
        <v>103</v>
      </c>
      <c r="I91" s="22" t="s">
        <v>140</v>
      </c>
      <c r="J91">
        <v>1060943301</v>
      </c>
      <c r="K91" t="s">
        <v>106</v>
      </c>
      <c r="L91" t="s">
        <v>156</v>
      </c>
      <c r="M91">
        <v>9</v>
      </c>
      <c r="N91">
        <v>100</v>
      </c>
      <c r="O91">
        <v>100</v>
      </c>
      <c r="P91" t="s">
        <v>108</v>
      </c>
      <c r="Q91">
        <v>18740</v>
      </c>
      <c r="R91">
        <v>1874</v>
      </c>
      <c r="S91">
        <v>20141203</v>
      </c>
      <c r="T91">
        <v>0</v>
      </c>
      <c r="U91">
        <v>0</v>
      </c>
      <c r="V91">
        <v>1874</v>
      </c>
      <c r="W91" t="s">
        <v>109</v>
      </c>
      <c r="X91" t="s">
        <v>110</v>
      </c>
      <c r="AD91">
        <v>88</v>
      </c>
      <c r="AE91" s="24" t="s">
        <v>588</v>
      </c>
      <c r="AG91" s="24" t="s">
        <v>365</v>
      </c>
      <c r="AH91" s="24" t="s">
        <v>366</v>
      </c>
      <c r="AI91">
        <v>100</v>
      </c>
      <c r="AJ91">
        <v>0</v>
      </c>
      <c r="AK91" s="24" t="s">
        <v>362</v>
      </c>
      <c r="AL91" s="24" t="s">
        <v>363</v>
      </c>
      <c r="AM91" s="24" t="s">
        <v>507</v>
      </c>
      <c r="AN91" s="24" t="s">
        <v>364</v>
      </c>
      <c r="AO91" s="24" t="s">
        <v>588</v>
      </c>
    </row>
    <row r="92" spans="5:41" x14ac:dyDescent="0.25">
      <c r="E92">
        <v>2</v>
      </c>
      <c r="F92" t="s">
        <v>146</v>
      </c>
      <c r="G92">
        <v>14</v>
      </c>
      <c r="H92" t="s">
        <v>103</v>
      </c>
      <c r="I92" s="22" t="s">
        <v>140</v>
      </c>
      <c r="J92">
        <v>1059709701</v>
      </c>
      <c r="K92" t="s">
        <v>106</v>
      </c>
      <c r="L92" t="s">
        <v>156</v>
      </c>
      <c r="M92">
        <v>9</v>
      </c>
      <c r="N92">
        <v>100</v>
      </c>
      <c r="O92">
        <v>100</v>
      </c>
      <c r="P92" t="s">
        <v>108</v>
      </c>
      <c r="Q92">
        <v>18740</v>
      </c>
      <c r="R92">
        <v>1874</v>
      </c>
      <c r="S92">
        <v>20141201</v>
      </c>
      <c r="T92">
        <v>0</v>
      </c>
      <c r="U92">
        <v>0</v>
      </c>
      <c r="V92">
        <v>1874</v>
      </c>
      <c r="W92" t="s">
        <v>109</v>
      </c>
      <c r="X92" t="s">
        <v>110</v>
      </c>
      <c r="AD92">
        <v>89</v>
      </c>
      <c r="AE92" s="24" t="s">
        <v>589</v>
      </c>
      <c r="AG92" s="24" t="s">
        <v>367</v>
      </c>
      <c r="AH92" s="24" t="s">
        <v>368</v>
      </c>
      <c r="AI92">
        <v>100</v>
      </c>
      <c r="AJ92">
        <v>0</v>
      </c>
      <c r="AK92" s="24" t="s">
        <v>362</v>
      </c>
      <c r="AL92" s="24" t="s">
        <v>363</v>
      </c>
      <c r="AM92" s="24" t="s">
        <v>507</v>
      </c>
      <c r="AN92" s="24" t="s">
        <v>364</v>
      </c>
      <c r="AO92" s="24" t="s">
        <v>589</v>
      </c>
    </row>
    <row r="93" spans="5:41" x14ac:dyDescent="0.25">
      <c r="E93">
        <v>2</v>
      </c>
      <c r="F93" t="s">
        <v>146</v>
      </c>
      <c r="G93">
        <v>15</v>
      </c>
      <c r="H93" t="s">
        <v>103</v>
      </c>
      <c r="I93" s="22" t="s">
        <v>140</v>
      </c>
      <c r="J93">
        <v>1065713801</v>
      </c>
      <c r="K93" t="s">
        <v>106</v>
      </c>
      <c r="L93" t="s">
        <v>156</v>
      </c>
      <c r="M93">
        <v>9</v>
      </c>
      <c r="N93">
        <v>100</v>
      </c>
      <c r="O93">
        <v>100</v>
      </c>
      <c r="P93" t="s">
        <v>108</v>
      </c>
      <c r="Q93">
        <v>18740</v>
      </c>
      <c r="R93">
        <v>1874</v>
      </c>
      <c r="S93">
        <v>20141217</v>
      </c>
      <c r="T93">
        <v>0</v>
      </c>
      <c r="U93">
        <v>0</v>
      </c>
      <c r="V93">
        <v>1874</v>
      </c>
      <c r="W93" t="s">
        <v>109</v>
      </c>
      <c r="X93" t="s">
        <v>110</v>
      </c>
      <c r="AD93">
        <v>90</v>
      </c>
      <c r="AE93" s="24" t="s">
        <v>590</v>
      </c>
      <c r="AG93" s="24" t="s">
        <v>369</v>
      </c>
      <c r="AH93" s="24" t="s">
        <v>370</v>
      </c>
      <c r="AI93">
        <v>100</v>
      </c>
      <c r="AJ93">
        <v>0</v>
      </c>
      <c r="AK93" s="24" t="s">
        <v>362</v>
      </c>
      <c r="AL93" s="24" t="s">
        <v>363</v>
      </c>
      <c r="AM93" s="24" t="s">
        <v>507</v>
      </c>
      <c r="AN93" s="24" t="s">
        <v>364</v>
      </c>
      <c r="AO93" s="24" t="s">
        <v>590</v>
      </c>
    </row>
    <row r="94" spans="5:41" x14ac:dyDescent="0.25">
      <c r="E94">
        <v>2</v>
      </c>
      <c r="F94" t="s">
        <v>146</v>
      </c>
      <c r="G94">
        <v>16</v>
      </c>
      <c r="H94" t="s">
        <v>103</v>
      </c>
      <c r="I94" s="22" t="s">
        <v>140</v>
      </c>
      <c r="J94">
        <v>1061803401</v>
      </c>
      <c r="K94" t="s">
        <v>106</v>
      </c>
      <c r="L94" t="s">
        <v>156</v>
      </c>
      <c r="M94">
        <v>9</v>
      </c>
      <c r="N94">
        <v>100</v>
      </c>
      <c r="O94">
        <v>100</v>
      </c>
      <c r="P94" t="s">
        <v>108</v>
      </c>
      <c r="Q94">
        <v>18740</v>
      </c>
      <c r="R94">
        <v>1874</v>
      </c>
      <c r="S94">
        <v>20141205</v>
      </c>
      <c r="T94">
        <v>0</v>
      </c>
      <c r="U94">
        <v>0</v>
      </c>
      <c r="V94">
        <v>1874</v>
      </c>
      <c r="W94" t="s">
        <v>109</v>
      </c>
      <c r="X94" t="s">
        <v>110</v>
      </c>
      <c r="AD94">
        <v>91</v>
      </c>
      <c r="AE94" s="24" t="s">
        <v>591</v>
      </c>
      <c r="AG94" s="24" t="s">
        <v>371</v>
      </c>
      <c r="AH94" s="24" t="s">
        <v>372</v>
      </c>
      <c r="AI94">
        <v>100</v>
      </c>
      <c r="AJ94">
        <v>0</v>
      </c>
      <c r="AK94" s="24" t="s">
        <v>362</v>
      </c>
      <c r="AL94" s="24" t="s">
        <v>363</v>
      </c>
      <c r="AM94" s="24" t="s">
        <v>507</v>
      </c>
      <c r="AN94" s="24" t="s">
        <v>364</v>
      </c>
      <c r="AO94" s="24" t="s">
        <v>591</v>
      </c>
    </row>
    <row r="95" spans="5:41" x14ac:dyDescent="0.25">
      <c r="E95">
        <v>2</v>
      </c>
      <c r="F95" t="s">
        <v>146</v>
      </c>
      <c r="G95">
        <v>17</v>
      </c>
      <c r="H95" t="s">
        <v>103</v>
      </c>
      <c r="I95" s="22" t="s">
        <v>140</v>
      </c>
      <c r="J95">
        <v>1062953601</v>
      </c>
      <c r="K95" t="s">
        <v>106</v>
      </c>
      <c r="L95" t="s">
        <v>156</v>
      </c>
      <c r="M95">
        <v>9</v>
      </c>
      <c r="N95">
        <v>100</v>
      </c>
      <c r="O95">
        <v>100</v>
      </c>
      <c r="P95" t="s">
        <v>108</v>
      </c>
      <c r="Q95">
        <v>18740</v>
      </c>
      <c r="R95">
        <v>1874</v>
      </c>
      <c r="S95">
        <v>20141209</v>
      </c>
      <c r="T95">
        <v>0</v>
      </c>
      <c r="U95">
        <v>0</v>
      </c>
      <c r="V95">
        <v>1874</v>
      </c>
      <c r="W95" t="s">
        <v>109</v>
      </c>
      <c r="X95" t="s">
        <v>110</v>
      </c>
      <c r="AD95">
        <v>92</v>
      </c>
      <c r="AE95" s="24" t="s">
        <v>592</v>
      </c>
      <c r="AG95" s="24" t="s">
        <v>373</v>
      </c>
      <c r="AH95" s="24" t="s">
        <v>374</v>
      </c>
      <c r="AI95">
        <v>100</v>
      </c>
      <c r="AJ95">
        <v>0</v>
      </c>
      <c r="AK95" s="24" t="s">
        <v>362</v>
      </c>
      <c r="AL95" s="24" t="s">
        <v>363</v>
      </c>
      <c r="AM95" s="24" t="s">
        <v>507</v>
      </c>
      <c r="AN95" s="24" t="s">
        <v>364</v>
      </c>
      <c r="AO95" s="24" t="s">
        <v>592</v>
      </c>
    </row>
    <row r="96" spans="5:41" x14ac:dyDescent="0.25">
      <c r="E96">
        <v>2</v>
      </c>
      <c r="F96" t="s">
        <v>146</v>
      </c>
      <c r="G96">
        <v>18</v>
      </c>
      <c r="H96" t="s">
        <v>103</v>
      </c>
      <c r="I96" s="22" t="s">
        <v>157</v>
      </c>
      <c r="J96">
        <v>1000463511</v>
      </c>
      <c r="K96" t="s">
        <v>106</v>
      </c>
      <c r="L96" t="s">
        <v>158</v>
      </c>
      <c r="M96">
        <v>9</v>
      </c>
      <c r="N96">
        <v>20</v>
      </c>
      <c r="O96">
        <v>20</v>
      </c>
      <c r="P96" t="s">
        <v>108</v>
      </c>
      <c r="Q96">
        <v>1265000</v>
      </c>
      <c r="R96">
        <v>25300</v>
      </c>
      <c r="S96">
        <v>20141210</v>
      </c>
      <c r="T96">
        <v>0</v>
      </c>
      <c r="U96">
        <v>0</v>
      </c>
      <c r="V96">
        <v>25300</v>
      </c>
      <c r="W96" t="s">
        <v>109</v>
      </c>
      <c r="X96" t="s">
        <v>110</v>
      </c>
      <c r="AD96">
        <v>93</v>
      </c>
      <c r="AE96" s="24" t="s">
        <v>593</v>
      </c>
      <c r="AF96" s="24" t="s">
        <v>175</v>
      </c>
      <c r="AG96" s="24" t="s">
        <v>175</v>
      </c>
      <c r="AH96" s="24" t="s">
        <v>175</v>
      </c>
      <c r="AI96" t="s">
        <v>175</v>
      </c>
      <c r="AJ96" t="s">
        <v>175</v>
      </c>
      <c r="AK96" s="24" t="s">
        <v>175</v>
      </c>
      <c r="AL96" s="24" t="s">
        <v>175</v>
      </c>
      <c r="AM96" s="24" t="s">
        <v>175</v>
      </c>
      <c r="AN96" s="24" t="s">
        <v>175</v>
      </c>
      <c r="AO96" s="24" t="s">
        <v>175</v>
      </c>
    </row>
    <row r="97" spans="5:41" x14ac:dyDescent="0.25">
      <c r="E97">
        <v>2</v>
      </c>
      <c r="F97" t="s">
        <v>146</v>
      </c>
      <c r="G97">
        <v>19</v>
      </c>
      <c r="H97" t="s">
        <v>103</v>
      </c>
      <c r="I97" s="22" t="s">
        <v>157</v>
      </c>
      <c r="J97">
        <v>1000463601</v>
      </c>
      <c r="K97" t="s">
        <v>106</v>
      </c>
      <c r="L97" t="s">
        <v>159</v>
      </c>
      <c r="M97">
        <v>9</v>
      </c>
      <c r="N97">
        <v>20</v>
      </c>
      <c r="O97">
        <v>20</v>
      </c>
      <c r="P97" t="s">
        <v>108</v>
      </c>
      <c r="Q97">
        <v>120000</v>
      </c>
      <c r="R97">
        <v>2400</v>
      </c>
      <c r="S97">
        <v>20141210</v>
      </c>
      <c r="T97">
        <v>0</v>
      </c>
      <c r="U97">
        <v>0</v>
      </c>
      <c r="V97">
        <v>2400</v>
      </c>
      <c r="W97" t="s">
        <v>109</v>
      </c>
      <c r="X97" t="s">
        <v>110</v>
      </c>
      <c r="AD97" s="25">
        <v>94</v>
      </c>
      <c r="AE97" s="26" t="s">
        <v>594</v>
      </c>
      <c r="AF97" s="26" t="s">
        <v>337</v>
      </c>
      <c r="AG97" s="26" t="s">
        <v>375</v>
      </c>
      <c r="AH97" s="26" t="s">
        <v>376</v>
      </c>
      <c r="AI97" s="25">
        <v>0</v>
      </c>
      <c r="AJ97" s="25">
        <v>8600</v>
      </c>
      <c r="AK97" s="26" t="s">
        <v>377</v>
      </c>
      <c r="AL97" s="26"/>
      <c r="AM97" s="26" t="s">
        <v>595</v>
      </c>
      <c r="AN97" s="26" t="s">
        <v>378</v>
      </c>
      <c r="AO97" s="26" t="s">
        <v>594</v>
      </c>
    </row>
    <row r="98" spans="5:41" x14ac:dyDescent="0.25">
      <c r="E98">
        <v>2</v>
      </c>
      <c r="F98" t="s">
        <v>146</v>
      </c>
      <c r="G98">
        <v>20</v>
      </c>
      <c r="H98" t="s">
        <v>103</v>
      </c>
      <c r="I98" s="22" t="s">
        <v>157</v>
      </c>
      <c r="J98">
        <v>1000463701</v>
      </c>
      <c r="K98" t="s">
        <v>106</v>
      </c>
      <c r="L98" t="s">
        <v>160</v>
      </c>
      <c r="M98">
        <v>9</v>
      </c>
      <c r="N98">
        <v>20</v>
      </c>
      <c r="O98">
        <v>20</v>
      </c>
      <c r="P98" t="s">
        <v>108</v>
      </c>
      <c r="Q98">
        <v>120000</v>
      </c>
      <c r="R98">
        <v>2400</v>
      </c>
      <c r="S98">
        <v>20141210</v>
      </c>
      <c r="T98">
        <v>0</v>
      </c>
      <c r="U98">
        <v>0</v>
      </c>
      <c r="V98">
        <v>2400</v>
      </c>
      <c r="W98" t="s">
        <v>109</v>
      </c>
      <c r="X98" t="s">
        <v>110</v>
      </c>
      <c r="AD98" s="25">
        <v>94</v>
      </c>
      <c r="AE98" s="26" t="s">
        <v>594</v>
      </c>
      <c r="AF98" s="26" t="s">
        <v>337</v>
      </c>
      <c r="AG98" s="26" t="s">
        <v>375</v>
      </c>
      <c r="AH98" s="26" t="s">
        <v>379</v>
      </c>
      <c r="AI98" s="25">
        <v>1</v>
      </c>
      <c r="AJ98" s="25">
        <v>34140</v>
      </c>
      <c r="AK98" s="26" t="s">
        <v>377</v>
      </c>
      <c r="AL98" s="26"/>
      <c r="AM98" s="26" t="s">
        <v>595</v>
      </c>
      <c r="AN98" s="26" t="s">
        <v>378</v>
      </c>
      <c r="AO98" s="26" t="s">
        <v>594</v>
      </c>
    </row>
    <row r="99" spans="5:41" x14ac:dyDescent="0.25">
      <c r="E99">
        <v>2</v>
      </c>
      <c r="F99" t="s">
        <v>146</v>
      </c>
      <c r="G99">
        <v>21</v>
      </c>
      <c r="H99" t="s">
        <v>103</v>
      </c>
      <c r="I99" s="22" t="s">
        <v>157</v>
      </c>
      <c r="J99">
        <v>1000463801</v>
      </c>
      <c r="K99" t="s">
        <v>106</v>
      </c>
      <c r="L99" t="s">
        <v>161</v>
      </c>
      <c r="M99">
        <v>9</v>
      </c>
      <c r="N99">
        <v>20</v>
      </c>
      <c r="O99">
        <v>20</v>
      </c>
      <c r="P99" t="s">
        <v>108</v>
      </c>
      <c r="Q99">
        <v>190000</v>
      </c>
      <c r="R99">
        <v>3800</v>
      </c>
      <c r="S99">
        <v>20141210</v>
      </c>
      <c r="T99">
        <v>0</v>
      </c>
      <c r="U99">
        <v>0</v>
      </c>
      <c r="V99">
        <v>3800</v>
      </c>
      <c r="W99" t="s">
        <v>109</v>
      </c>
      <c r="X99" t="s">
        <v>110</v>
      </c>
      <c r="AD99">
        <v>95</v>
      </c>
      <c r="AE99" s="24" t="s">
        <v>596</v>
      </c>
      <c r="AF99" s="24" t="s">
        <v>175</v>
      </c>
      <c r="AG99" s="24" t="s">
        <v>175</v>
      </c>
      <c r="AH99" s="24" t="s">
        <v>175</v>
      </c>
      <c r="AI99" t="s">
        <v>175</v>
      </c>
      <c r="AJ99" t="s">
        <v>175</v>
      </c>
      <c r="AK99" s="24" t="s">
        <v>175</v>
      </c>
      <c r="AL99" s="24" t="s">
        <v>175</v>
      </c>
      <c r="AM99" s="24" t="s">
        <v>175</v>
      </c>
      <c r="AN99" s="24" t="s">
        <v>175</v>
      </c>
      <c r="AO99" s="24" t="s">
        <v>175</v>
      </c>
    </row>
    <row r="100" spans="5:41" x14ac:dyDescent="0.25">
      <c r="E100">
        <v>2</v>
      </c>
      <c r="F100" t="s">
        <v>162</v>
      </c>
      <c r="G100">
        <v>1</v>
      </c>
      <c r="H100" t="s">
        <v>103</v>
      </c>
      <c r="I100" s="22" t="s">
        <v>163</v>
      </c>
      <c r="J100" t="s">
        <v>164</v>
      </c>
      <c r="K100" t="s">
        <v>106</v>
      </c>
      <c r="L100" t="s">
        <v>150</v>
      </c>
      <c r="M100">
        <v>9</v>
      </c>
      <c r="N100">
        <v>0</v>
      </c>
      <c r="O100">
        <v>0</v>
      </c>
      <c r="P100" t="s">
        <v>165</v>
      </c>
      <c r="Q100">
        <v>0</v>
      </c>
      <c r="R100">
        <v>0</v>
      </c>
      <c r="S100">
        <v>20141204</v>
      </c>
      <c r="T100">
        <v>0</v>
      </c>
      <c r="U100">
        <v>935</v>
      </c>
      <c r="V100">
        <v>0</v>
      </c>
      <c r="Y100">
        <v>3</v>
      </c>
      <c r="Z100">
        <v>0</v>
      </c>
      <c r="AA100">
        <v>0</v>
      </c>
      <c r="AB100">
        <v>52909</v>
      </c>
      <c r="AC100">
        <v>0</v>
      </c>
      <c r="AD100">
        <v>96</v>
      </c>
      <c r="AE100" s="24" t="s">
        <v>597</v>
      </c>
      <c r="AF100" s="24" t="s">
        <v>175</v>
      </c>
      <c r="AG100" s="24" t="s">
        <v>175</v>
      </c>
      <c r="AH100" s="24" t="s">
        <v>175</v>
      </c>
      <c r="AI100" t="s">
        <v>175</v>
      </c>
      <c r="AJ100" t="s">
        <v>175</v>
      </c>
      <c r="AK100" s="24" t="s">
        <v>175</v>
      </c>
      <c r="AL100" s="24" t="s">
        <v>175</v>
      </c>
      <c r="AM100" s="24" t="s">
        <v>175</v>
      </c>
      <c r="AN100" s="24" t="s">
        <v>175</v>
      </c>
      <c r="AO100" s="24" t="s">
        <v>175</v>
      </c>
    </row>
    <row r="101" spans="5:41" x14ac:dyDescent="0.25">
      <c r="E101">
        <v>2</v>
      </c>
      <c r="F101" t="s">
        <v>162</v>
      </c>
      <c r="G101">
        <v>2</v>
      </c>
      <c r="H101" t="s">
        <v>103</v>
      </c>
      <c r="I101" s="22" t="s">
        <v>163</v>
      </c>
      <c r="J101" t="s">
        <v>164</v>
      </c>
      <c r="K101" t="s">
        <v>106</v>
      </c>
      <c r="L101" t="s">
        <v>151</v>
      </c>
      <c r="M101">
        <v>9</v>
      </c>
      <c r="N101">
        <v>0</v>
      </c>
      <c r="O101">
        <v>0</v>
      </c>
      <c r="P101" t="s">
        <v>165</v>
      </c>
      <c r="Q101">
        <v>0</v>
      </c>
      <c r="R101">
        <v>0</v>
      </c>
      <c r="S101">
        <v>20141204</v>
      </c>
      <c r="T101">
        <v>0</v>
      </c>
      <c r="U101">
        <v>6599</v>
      </c>
      <c r="V101">
        <v>0</v>
      </c>
      <c r="AD101">
        <v>97</v>
      </c>
      <c r="AE101" s="24" t="s">
        <v>164</v>
      </c>
      <c r="AF101" s="24" t="s">
        <v>380</v>
      </c>
      <c r="AG101" s="24" t="s">
        <v>381</v>
      </c>
      <c r="AH101" s="24" t="s">
        <v>382</v>
      </c>
      <c r="AI101">
        <v>0</v>
      </c>
      <c r="AJ101">
        <v>0</v>
      </c>
      <c r="AM101" s="24" t="s">
        <v>598</v>
      </c>
      <c r="AN101" s="24" t="s">
        <v>383</v>
      </c>
    </row>
    <row r="102" spans="5:41" x14ac:dyDescent="0.25">
      <c r="E102">
        <v>2</v>
      </c>
      <c r="F102" t="s">
        <v>162</v>
      </c>
      <c r="G102">
        <v>3</v>
      </c>
      <c r="H102" t="s">
        <v>103</v>
      </c>
      <c r="I102" s="22">
        <v>411026</v>
      </c>
      <c r="J102" t="s">
        <v>164</v>
      </c>
      <c r="K102" t="s">
        <v>166</v>
      </c>
      <c r="L102" t="s">
        <v>164</v>
      </c>
      <c r="M102" t="s">
        <v>167</v>
      </c>
      <c r="N102">
        <v>0</v>
      </c>
      <c r="O102">
        <v>0</v>
      </c>
      <c r="P102" t="s">
        <v>165</v>
      </c>
      <c r="Q102">
        <v>0</v>
      </c>
      <c r="R102">
        <v>0</v>
      </c>
      <c r="S102">
        <v>20141204</v>
      </c>
      <c r="T102">
        <v>0</v>
      </c>
      <c r="U102">
        <v>45375</v>
      </c>
      <c r="V102">
        <v>0</v>
      </c>
      <c r="AD102">
        <v>98</v>
      </c>
      <c r="AE102" s="24" t="s">
        <v>164</v>
      </c>
      <c r="AF102" s="24" t="s">
        <v>380</v>
      </c>
      <c r="AG102" s="24" t="s">
        <v>381</v>
      </c>
      <c r="AH102" s="24" t="s">
        <v>382</v>
      </c>
      <c r="AI102">
        <v>0</v>
      </c>
      <c r="AJ102">
        <v>0</v>
      </c>
      <c r="AM102" s="24" t="s">
        <v>598</v>
      </c>
      <c r="AN102" s="24" t="s">
        <v>383</v>
      </c>
    </row>
    <row r="103" spans="5:41" x14ac:dyDescent="0.25">
      <c r="E103">
        <v>2</v>
      </c>
      <c r="F103" t="s">
        <v>168</v>
      </c>
      <c r="G103">
        <v>1</v>
      </c>
      <c r="H103" t="s">
        <v>103</v>
      </c>
      <c r="I103" s="22" t="s">
        <v>104</v>
      </c>
      <c r="J103">
        <v>1066981601</v>
      </c>
      <c r="K103" t="s">
        <v>106</v>
      </c>
      <c r="L103" t="s">
        <v>107</v>
      </c>
      <c r="M103">
        <v>9</v>
      </c>
      <c r="N103">
        <v>26</v>
      </c>
      <c r="O103">
        <v>26</v>
      </c>
      <c r="P103" t="s">
        <v>108</v>
      </c>
      <c r="Q103">
        <v>4899140</v>
      </c>
      <c r="R103">
        <v>127378</v>
      </c>
      <c r="S103">
        <v>20141222</v>
      </c>
      <c r="T103">
        <v>0</v>
      </c>
      <c r="U103">
        <v>0</v>
      </c>
      <c r="V103">
        <v>127378</v>
      </c>
      <c r="W103" t="s">
        <v>109</v>
      </c>
      <c r="X103" t="s">
        <v>110</v>
      </c>
      <c r="Y103">
        <v>3</v>
      </c>
      <c r="Z103">
        <v>1350685</v>
      </c>
      <c r="AA103">
        <v>0</v>
      </c>
      <c r="AB103">
        <v>0</v>
      </c>
      <c r="AC103">
        <v>1350685</v>
      </c>
      <c r="AD103">
        <v>99</v>
      </c>
      <c r="AE103" s="24" t="s">
        <v>164</v>
      </c>
      <c r="AF103" s="24" t="s">
        <v>380</v>
      </c>
      <c r="AG103" s="24" t="s">
        <v>381</v>
      </c>
      <c r="AH103" s="24" t="s">
        <v>382</v>
      </c>
      <c r="AI103">
        <v>0</v>
      </c>
      <c r="AJ103">
        <v>0</v>
      </c>
      <c r="AM103" s="24" t="s">
        <v>598</v>
      </c>
      <c r="AN103" s="24" t="s">
        <v>383</v>
      </c>
    </row>
    <row r="104" spans="5:41" x14ac:dyDescent="0.25">
      <c r="E104">
        <v>2</v>
      </c>
      <c r="F104" t="s">
        <v>168</v>
      </c>
      <c r="G104">
        <v>2</v>
      </c>
      <c r="H104" t="s">
        <v>103</v>
      </c>
      <c r="I104" s="22" t="s">
        <v>104</v>
      </c>
      <c r="J104">
        <v>1070613201</v>
      </c>
      <c r="K104" t="s">
        <v>106</v>
      </c>
      <c r="L104" t="s">
        <v>107</v>
      </c>
      <c r="M104">
        <v>9</v>
      </c>
      <c r="N104">
        <v>8</v>
      </c>
      <c r="O104">
        <v>8</v>
      </c>
      <c r="P104" t="s">
        <v>108</v>
      </c>
      <c r="Q104">
        <v>4899140</v>
      </c>
      <c r="R104">
        <v>39193</v>
      </c>
      <c r="S104">
        <v>20141231</v>
      </c>
      <c r="T104">
        <v>0</v>
      </c>
      <c r="U104">
        <v>0</v>
      </c>
      <c r="V104">
        <v>39193</v>
      </c>
      <c r="W104" t="s">
        <v>109</v>
      </c>
      <c r="X104" t="s">
        <v>110</v>
      </c>
      <c r="AD104">
        <v>100</v>
      </c>
      <c r="AE104" s="24" t="s">
        <v>600</v>
      </c>
      <c r="AG104" s="24" t="s">
        <v>385</v>
      </c>
      <c r="AH104" s="24" t="s">
        <v>386</v>
      </c>
      <c r="AI104">
        <v>26</v>
      </c>
      <c r="AJ104">
        <v>0</v>
      </c>
      <c r="AK104" s="24" t="s">
        <v>178</v>
      </c>
      <c r="AL104" s="24" t="s">
        <v>506</v>
      </c>
      <c r="AM104" s="24" t="s">
        <v>507</v>
      </c>
      <c r="AN104" s="24" t="s">
        <v>179</v>
      </c>
      <c r="AO104" s="24" t="s">
        <v>600</v>
      </c>
    </row>
    <row r="105" spans="5:41" x14ac:dyDescent="0.25">
      <c r="E105">
        <v>2</v>
      </c>
      <c r="F105" t="s">
        <v>168</v>
      </c>
      <c r="G105">
        <v>3</v>
      </c>
      <c r="H105" t="s">
        <v>103</v>
      </c>
      <c r="I105" s="22" t="s">
        <v>104</v>
      </c>
      <c r="J105">
        <v>1069077911</v>
      </c>
      <c r="K105" t="s">
        <v>106</v>
      </c>
      <c r="L105" t="s">
        <v>107</v>
      </c>
      <c r="M105">
        <v>9</v>
      </c>
      <c r="N105">
        <v>15</v>
      </c>
      <c r="O105">
        <v>15</v>
      </c>
      <c r="P105" t="s">
        <v>108</v>
      </c>
      <c r="Q105">
        <v>4899140</v>
      </c>
      <c r="R105">
        <v>73487</v>
      </c>
      <c r="S105">
        <v>20141229</v>
      </c>
      <c r="T105">
        <v>0</v>
      </c>
      <c r="U105">
        <v>0</v>
      </c>
      <c r="V105">
        <v>73487</v>
      </c>
      <c r="W105" t="s">
        <v>109</v>
      </c>
      <c r="X105" t="s">
        <v>110</v>
      </c>
      <c r="AD105">
        <v>101</v>
      </c>
      <c r="AE105" s="24" t="s">
        <v>601</v>
      </c>
      <c r="AG105" s="24" t="s">
        <v>387</v>
      </c>
      <c r="AH105" s="24" t="s">
        <v>388</v>
      </c>
      <c r="AI105">
        <v>8</v>
      </c>
      <c r="AJ105">
        <v>0</v>
      </c>
      <c r="AK105" s="24" t="s">
        <v>178</v>
      </c>
      <c r="AL105" s="24" t="s">
        <v>506</v>
      </c>
      <c r="AM105" s="24" t="s">
        <v>507</v>
      </c>
      <c r="AN105" s="24" t="s">
        <v>179</v>
      </c>
      <c r="AO105" s="24" t="s">
        <v>601</v>
      </c>
    </row>
    <row r="106" spans="5:41" x14ac:dyDescent="0.25">
      <c r="E106">
        <v>2</v>
      </c>
      <c r="F106" t="s">
        <v>168</v>
      </c>
      <c r="G106">
        <v>4</v>
      </c>
      <c r="H106" t="s">
        <v>103</v>
      </c>
      <c r="I106" s="22" t="s">
        <v>104</v>
      </c>
      <c r="J106">
        <v>1069350201</v>
      </c>
      <c r="K106" t="s">
        <v>106</v>
      </c>
      <c r="L106" t="s">
        <v>107</v>
      </c>
      <c r="M106">
        <v>9</v>
      </c>
      <c r="N106">
        <v>4</v>
      </c>
      <c r="O106">
        <v>4</v>
      </c>
      <c r="P106" t="s">
        <v>108</v>
      </c>
      <c r="Q106">
        <v>4899140</v>
      </c>
      <c r="R106">
        <v>19597</v>
      </c>
      <c r="S106">
        <v>20141229</v>
      </c>
      <c r="T106">
        <v>0</v>
      </c>
      <c r="U106">
        <v>0</v>
      </c>
      <c r="V106">
        <v>19597</v>
      </c>
      <c r="W106" t="s">
        <v>109</v>
      </c>
      <c r="X106" t="s">
        <v>110</v>
      </c>
      <c r="AD106">
        <v>102</v>
      </c>
      <c r="AE106" s="24" t="s">
        <v>602</v>
      </c>
      <c r="AG106" s="24" t="s">
        <v>389</v>
      </c>
      <c r="AH106" s="24" t="s">
        <v>390</v>
      </c>
      <c r="AI106">
        <v>15</v>
      </c>
      <c r="AJ106">
        <v>0</v>
      </c>
      <c r="AK106" s="24" t="s">
        <v>178</v>
      </c>
      <c r="AL106" s="24" t="s">
        <v>506</v>
      </c>
      <c r="AM106" s="24" t="s">
        <v>507</v>
      </c>
      <c r="AN106" s="24" t="s">
        <v>179</v>
      </c>
      <c r="AO106" s="24" t="s">
        <v>602</v>
      </c>
    </row>
    <row r="107" spans="5:41" x14ac:dyDescent="0.25">
      <c r="E107">
        <v>2</v>
      </c>
      <c r="F107" t="s">
        <v>168</v>
      </c>
      <c r="G107">
        <v>5</v>
      </c>
      <c r="H107" t="s">
        <v>103</v>
      </c>
      <c r="I107" s="22" t="s">
        <v>104</v>
      </c>
      <c r="J107">
        <v>1068608701</v>
      </c>
      <c r="K107" t="s">
        <v>106</v>
      </c>
      <c r="L107" t="s">
        <v>107</v>
      </c>
      <c r="M107">
        <v>9</v>
      </c>
      <c r="N107">
        <v>40</v>
      </c>
      <c r="O107">
        <v>40</v>
      </c>
      <c r="P107" t="s">
        <v>108</v>
      </c>
      <c r="Q107">
        <v>4899140</v>
      </c>
      <c r="R107">
        <v>195966</v>
      </c>
      <c r="S107">
        <v>20141225</v>
      </c>
      <c r="T107">
        <v>0</v>
      </c>
      <c r="U107">
        <v>0</v>
      </c>
      <c r="V107">
        <v>195966</v>
      </c>
      <c r="W107" t="s">
        <v>109</v>
      </c>
      <c r="X107" t="s">
        <v>110</v>
      </c>
      <c r="AD107">
        <v>103</v>
      </c>
      <c r="AE107" s="24" t="s">
        <v>603</v>
      </c>
      <c r="AG107" s="24" t="s">
        <v>391</v>
      </c>
      <c r="AH107" s="24" t="s">
        <v>392</v>
      </c>
      <c r="AI107">
        <v>4</v>
      </c>
      <c r="AJ107">
        <v>0</v>
      </c>
      <c r="AK107" s="24" t="s">
        <v>178</v>
      </c>
      <c r="AL107" s="24" t="s">
        <v>506</v>
      </c>
      <c r="AM107" s="24" t="s">
        <v>507</v>
      </c>
      <c r="AN107" s="24" t="s">
        <v>179</v>
      </c>
      <c r="AO107" s="24" t="s">
        <v>603</v>
      </c>
    </row>
    <row r="108" spans="5:41" x14ac:dyDescent="0.25">
      <c r="E108">
        <v>2</v>
      </c>
      <c r="F108" t="s">
        <v>168</v>
      </c>
      <c r="G108">
        <v>6</v>
      </c>
      <c r="H108" t="s">
        <v>103</v>
      </c>
      <c r="I108" s="22" t="s">
        <v>104</v>
      </c>
      <c r="J108">
        <v>1067614801</v>
      </c>
      <c r="K108" t="s">
        <v>106</v>
      </c>
      <c r="L108" t="s">
        <v>107</v>
      </c>
      <c r="M108">
        <v>9</v>
      </c>
      <c r="N108">
        <v>12</v>
      </c>
      <c r="O108">
        <v>12</v>
      </c>
      <c r="P108" t="s">
        <v>108</v>
      </c>
      <c r="Q108">
        <v>4899140</v>
      </c>
      <c r="R108">
        <v>58790</v>
      </c>
      <c r="S108">
        <v>20141223</v>
      </c>
      <c r="T108">
        <v>0</v>
      </c>
      <c r="U108">
        <v>0</v>
      </c>
      <c r="V108">
        <v>58790</v>
      </c>
      <c r="W108" t="s">
        <v>109</v>
      </c>
      <c r="X108" t="s">
        <v>110</v>
      </c>
      <c r="AD108">
        <v>104</v>
      </c>
      <c r="AE108" s="24" t="s">
        <v>604</v>
      </c>
      <c r="AG108" s="24" t="s">
        <v>393</v>
      </c>
      <c r="AH108" s="24" t="s">
        <v>394</v>
      </c>
      <c r="AI108">
        <v>40</v>
      </c>
      <c r="AJ108">
        <v>0</v>
      </c>
      <c r="AK108" s="24" t="s">
        <v>178</v>
      </c>
      <c r="AL108" s="24" t="s">
        <v>506</v>
      </c>
      <c r="AM108" s="24" t="s">
        <v>507</v>
      </c>
      <c r="AN108" s="24" t="s">
        <v>179</v>
      </c>
      <c r="AO108" s="24" t="s">
        <v>604</v>
      </c>
    </row>
    <row r="109" spans="5:41" x14ac:dyDescent="0.25">
      <c r="E109">
        <v>2</v>
      </c>
      <c r="F109" t="s">
        <v>168</v>
      </c>
      <c r="G109">
        <v>7</v>
      </c>
      <c r="H109" t="s">
        <v>103</v>
      </c>
      <c r="I109" s="22" t="s">
        <v>104</v>
      </c>
      <c r="J109">
        <v>1068111101</v>
      </c>
      <c r="K109" t="s">
        <v>106</v>
      </c>
      <c r="L109" t="s">
        <v>107</v>
      </c>
      <c r="M109">
        <v>9</v>
      </c>
      <c r="N109">
        <v>12</v>
      </c>
      <c r="O109">
        <v>12</v>
      </c>
      <c r="P109" t="s">
        <v>108</v>
      </c>
      <c r="Q109">
        <v>4899140</v>
      </c>
      <c r="R109">
        <v>58790</v>
      </c>
      <c r="S109">
        <v>20141224</v>
      </c>
      <c r="T109">
        <v>0</v>
      </c>
      <c r="U109">
        <v>0</v>
      </c>
      <c r="V109">
        <v>58790</v>
      </c>
      <c r="W109" t="s">
        <v>109</v>
      </c>
      <c r="X109" t="s">
        <v>110</v>
      </c>
      <c r="AD109">
        <v>105</v>
      </c>
      <c r="AE109" s="24" t="s">
        <v>605</v>
      </c>
      <c r="AG109" s="24" t="s">
        <v>395</v>
      </c>
      <c r="AH109" s="24" t="s">
        <v>396</v>
      </c>
      <c r="AI109">
        <v>12</v>
      </c>
      <c r="AJ109">
        <v>0</v>
      </c>
      <c r="AK109" s="24" t="s">
        <v>178</v>
      </c>
      <c r="AL109" s="24" t="s">
        <v>506</v>
      </c>
      <c r="AM109" s="24" t="s">
        <v>507</v>
      </c>
      <c r="AN109" s="24" t="s">
        <v>179</v>
      </c>
      <c r="AO109" s="24" t="s">
        <v>605</v>
      </c>
    </row>
    <row r="110" spans="5:41" x14ac:dyDescent="0.25">
      <c r="E110">
        <v>2</v>
      </c>
      <c r="F110" t="s">
        <v>168</v>
      </c>
      <c r="G110">
        <v>8</v>
      </c>
      <c r="H110" t="s">
        <v>103</v>
      </c>
      <c r="I110" s="22" t="s">
        <v>104</v>
      </c>
      <c r="J110">
        <v>1069077901</v>
      </c>
      <c r="K110" t="s">
        <v>106</v>
      </c>
      <c r="L110" t="s">
        <v>107</v>
      </c>
      <c r="M110">
        <v>9</v>
      </c>
      <c r="N110">
        <v>7</v>
      </c>
      <c r="O110">
        <v>7</v>
      </c>
      <c r="P110" t="s">
        <v>108</v>
      </c>
      <c r="Q110">
        <v>4899140</v>
      </c>
      <c r="R110">
        <v>34294</v>
      </c>
      <c r="S110">
        <v>20141226</v>
      </c>
      <c r="T110">
        <v>0</v>
      </c>
      <c r="U110">
        <v>0</v>
      </c>
      <c r="V110">
        <v>34294</v>
      </c>
      <c r="W110" t="s">
        <v>109</v>
      </c>
      <c r="X110" t="s">
        <v>110</v>
      </c>
      <c r="AD110">
        <v>106</v>
      </c>
      <c r="AE110" s="24" t="s">
        <v>606</v>
      </c>
      <c r="AG110" s="24" t="s">
        <v>397</v>
      </c>
      <c r="AH110" s="24" t="s">
        <v>398</v>
      </c>
      <c r="AI110">
        <v>12</v>
      </c>
      <c r="AJ110">
        <v>0</v>
      </c>
      <c r="AK110" s="24" t="s">
        <v>178</v>
      </c>
      <c r="AL110" s="24" t="s">
        <v>506</v>
      </c>
      <c r="AM110" s="24" t="s">
        <v>507</v>
      </c>
      <c r="AN110" s="24" t="s">
        <v>179</v>
      </c>
      <c r="AO110" s="24" t="s">
        <v>606</v>
      </c>
    </row>
    <row r="111" spans="5:41" x14ac:dyDescent="0.25">
      <c r="E111">
        <v>2</v>
      </c>
      <c r="F111" t="s">
        <v>168</v>
      </c>
      <c r="G111">
        <v>9</v>
      </c>
      <c r="H111" t="s">
        <v>103</v>
      </c>
      <c r="I111" s="22" t="s">
        <v>104</v>
      </c>
      <c r="J111">
        <v>1070613301</v>
      </c>
      <c r="K111" t="s">
        <v>106</v>
      </c>
      <c r="L111" t="s">
        <v>136</v>
      </c>
      <c r="M111">
        <v>9</v>
      </c>
      <c r="N111">
        <v>22</v>
      </c>
      <c r="O111">
        <v>22</v>
      </c>
      <c r="P111" t="s">
        <v>108</v>
      </c>
      <c r="Q111">
        <v>4178550</v>
      </c>
      <c r="R111">
        <v>91928</v>
      </c>
      <c r="S111">
        <v>20141231</v>
      </c>
      <c r="T111">
        <v>0</v>
      </c>
      <c r="U111">
        <v>0</v>
      </c>
      <c r="V111">
        <v>91928</v>
      </c>
      <c r="W111" t="s">
        <v>109</v>
      </c>
      <c r="X111" t="s">
        <v>110</v>
      </c>
      <c r="AD111">
        <v>107</v>
      </c>
      <c r="AE111" s="24" t="s">
        <v>607</v>
      </c>
      <c r="AG111" s="24" t="s">
        <v>399</v>
      </c>
      <c r="AH111" s="24" t="s">
        <v>400</v>
      </c>
      <c r="AI111">
        <v>7</v>
      </c>
      <c r="AJ111">
        <v>0</v>
      </c>
      <c r="AK111" s="24" t="s">
        <v>178</v>
      </c>
      <c r="AL111" s="24" t="s">
        <v>506</v>
      </c>
      <c r="AM111" s="24" t="s">
        <v>507</v>
      </c>
      <c r="AN111" s="24" t="s">
        <v>179</v>
      </c>
      <c r="AO111" s="24" t="s">
        <v>607</v>
      </c>
    </row>
    <row r="112" spans="5:41" x14ac:dyDescent="0.25">
      <c r="E112">
        <v>2</v>
      </c>
      <c r="F112" t="s">
        <v>168</v>
      </c>
      <c r="G112">
        <v>10</v>
      </c>
      <c r="H112" t="s">
        <v>103</v>
      </c>
      <c r="I112" s="22" t="s">
        <v>104</v>
      </c>
      <c r="J112">
        <v>1066981501</v>
      </c>
      <c r="K112" t="s">
        <v>106</v>
      </c>
      <c r="L112" t="s">
        <v>131</v>
      </c>
      <c r="M112">
        <v>9</v>
      </c>
      <c r="N112">
        <v>4</v>
      </c>
      <c r="O112">
        <v>4</v>
      </c>
      <c r="P112" t="s">
        <v>108</v>
      </c>
      <c r="Q112">
        <v>4592520</v>
      </c>
      <c r="R112">
        <v>18370</v>
      </c>
      <c r="S112">
        <v>20141222</v>
      </c>
      <c r="T112">
        <v>0</v>
      </c>
      <c r="U112">
        <v>0</v>
      </c>
      <c r="V112">
        <v>18370</v>
      </c>
      <c r="W112" t="s">
        <v>109</v>
      </c>
      <c r="X112" t="s">
        <v>110</v>
      </c>
      <c r="AD112">
        <v>108</v>
      </c>
      <c r="AE112" s="24" t="s">
        <v>608</v>
      </c>
      <c r="AG112" s="24" t="s">
        <v>401</v>
      </c>
      <c r="AH112" s="24" t="s">
        <v>402</v>
      </c>
      <c r="AI112">
        <v>22</v>
      </c>
      <c r="AJ112">
        <v>0</v>
      </c>
      <c r="AK112" s="24" t="s">
        <v>194</v>
      </c>
      <c r="AL112" s="24" t="s">
        <v>506</v>
      </c>
      <c r="AM112" s="24" t="s">
        <v>507</v>
      </c>
      <c r="AN112" s="24" t="s">
        <v>195</v>
      </c>
      <c r="AO112" s="24" t="s">
        <v>608</v>
      </c>
    </row>
    <row r="113" spans="5:41" x14ac:dyDescent="0.25">
      <c r="E113">
        <v>2</v>
      </c>
      <c r="F113" t="s">
        <v>168</v>
      </c>
      <c r="G113">
        <v>11</v>
      </c>
      <c r="H113" t="s">
        <v>103</v>
      </c>
      <c r="I113" s="22" t="s">
        <v>104</v>
      </c>
      <c r="J113">
        <v>1067615001</v>
      </c>
      <c r="K113" t="s">
        <v>106</v>
      </c>
      <c r="L113" t="s">
        <v>131</v>
      </c>
      <c r="M113">
        <v>9</v>
      </c>
      <c r="N113">
        <v>4</v>
      </c>
      <c r="O113">
        <v>4</v>
      </c>
      <c r="P113" t="s">
        <v>108</v>
      </c>
      <c r="Q113">
        <v>4592520</v>
      </c>
      <c r="R113">
        <v>18370</v>
      </c>
      <c r="S113">
        <v>20141223</v>
      </c>
      <c r="T113">
        <v>0</v>
      </c>
      <c r="U113">
        <v>0</v>
      </c>
      <c r="V113">
        <v>18370</v>
      </c>
      <c r="W113" t="s">
        <v>109</v>
      </c>
      <c r="X113" t="s">
        <v>110</v>
      </c>
      <c r="AD113">
        <v>109</v>
      </c>
      <c r="AE113" s="24" t="s">
        <v>609</v>
      </c>
      <c r="AG113" s="24" t="s">
        <v>403</v>
      </c>
      <c r="AH113" s="24" t="s">
        <v>404</v>
      </c>
      <c r="AI113">
        <v>4</v>
      </c>
      <c r="AJ113">
        <v>0</v>
      </c>
      <c r="AK113" s="24" t="s">
        <v>214</v>
      </c>
      <c r="AL113" s="24" t="s">
        <v>506</v>
      </c>
      <c r="AM113" s="24" t="s">
        <v>507</v>
      </c>
      <c r="AN113" s="24" t="s">
        <v>215</v>
      </c>
      <c r="AO113" s="24" t="s">
        <v>609</v>
      </c>
    </row>
    <row r="114" spans="5:41" x14ac:dyDescent="0.25">
      <c r="E114">
        <v>2</v>
      </c>
      <c r="F114" t="s">
        <v>168</v>
      </c>
      <c r="G114">
        <v>12</v>
      </c>
      <c r="H114" t="s">
        <v>103</v>
      </c>
      <c r="I114" s="22" t="s">
        <v>104</v>
      </c>
      <c r="J114">
        <v>1068608401</v>
      </c>
      <c r="K114" t="s">
        <v>106</v>
      </c>
      <c r="L114" t="s">
        <v>131</v>
      </c>
      <c r="M114">
        <v>9</v>
      </c>
      <c r="N114">
        <v>8</v>
      </c>
      <c r="O114">
        <v>8</v>
      </c>
      <c r="P114" t="s">
        <v>108</v>
      </c>
      <c r="Q114">
        <v>4592520</v>
      </c>
      <c r="R114">
        <v>36740</v>
      </c>
      <c r="S114">
        <v>20141225</v>
      </c>
      <c r="T114">
        <v>0</v>
      </c>
      <c r="U114">
        <v>0</v>
      </c>
      <c r="V114">
        <v>36740</v>
      </c>
      <c r="W114" t="s">
        <v>109</v>
      </c>
      <c r="X114" t="s">
        <v>110</v>
      </c>
      <c r="AD114">
        <v>110</v>
      </c>
      <c r="AE114" s="24" t="s">
        <v>610</v>
      </c>
      <c r="AG114" s="24" t="s">
        <v>405</v>
      </c>
      <c r="AH114" s="24" t="s">
        <v>406</v>
      </c>
      <c r="AI114">
        <v>4</v>
      </c>
      <c r="AJ114">
        <v>0</v>
      </c>
      <c r="AK114" s="24" t="s">
        <v>214</v>
      </c>
      <c r="AL114" s="24" t="s">
        <v>506</v>
      </c>
      <c r="AM114" s="24" t="s">
        <v>507</v>
      </c>
      <c r="AN114" s="24" t="s">
        <v>215</v>
      </c>
      <c r="AO114" s="24" t="s">
        <v>610</v>
      </c>
    </row>
    <row r="115" spans="5:41" x14ac:dyDescent="0.25">
      <c r="E115">
        <v>2</v>
      </c>
      <c r="F115" t="s">
        <v>168</v>
      </c>
      <c r="G115">
        <v>13</v>
      </c>
      <c r="H115" t="s">
        <v>103</v>
      </c>
      <c r="I115" s="22" t="s">
        <v>104</v>
      </c>
      <c r="J115">
        <v>1070613101</v>
      </c>
      <c r="K115" t="s">
        <v>106</v>
      </c>
      <c r="L115" t="s">
        <v>131</v>
      </c>
      <c r="M115">
        <v>9</v>
      </c>
      <c r="N115">
        <v>6</v>
      </c>
      <c r="O115">
        <v>6</v>
      </c>
      <c r="P115" t="s">
        <v>108</v>
      </c>
      <c r="Q115">
        <v>4592520</v>
      </c>
      <c r="R115">
        <v>27555</v>
      </c>
      <c r="S115">
        <v>20141231</v>
      </c>
      <c r="T115">
        <v>0</v>
      </c>
      <c r="U115">
        <v>0</v>
      </c>
      <c r="V115">
        <v>27555</v>
      </c>
      <c r="W115" t="s">
        <v>109</v>
      </c>
      <c r="X115" t="s">
        <v>110</v>
      </c>
      <c r="AD115">
        <v>111</v>
      </c>
      <c r="AE115" s="24" t="s">
        <v>611</v>
      </c>
      <c r="AG115" s="24" t="s">
        <v>407</v>
      </c>
      <c r="AH115" s="24" t="s">
        <v>408</v>
      </c>
      <c r="AI115">
        <v>8</v>
      </c>
      <c r="AJ115">
        <v>0</v>
      </c>
      <c r="AK115" s="24" t="s">
        <v>214</v>
      </c>
      <c r="AL115" s="24" t="s">
        <v>506</v>
      </c>
      <c r="AM115" s="24" t="s">
        <v>507</v>
      </c>
      <c r="AN115" s="24" t="s">
        <v>215</v>
      </c>
      <c r="AO115" s="24" t="s">
        <v>611</v>
      </c>
    </row>
    <row r="116" spans="5:41" x14ac:dyDescent="0.25">
      <c r="E116">
        <v>2</v>
      </c>
      <c r="F116" t="s">
        <v>168</v>
      </c>
      <c r="G116">
        <v>14</v>
      </c>
      <c r="H116" t="s">
        <v>103</v>
      </c>
      <c r="I116" s="22" t="s">
        <v>104</v>
      </c>
      <c r="J116">
        <v>1069349901</v>
      </c>
      <c r="K116" t="s">
        <v>106</v>
      </c>
      <c r="L116" t="s">
        <v>131</v>
      </c>
      <c r="M116">
        <v>9</v>
      </c>
      <c r="N116">
        <v>24</v>
      </c>
      <c r="O116">
        <v>24</v>
      </c>
      <c r="P116" t="s">
        <v>108</v>
      </c>
      <c r="Q116">
        <v>4592520</v>
      </c>
      <c r="R116">
        <v>110220</v>
      </c>
      <c r="S116">
        <v>20141226</v>
      </c>
      <c r="T116">
        <v>0</v>
      </c>
      <c r="U116">
        <v>0</v>
      </c>
      <c r="V116">
        <v>110220</v>
      </c>
      <c r="W116" t="s">
        <v>109</v>
      </c>
      <c r="X116" t="s">
        <v>110</v>
      </c>
      <c r="AD116">
        <v>112</v>
      </c>
      <c r="AE116" s="24" t="s">
        <v>612</v>
      </c>
      <c r="AG116" s="24" t="s">
        <v>409</v>
      </c>
      <c r="AH116" s="24" t="s">
        <v>410</v>
      </c>
      <c r="AI116">
        <v>6</v>
      </c>
      <c r="AJ116">
        <v>0</v>
      </c>
      <c r="AK116" s="24" t="s">
        <v>214</v>
      </c>
      <c r="AL116" s="24" t="s">
        <v>506</v>
      </c>
      <c r="AM116" s="24" t="s">
        <v>507</v>
      </c>
      <c r="AN116" s="24" t="s">
        <v>215</v>
      </c>
      <c r="AO116" s="24" t="s">
        <v>612</v>
      </c>
    </row>
    <row r="117" spans="5:41" x14ac:dyDescent="0.25">
      <c r="E117">
        <v>2</v>
      </c>
      <c r="F117" t="s">
        <v>168</v>
      </c>
      <c r="G117">
        <v>15</v>
      </c>
      <c r="H117" t="s">
        <v>103</v>
      </c>
      <c r="I117" s="22" t="s">
        <v>104</v>
      </c>
      <c r="J117">
        <v>1068111801</v>
      </c>
      <c r="K117" t="s">
        <v>106</v>
      </c>
      <c r="L117" t="s">
        <v>131</v>
      </c>
      <c r="M117">
        <v>9</v>
      </c>
      <c r="N117">
        <v>6</v>
      </c>
      <c r="O117">
        <v>6</v>
      </c>
      <c r="P117" t="s">
        <v>108</v>
      </c>
      <c r="Q117">
        <v>4592520</v>
      </c>
      <c r="R117">
        <v>27555</v>
      </c>
      <c r="S117">
        <v>20141224</v>
      </c>
      <c r="T117">
        <v>0</v>
      </c>
      <c r="U117">
        <v>0</v>
      </c>
      <c r="V117">
        <v>27555</v>
      </c>
      <c r="W117" t="s">
        <v>109</v>
      </c>
      <c r="X117" t="s">
        <v>110</v>
      </c>
      <c r="AD117">
        <v>113</v>
      </c>
      <c r="AE117" s="24" t="s">
        <v>613</v>
      </c>
      <c r="AG117" s="24" t="s">
        <v>411</v>
      </c>
      <c r="AH117" s="24" t="s">
        <v>412</v>
      </c>
      <c r="AI117">
        <v>24</v>
      </c>
      <c r="AJ117">
        <v>0</v>
      </c>
      <c r="AK117" s="24" t="s">
        <v>214</v>
      </c>
      <c r="AL117" s="24" t="s">
        <v>506</v>
      </c>
      <c r="AM117" s="24" t="s">
        <v>507</v>
      </c>
      <c r="AN117" s="24" t="s">
        <v>215</v>
      </c>
      <c r="AO117" s="24" t="s">
        <v>613</v>
      </c>
    </row>
    <row r="118" spans="5:41" x14ac:dyDescent="0.25">
      <c r="E118">
        <v>2</v>
      </c>
      <c r="F118" t="s">
        <v>168</v>
      </c>
      <c r="G118">
        <v>16</v>
      </c>
      <c r="H118" t="s">
        <v>103</v>
      </c>
      <c r="I118" s="22" t="s">
        <v>104</v>
      </c>
      <c r="J118">
        <v>1070215301</v>
      </c>
      <c r="K118" t="s">
        <v>106</v>
      </c>
      <c r="L118" t="s">
        <v>131</v>
      </c>
      <c r="M118">
        <v>9</v>
      </c>
      <c r="N118">
        <v>18</v>
      </c>
      <c r="O118">
        <v>18</v>
      </c>
      <c r="P118" t="s">
        <v>108</v>
      </c>
      <c r="Q118">
        <v>4592520</v>
      </c>
      <c r="R118">
        <v>82665</v>
      </c>
      <c r="S118">
        <v>20141230</v>
      </c>
      <c r="T118">
        <v>0</v>
      </c>
      <c r="U118">
        <v>0</v>
      </c>
      <c r="V118">
        <v>82665</v>
      </c>
      <c r="W118" t="s">
        <v>109</v>
      </c>
      <c r="X118" t="s">
        <v>110</v>
      </c>
      <c r="AD118">
        <v>114</v>
      </c>
      <c r="AE118" s="24" t="s">
        <v>614</v>
      </c>
      <c r="AG118" s="24" t="s">
        <v>413</v>
      </c>
      <c r="AH118" s="24" t="s">
        <v>414</v>
      </c>
      <c r="AI118">
        <v>6</v>
      </c>
      <c r="AJ118">
        <v>0</v>
      </c>
      <c r="AK118" s="24" t="s">
        <v>214</v>
      </c>
      <c r="AL118" s="24" t="s">
        <v>506</v>
      </c>
      <c r="AM118" s="24" t="s">
        <v>507</v>
      </c>
      <c r="AN118" s="24" t="s">
        <v>215</v>
      </c>
      <c r="AO118" s="24" t="s">
        <v>614</v>
      </c>
    </row>
    <row r="119" spans="5:41" x14ac:dyDescent="0.25">
      <c r="E119">
        <v>2</v>
      </c>
      <c r="F119" t="s">
        <v>168</v>
      </c>
      <c r="G119">
        <v>17</v>
      </c>
      <c r="H119" t="s">
        <v>103</v>
      </c>
      <c r="I119" s="22" t="s">
        <v>104</v>
      </c>
      <c r="J119">
        <v>1069077701</v>
      </c>
      <c r="K119" t="s">
        <v>106</v>
      </c>
      <c r="L119" t="s">
        <v>131</v>
      </c>
      <c r="M119">
        <v>9</v>
      </c>
      <c r="N119">
        <v>10</v>
      </c>
      <c r="O119">
        <v>10</v>
      </c>
      <c r="P119" t="s">
        <v>108</v>
      </c>
      <c r="Q119">
        <v>4592520</v>
      </c>
      <c r="R119">
        <v>45925</v>
      </c>
      <c r="S119">
        <v>20141226</v>
      </c>
      <c r="T119">
        <v>0</v>
      </c>
      <c r="U119">
        <v>0</v>
      </c>
      <c r="V119">
        <v>45925</v>
      </c>
      <c r="W119" t="s">
        <v>109</v>
      </c>
      <c r="X119" t="s">
        <v>110</v>
      </c>
      <c r="AD119">
        <v>115</v>
      </c>
      <c r="AE119" s="24" t="s">
        <v>615</v>
      </c>
      <c r="AG119" s="24" t="s">
        <v>415</v>
      </c>
      <c r="AH119" s="24" t="s">
        <v>416</v>
      </c>
      <c r="AI119">
        <v>18</v>
      </c>
      <c r="AJ119">
        <v>0</v>
      </c>
      <c r="AK119" s="24" t="s">
        <v>214</v>
      </c>
      <c r="AL119" s="24" t="s">
        <v>506</v>
      </c>
      <c r="AM119" s="24" t="s">
        <v>507</v>
      </c>
      <c r="AN119" s="24" t="s">
        <v>215</v>
      </c>
      <c r="AO119" s="24" t="s">
        <v>615</v>
      </c>
    </row>
    <row r="120" spans="5:41" x14ac:dyDescent="0.25">
      <c r="E120">
        <v>2</v>
      </c>
      <c r="F120" t="s">
        <v>168</v>
      </c>
      <c r="G120">
        <v>18</v>
      </c>
      <c r="H120" t="s">
        <v>103</v>
      </c>
      <c r="I120" s="22" t="s">
        <v>111</v>
      </c>
      <c r="J120">
        <v>1066981701</v>
      </c>
      <c r="K120" t="s">
        <v>106</v>
      </c>
      <c r="L120" t="s">
        <v>139</v>
      </c>
      <c r="M120">
        <v>9</v>
      </c>
      <c r="N120">
        <v>2</v>
      </c>
      <c r="O120">
        <v>2</v>
      </c>
      <c r="P120" t="s">
        <v>108</v>
      </c>
      <c r="Q120">
        <v>4894180</v>
      </c>
      <c r="R120">
        <v>9788</v>
      </c>
      <c r="S120">
        <v>20141222</v>
      </c>
      <c r="T120">
        <v>0</v>
      </c>
      <c r="U120">
        <v>0</v>
      </c>
      <c r="V120">
        <v>9788</v>
      </c>
      <c r="W120" t="s">
        <v>109</v>
      </c>
      <c r="X120" t="s">
        <v>110</v>
      </c>
      <c r="AD120">
        <v>116</v>
      </c>
      <c r="AE120" s="24" t="s">
        <v>616</v>
      </c>
      <c r="AG120" s="24" t="s">
        <v>417</v>
      </c>
      <c r="AH120" s="24" t="s">
        <v>418</v>
      </c>
      <c r="AI120">
        <v>10</v>
      </c>
      <c r="AJ120">
        <v>0</v>
      </c>
      <c r="AK120" s="24" t="s">
        <v>214</v>
      </c>
      <c r="AL120" s="24" t="s">
        <v>506</v>
      </c>
      <c r="AM120" s="24" t="s">
        <v>507</v>
      </c>
      <c r="AN120" s="24" t="s">
        <v>215</v>
      </c>
      <c r="AO120" s="24" t="s">
        <v>616</v>
      </c>
    </row>
    <row r="121" spans="5:41" x14ac:dyDescent="0.25">
      <c r="E121">
        <v>2</v>
      </c>
      <c r="F121" t="s">
        <v>168</v>
      </c>
      <c r="G121">
        <v>19</v>
      </c>
      <c r="H121" t="s">
        <v>103</v>
      </c>
      <c r="I121" s="22" t="s">
        <v>111</v>
      </c>
      <c r="J121">
        <v>1067614901</v>
      </c>
      <c r="K121" t="s">
        <v>106</v>
      </c>
      <c r="L121" t="s">
        <v>139</v>
      </c>
      <c r="M121">
        <v>9</v>
      </c>
      <c r="N121">
        <v>16</v>
      </c>
      <c r="O121">
        <v>16</v>
      </c>
      <c r="P121" t="s">
        <v>108</v>
      </c>
      <c r="Q121">
        <v>4894180</v>
      </c>
      <c r="R121">
        <v>78307</v>
      </c>
      <c r="S121">
        <v>20141223</v>
      </c>
      <c r="T121">
        <v>0</v>
      </c>
      <c r="U121">
        <v>0</v>
      </c>
      <c r="V121">
        <v>78307</v>
      </c>
      <c r="W121" t="s">
        <v>109</v>
      </c>
      <c r="X121" t="s">
        <v>110</v>
      </c>
      <c r="AD121">
        <v>117</v>
      </c>
      <c r="AE121" s="24" t="s">
        <v>617</v>
      </c>
      <c r="AG121" s="24" t="s">
        <v>419</v>
      </c>
      <c r="AH121" s="24" t="s">
        <v>420</v>
      </c>
      <c r="AI121">
        <v>2</v>
      </c>
      <c r="AJ121">
        <v>0</v>
      </c>
      <c r="AK121" s="24" t="s">
        <v>242</v>
      </c>
      <c r="AL121" s="24" t="s">
        <v>506</v>
      </c>
      <c r="AM121" s="24" t="s">
        <v>507</v>
      </c>
      <c r="AN121" s="24" t="s">
        <v>243</v>
      </c>
      <c r="AO121" s="24" t="s">
        <v>617</v>
      </c>
    </row>
    <row r="122" spans="5:41" x14ac:dyDescent="0.25">
      <c r="E122">
        <v>2</v>
      </c>
      <c r="F122" t="s">
        <v>168</v>
      </c>
      <c r="G122">
        <v>20</v>
      </c>
      <c r="H122" t="s">
        <v>103</v>
      </c>
      <c r="I122" s="22" t="s">
        <v>111</v>
      </c>
      <c r="J122">
        <v>1069077801</v>
      </c>
      <c r="K122" t="s">
        <v>106</v>
      </c>
      <c r="L122" t="s">
        <v>139</v>
      </c>
      <c r="M122">
        <v>9</v>
      </c>
      <c r="N122">
        <v>12</v>
      </c>
      <c r="O122">
        <v>12</v>
      </c>
      <c r="P122" t="s">
        <v>108</v>
      </c>
      <c r="Q122">
        <v>4894180</v>
      </c>
      <c r="R122">
        <v>58730</v>
      </c>
      <c r="S122">
        <v>20141226</v>
      </c>
      <c r="T122">
        <v>0</v>
      </c>
      <c r="U122">
        <v>0</v>
      </c>
      <c r="V122">
        <v>58730</v>
      </c>
      <c r="W122" t="s">
        <v>109</v>
      </c>
      <c r="X122" t="s">
        <v>110</v>
      </c>
      <c r="AD122">
        <v>118</v>
      </c>
      <c r="AE122" s="24" t="s">
        <v>618</v>
      </c>
      <c r="AG122" s="24" t="s">
        <v>421</v>
      </c>
      <c r="AH122" s="24" t="s">
        <v>422</v>
      </c>
      <c r="AI122">
        <v>16</v>
      </c>
      <c r="AJ122">
        <v>0</v>
      </c>
      <c r="AK122" s="24" t="s">
        <v>242</v>
      </c>
      <c r="AL122" s="24" t="s">
        <v>506</v>
      </c>
      <c r="AM122" s="24" t="s">
        <v>507</v>
      </c>
      <c r="AN122" s="24" t="s">
        <v>243</v>
      </c>
      <c r="AO122" s="24" t="s">
        <v>618</v>
      </c>
    </row>
    <row r="123" spans="5:41" x14ac:dyDescent="0.25">
      <c r="E123">
        <v>2</v>
      </c>
      <c r="F123" t="s">
        <v>168</v>
      </c>
      <c r="G123">
        <v>21</v>
      </c>
      <c r="H123" t="s">
        <v>103</v>
      </c>
      <c r="I123" s="22" t="s">
        <v>111</v>
      </c>
      <c r="J123">
        <v>1068608601</v>
      </c>
      <c r="K123" t="s">
        <v>106</v>
      </c>
      <c r="L123" t="s">
        <v>139</v>
      </c>
      <c r="M123">
        <v>9</v>
      </c>
      <c r="N123">
        <v>2</v>
      </c>
      <c r="O123">
        <v>2</v>
      </c>
      <c r="P123" t="s">
        <v>108</v>
      </c>
      <c r="Q123">
        <v>4894180</v>
      </c>
      <c r="R123">
        <v>9788</v>
      </c>
      <c r="S123">
        <v>20141225</v>
      </c>
      <c r="T123">
        <v>0</v>
      </c>
      <c r="U123">
        <v>0</v>
      </c>
      <c r="V123">
        <v>9788</v>
      </c>
      <c r="W123" t="s">
        <v>109</v>
      </c>
      <c r="X123" t="s">
        <v>110</v>
      </c>
      <c r="AD123">
        <v>119</v>
      </c>
      <c r="AE123" s="24" t="s">
        <v>619</v>
      </c>
      <c r="AG123" s="24" t="s">
        <v>423</v>
      </c>
      <c r="AH123" s="24" t="s">
        <v>424</v>
      </c>
      <c r="AI123">
        <v>12</v>
      </c>
      <c r="AJ123">
        <v>0</v>
      </c>
      <c r="AK123" s="24" t="s">
        <v>242</v>
      </c>
      <c r="AL123" s="24" t="s">
        <v>506</v>
      </c>
      <c r="AM123" s="24" t="s">
        <v>507</v>
      </c>
      <c r="AN123" s="24" t="s">
        <v>243</v>
      </c>
      <c r="AO123" s="24" t="s">
        <v>619</v>
      </c>
    </row>
    <row r="124" spans="5:41" x14ac:dyDescent="0.25">
      <c r="E124">
        <v>2</v>
      </c>
      <c r="F124" t="s">
        <v>168</v>
      </c>
      <c r="G124">
        <v>22</v>
      </c>
      <c r="H124" t="s">
        <v>103</v>
      </c>
      <c r="I124" s="22" t="s">
        <v>111</v>
      </c>
      <c r="J124">
        <v>1068111001</v>
      </c>
      <c r="K124" t="s">
        <v>106</v>
      </c>
      <c r="L124" t="s">
        <v>139</v>
      </c>
      <c r="M124">
        <v>9</v>
      </c>
      <c r="N124">
        <v>26</v>
      </c>
      <c r="O124">
        <v>26</v>
      </c>
      <c r="P124" t="s">
        <v>108</v>
      </c>
      <c r="Q124">
        <v>4894180</v>
      </c>
      <c r="R124">
        <v>127249</v>
      </c>
      <c r="S124">
        <v>20141224</v>
      </c>
      <c r="T124">
        <v>0</v>
      </c>
      <c r="U124">
        <v>0</v>
      </c>
      <c r="V124">
        <v>127249</v>
      </c>
      <c r="W124" t="s">
        <v>109</v>
      </c>
      <c r="X124" t="s">
        <v>110</v>
      </c>
      <c r="AD124">
        <v>120</v>
      </c>
      <c r="AE124" s="24" t="s">
        <v>620</v>
      </c>
      <c r="AG124" s="24" t="s">
        <v>425</v>
      </c>
      <c r="AH124" s="24" t="s">
        <v>426</v>
      </c>
      <c r="AI124">
        <v>2</v>
      </c>
      <c r="AJ124">
        <v>0</v>
      </c>
      <c r="AK124" s="24" t="s">
        <v>242</v>
      </c>
      <c r="AL124" s="24" t="s">
        <v>506</v>
      </c>
      <c r="AM124" s="24" t="s">
        <v>507</v>
      </c>
      <c r="AN124" s="24" t="s">
        <v>243</v>
      </c>
      <c r="AO124" s="24" t="s">
        <v>620</v>
      </c>
    </row>
    <row r="125" spans="5:41" x14ac:dyDescent="0.25">
      <c r="E125">
        <v>2</v>
      </c>
      <c r="F125" t="s">
        <v>169</v>
      </c>
      <c r="G125">
        <v>1</v>
      </c>
      <c r="H125" t="s">
        <v>103</v>
      </c>
      <c r="I125" s="22" t="s">
        <v>111</v>
      </c>
      <c r="J125">
        <v>1069350401</v>
      </c>
      <c r="K125" t="s">
        <v>106</v>
      </c>
      <c r="L125" t="s">
        <v>139</v>
      </c>
      <c r="M125">
        <v>9</v>
      </c>
      <c r="N125">
        <v>4</v>
      </c>
      <c r="O125">
        <v>4</v>
      </c>
      <c r="P125" t="s">
        <v>108</v>
      </c>
      <c r="Q125">
        <v>4894180</v>
      </c>
      <c r="R125">
        <v>19577</v>
      </c>
      <c r="S125">
        <v>20141226</v>
      </c>
      <c r="T125">
        <v>0</v>
      </c>
      <c r="U125">
        <v>0</v>
      </c>
      <c r="V125">
        <v>19577</v>
      </c>
      <c r="W125" t="s">
        <v>109</v>
      </c>
      <c r="X125" t="s">
        <v>110</v>
      </c>
      <c r="Y125">
        <v>3</v>
      </c>
      <c r="Z125">
        <v>842844</v>
      </c>
      <c r="AA125">
        <v>0</v>
      </c>
      <c r="AB125">
        <v>0</v>
      </c>
      <c r="AC125">
        <v>842844</v>
      </c>
      <c r="AD125">
        <v>121</v>
      </c>
      <c r="AE125" s="24" t="s">
        <v>621</v>
      </c>
      <c r="AG125" s="24" t="s">
        <v>427</v>
      </c>
      <c r="AH125" s="24" t="s">
        <v>428</v>
      </c>
      <c r="AI125">
        <v>26</v>
      </c>
      <c r="AJ125">
        <v>0</v>
      </c>
      <c r="AK125" s="24" t="s">
        <v>242</v>
      </c>
      <c r="AL125" s="24" t="s">
        <v>506</v>
      </c>
      <c r="AM125" s="24" t="s">
        <v>507</v>
      </c>
      <c r="AN125" s="24" t="s">
        <v>243</v>
      </c>
      <c r="AO125" s="24" t="s">
        <v>621</v>
      </c>
    </row>
    <row r="126" spans="5:41" x14ac:dyDescent="0.25">
      <c r="E126">
        <v>2</v>
      </c>
      <c r="F126" t="s">
        <v>169</v>
      </c>
      <c r="G126">
        <v>2</v>
      </c>
      <c r="H126" t="s">
        <v>103</v>
      </c>
      <c r="I126" s="22" t="s">
        <v>114</v>
      </c>
      <c r="J126">
        <v>1068111701</v>
      </c>
      <c r="K126" t="s">
        <v>106</v>
      </c>
      <c r="L126" t="s">
        <v>170</v>
      </c>
      <c r="M126">
        <v>9</v>
      </c>
      <c r="N126">
        <v>26</v>
      </c>
      <c r="O126">
        <v>26</v>
      </c>
      <c r="P126" t="s">
        <v>108</v>
      </c>
      <c r="Q126">
        <v>4348680</v>
      </c>
      <c r="R126">
        <v>113066</v>
      </c>
      <c r="S126">
        <v>20141224</v>
      </c>
      <c r="T126">
        <v>0</v>
      </c>
      <c r="U126">
        <v>0</v>
      </c>
      <c r="V126">
        <v>113066</v>
      </c>
      <c r="W126" t="s">
        <v>109</v>
      </c>
      <c r="X126" t="s">
        <v>110</v>
      </c>
      <c r="AD126">
        <v>122</v>
      </c>
      <c r="AE126" s="24" t="s">
        <v>622</v>
      </c>
      <c r="AG126" s="24" t="s">
        <v>429</v>
      </c>
      <c r="AH126" s="24" t="s">
        <v>430</v>
      </c>
      <c r="AI126">
        <v>4</v>
      </c>
      <c r="AJ126">
        <v>0</v>
      </c>
      <c r="AK126" s="24" t="s">
        <v>242</v>
      </c>
      <c r="AL126" s="24" t="s">
        <v>506</v>
      </c>
      <c r="AM126" s="24" t="s">
        <v>507</v>
      </c>
      <c r="AN126" s="24" t="s">
        <v>243</v>
      </c>
      <c r="AO126" s="24" t="s">
        <v>622</v>
      </c>
    </row>
    <row r="127" spans="5:41" x14ac:dyDescent="0.25">
      <c r="E127">
        <v>2</v>
      </c>
      <c r="F127" t="s">
        <v>169</v>
      </c>
      <c r="G127">
        <v>3</v>
      </c>
      <c r="H127" t="s">
        <v>103</v>
      </c>
      <c r="I127" s="22" t="s">
        <v>114</v>
      </c>
      <c r="J127">
        <v>1068111601</v>
      </c>
      <c r="K127" t="s">
        <v>106</v>
      </c>
      <c r="L127" t="s">
        <v>171</v>
      </c>
      <c r="M127">
        <v>9</v>
      </c>
      <c r="N127">
        <v>2</v>
      </c>
      <c r="O127">
        <v>2</v>
      </c>
      <c r="P127" t="s">
        <v>108</v>
      </c>
      <c r="Q127">
        <v>3607840</v>
      </c>
      <c r="R127">
        <v>7216</v>
      </c>
      <c r="S127">
        <v>20141224</v>
      </c>
      <c r="T127">
        <v>0</v>
      </c>
      <c r="U127">
        <v>0</v>
      </c>
      <c r="V127">
        <v>7216</v>
      </c>
      <c r="W127" t="s">
        <v>109</v>
      </c>
      <c r="X127" t="s">
        <v>110</v>
      </c>
      <c r="AD127" s="25">
        <v>123</v>
      </c>
      <c r="AE127" s="26" t="s">
        <v>623</v>
      </c>
      <c r="AF127" s="26"/>
      <c r="AG127" s="26" t="s">
        <v>431</v>
      </c>
      <c r="AH127" s="26" t="s">
        <v>432</v>
      </c>
      <c r="AI127" s="25">
        <v>8</v>
      </c>
      <c r="AJ127" s="25">
        <v>0</v>
      </c>
      <c r="AK127" s="26" t="s">
        <v>433</v>
      </c>
      <c r="AL127" s="26" t="s">
        <v>624</v>
      </c>
      <c r="AM127" s="26" t="s">
        <v>507</v>
      </c>
      <c r="AN127" s="26" t="s">
        <v>434</v>
      </c>
      <c r="AO127" s="26" t="s">
        <v>623</v>
      </c>
    </row>
    <row r="128" spans="5:41" x14ac:dyDescent="0.25">
      <c r="E128">
        <v>2</v>
      </c>
      <c r="F128" t="s">
        <v>169</v>
      </c>
      <c r="G128">
        <v>4</v>
      </c>
      <c r="H128" t="s">
        <v>103</v>
      </c>
      <c r="I128" s="22" t="s">
        <v>114</v>
      </c>
      <c r="J128">
        <v>1068111501</v>
      </c>
      <c r="K128" t="s">
        <v>106</v>
      </c>
      <c r="L128" t="s">
        <v>116</v>
      </c>
      <c r="M128">
        <v>9</v>
      </c>
      <c r="N128">
        <v>10</v>
      </c>
      <c r="O128">
        <v>10</v>
      </c>
      <c r="P128" t="s">
        <v>108</v>
      </c>
      <c r="Q128">
        <v>4103680</v>
      </c>
      <c r="R128">
        <v>41037</v>
      </c>
      <c r="S128">
        <v>20141224</v>
      </c>
      <c r="T128">
        <v>0</v>
      </c>
      <c r="U128">
        <v>0</v>
      </c>
      <c r="V128">
        <v>41037</v>
      </c>
      <c r="W128" t="s">
        <v>109</v>
      </c>
      <c r="X128" t="s">
        <v>110</v>
      </c>
      <c r="AD128" s="25">
        <v>123</v>
      </c>
      <c r="AE128" s="26" t="s">
        <v>623</v>
      </c>
      <c r="AF128" s="26"/>
      <c r="AG128" s="26" t="s">
        <v>431</v>
      </c>
      <c r="AH128" s="26" t="s">
        <v>435</v>
      </c>
      <c r="AI128" s="25">
        <v>18</v>
      </c>
      <c r="AJ128" s="25">
        <v>0</v>
      </c>
      <c r="AK128" s="26" t="s">
        <v>433</v>
      </c>
      <c r="AL128" s="26" t="s">
        <v>624</v>
      </c>
      <c r="AM128" s="26" t="s">
        <v>507</v>
      </c>
      <c r="AN128" s="26" t="s">
        <v>434</v>
      </c>
      <c r="AO128" s="26" t="s">
        <v>623</v>
      </c>
    </row>
    <row r="129" spans="5:41" x14ac:dyDescent="0.25">
      <c r="E129">
        <v>2</v>
      </c>
      <c r="F129" t="s">
        <v>169</v>
      </c>
      <c r="G129">
        <v>5</v>
      </c>
      <c r="H129" t="s">
        <v>103</v>
      </c>
      <c r="I129" s="22" t="s">
        <v>140</v>
      </c>
      <c r="J129">
        <v>1066982001</v>
      </c>
      <c r="K129" t="s">
        <v>106</v>
      </c>
      <c r="L129" t="s">
        <v>141</v>
      </c>
      <c r="M129">
        <v>9</v>
      </c>
      <c r="N129">
        <v>32</v>
      </c>
      <c r="O129">
        <v>32</v>
      </c>
      <c r="P129" t="s">
        <v>108</v>
      </c>
      <c r="Q129">
        <v>94640</v>
      </c>
      <c r="R129">
        <v>3028</v>
      </c>
      <c r="S129">
        <v>20141222</v>
      </c>
      <c r="T129">
        <v>0</v>
      </c>
      <c r="U129">
        <v>0</v>
      </c>
      <c r="V129">
        <v>3028</v>
      </c>
      <c r="W129" t="s">
        <v>109</v>
      </c>
      <c r="X129" t="s">
        <v>110</v>
      </c>
      <c r="AD129">
        <v>124</v>
      </c>
      <c r="AE129" s="24" t="s">
        <v>625</v>
      </c>
      <c r="AG129" s="24" t="s">
        <v>436</v>
      </c>
      <c r="AH129" s="24" t="s">
        <v>437</v>
      </c>
      <c r="AI129">
        <v>2</v>
      </c>
      <c r="AJ129">
        <v>0</v>
      </c>
      <c r="AK129" s="24" t="s">
        <v>438</v>
      </c>
      <c r="AL129" s="24" t="s">
        <v>624</v>
      </c>
      <c r="AM129" s="24" t="s">
        <v>507</v>
      </c>
      <c r="AN129" s="24" t="s">
        <v>439</v>
      </c>
      <c r="AO129" s="24" t="s">
        <v>625</v>
      </c>
    </row>
    <row r="130" spans="5:41" x14ac:dyDescent="0.25">
      <c r="E130">
        <v>2</v>
      </c>
      <c r="F130" t="s">
        <v>169</v>
      </c>
      <c r="G130">
        <v>6</v>
      </c>
      <c r="H130" t="s">
        <v>103</v>
      </c>
      <c r="I130" s="22" t="s">
        <v>140</v>
      </c>
      <c r="J130">
        <v>1069350501</v>
      </c>
      <c r="K130" t="s">
        <v>106</v>
      </c>
      <c r="L130" t="s">
        <v>141</v>
      </c>
      <c r="M130">
        <v>9</v>
      </c>
      <c r="N130">
        <v>96</v>
      </c>
      <c r="O130">
        <v>96</v>
      </c>
      <c r="P130" t="s">
        <v>108</v>
      </c>
      <c r="Q130">
        <v>94640</v>
      </c>
      <c r="R130">
        <v>9085</v>
      </c>
      <c r="S130">
        <v>20141226</v>
      </c>
      <c r="T130">
        <v>0</v>
      </c>
      <c r="U130">
        <v>0</v>
      </c>
      <c r="V130">
        <v>9085</v>
      </c>
      <c r="W130" t="s">
        <v>109</v>
      </c>
      <c r="X130" t="s">
        <v>110</v>
      </c>
      <c r="AD130">
        <v>125</v>
      </c>
      <c r="AE130" s="24" t="s">
        <v>626</v>
      </c>
      <c r="AG130" s="24" t="s">
        <v>440</v>
      </c>
      <c r="AH130" s="24" t="s">
        <v>441</v>
      </c>
      <c r="AI130">
        <v>10</v>
      </c>
      <c r="AJ130">
        <v>0</v>
      </c>
      <c r="AK130" s="24" t="s">
        <v>442</v>
      </c>
      <c r="AL130" s="24" t="s">
        <v>624</v>
      </c>
      <c r="AM130" s="24" t="s">
        <v>507</v>
      </c>
      <c r="AN130" s="24" t="s">
        <v>443</v>
      </c>
      <c r="AO130" s="24" t="s">
        <v>626</v>
      </c>
    </row>
    <row r="131" spans="5:41" x14ac:dyDescent="0.25">
      <c r="E131">
        <v>2</v>
      </c>
      <c r="F131" t="s">
        <v>169</v>
      </c>
      <c r="G131">
        <v>7</v>
      </c>
      <c r="H131" t="s">
        <v>103</v>
      </c>
      <c r="I131" s="22" t="s">
        <v>140</v>
      </c>
      <c r="J131">
        <v>1069078001</v>
      </c>
      <c r="K131" t="s">
        <v>106</v>
      </c>
      <c r="L131" t="s">
        <v>141</v>
      </c>
      <c r="M131">
        <v>9</v>
      </c>
      <c r="N131">
        <v>32</v>
      </c>
      <c r="O131">
        <v>32</v>
      </c>
      <c r="P131" t="s">
        <v>108</v>
      </c>
      <c r="Q131">
        <v>94640</v>
      </c>
      <c r="R131">
        <v>3028</v>
      </c>
      <c r="S131">
        <v>20141226</v>
      </c>
      <c r="T131">
        <v>0</v>
      </c>
      <c r="U131">
        <v>0</v>
      </c>
      <c r="V131">
        <v>3028</v>
      </c>
      <c r="W131" t="s">
        <v>109</v>
      </c>
      <c r="X131" t="s">
        <v>110</v>
      </c>
      <c r="AD131">
        <v>126</v>
      </c>
      <c r="AE131" s="24" t="s">
        <v>627</v>
      </c>
      <c r="AG131" s="24" t="s">
        <v>444</v>
      </c>
      <c r="AH131" s="24" t="s">
        <v>445</v>
      </c>
      <c r="AI131">
        <v>32</v>
      </c>
      <c r="AJ131">
        <v>0</v>
      </c>
      <c r="AK131" s="24" t="s">
        <v>268</v>
      </c>
      <c r="AL131" s="24" t="s">
        <v>269</v>
      </c>
      <c r="AM131" s="24" t="s">
        <v>507</v>
      </c>
      <c r="AN131" s="24" t="s">
        <v>270</v>
      </c>
      <c r="AO131" s="24" t="s">
        <v>627</v>
      </c>
    </row>
    <row r="132" spans="5:41" x14ac:dyDescent="0.25">
      <c r="E132">
        <v>2</v>
      </c>
      <c r="F132" t="s">
        <v>169</v>
      </c>
      <c r="G132">
        <v>8</v>
      </c>
      <c r="H132" t="s">
        <v>103</v>
      </c>
      <c r="I132" s="22" t="s">
        <v>140</v>
      </c>
      <c r="J132">
        <v>1070215401</v>
      </c>
      <c r="K132" t="s">
        <v>106</v>
      </c>
      <c r="L132" t="s">
        <v>141</v>
      </c>
      <c r="M132">
        <v>9</v>
      </c>
      <c r="N132">
        <v>32</v>
      </c>
      <c r="O132">
        <v>32</v>
      </c>
      <c r="P132" t="s">
        <v>108</v>
      </c>
      <c r="Q132">
        <v>94640</v>
      </c>
      <c r="R132">
        <v>3028</v>
      </c>
      <c r="S132">
        <v>20141230</v>
      </c>
      <c r="T132">
        <v>0</v>
      </c>
      <c r="U132">
        <v>0</v>
      </c>
      <c r="V132">
        <v>3028</v>
      </c>
      <c r="W132" t="s">
        <v>109</v>
      </c>
      <c r="X132" t="s">
        <v>110</v>
      </c>
      <c r="AD132">
        <v>127</v>
      </c>
      <c r="AE132" s="24" t="s">
        <v>628</v>
      </c>
      <c r="AG132" s="24" t="s">
        <v>446</v>
      </c>
      <c r="AH132" s="24" t="s">
        <v>447</v>
      </c>
      <c r="AI132">
        <v>96</v>
      </c>
      <c r="AJ132">
        <v>0</v>
      </c>
      <c r="AK132" s="24" t="s">
        <v>268</v>
      </c>
      <c r="AL132" s="24" t="s">
        <v>269</v>
      </c>
      <c r="AM132" s="24" t="s">
        <v>507</v>
      </c>
      <c r="AN132" s="24" t="s">
        <v>270</v>
      </c>
      <c r="AO132" s="24" t="s">
        <v>628</v>
      </c>
    </row>
    <row r="133" spans="5:41" x14ac:dyDescent="0.25">
      <c r="E133">
        <v>2</v>
      </c>
      <c r="F133" t="s">
        <v>169</v>
      </c>
      <c r="G133">
        <v>9</v>
      </c>
      <c r="H133" t="s">
        <v>103</v>
      </c>
      <c r="I133" s="22" t="s">
        <v>140</v>
      </c>
      <c r="J133">
        <v>1068110801</v>
      </c>
      <c r="K133" t="s">
        <v>106</v>
      </c>
      <c r="L133" t="s">
        <v>141</v>
      </c>
      <c r="M133">
        <v>9</v>
      </c>
      <c r="N133">
        <v>32</v>
      </c>
      <c r="O133">
        <v>32</v>
      </c>
      <c r="P133" t="s">
        <v>108</v>
      </c>
      <c r="Q133">
        <v>94640</v>
      </c>
      <c r="R133">
        <v>3028</v>
      </c>
      <c r="S133">
        <v>20141224</v>
      </c>
      <c r="T133">
        <v>0</v>
      </c>
      <c r="U133">
        <v>0</v>
      </c>
      <c r="V133">
        <v>3028</v>
      </c>
      <c r="W133" t="s">
        <v>109</v>
      </c>
      <c r="X133" t="s">
        <v>110</v>
      </c>
      <c r="AD133">
        <v>128</v>
      </c>
      <c r="AE133" s="24" t="s">
        <v>629</v>
      </c>
      <c r="AG133" s="24" t="s">
        <v>448</v>
      </c>
      <c r="AH133" s="24" t="s">
        <v>449</v>
      </c>
      <c r="AI133">
        <v>32</v>
      </c>
      <c r="AJ133">
        <v>0</v>
      </c>
      <c r="AK133" s="24" t="s">
        <v>268</v>
      </c>
      <c r="AL133" s="24" t="s">
        <v>269</v>
      </c>
      <c r="AM133" s="24" t="s">
        <v>507</v>
      </c>
      <c r="AN133" s="24" t="s">
        <v>270</v>
      </c>
      <c r="AO133" s="24" t="s">
        <v>629</v>
      </c>
    </row>
    <row r="134" spans="5:41" x14ac:dyDescent="0.25">
      <c r="E134">
        <v>2</v>
      </c>
      <c r="F134" t="s">
        <v>169</v>
      </c>
      <c r="G134">
        <v>10</v>
      </c>
      <c r="H134" t="s">
        <v>103</v>
      </c>
      <c r="I134" s="22" t="s">
        <v>140</v>
      </c>
      <c r="J134">
        <v>1068111401</v>
      </c>
      <c r="K134" t="s">
        <v>106</v>
      </c>
      <c r="L134" t="s">
        <v>141</v>
      </c>
      <c r="M134">
        <v>9</v>
      </c>
      <c r="N134">
        <v>32</v>
      </c>
      <c r="O134">
        <v>32</v>
      </c>
      <c r="P134" t="s">
        <v>108</v>
      </c>
      <c r="Q134">
        <v>94640</v>
      </c>
      <c r="R134">
        <v>3028</v>
      </c>
      <c r="S134">
        <v>20141224</v>
      </c>
      <c r="T134">
        <v>0</v>
      </c>
      <c r="U134">
        <v>0</v>
      </c>
      <c r="V134">
        <v>3028</v>
      </c>
      <c r="W134" t="s">
        <v>109</v>
      </c>
      <c r="X134" t="s">
        <v>110</v>
      </c>
      <c r="AD134">
        <v>129</v>
      </c>
      <c r="AE134" s="24" t="s">
        <v>630</v>
      </c>
      <c r="AG134" s="24" t="s">
        <v>450</v>
      </c>
      <c r="AH134" s="24" t="s">
        <v>451</v>
      </c>
      <c r="AI134">
        <v>32</v>
      </c>
      <c r="AJ134">
        <v>0</v>
      </c>
      <c r="AK134" s="24" t="s">
        <v>268</v>
      </c>
      <c r="AL134" s="24" t="s">
        <v>269</v>
      </c>
      <c r="AM134" s="24" t="s">
        <v>507</v>
      </c>
      <c r="AN134" s="24" t="s">
        <v>270</v>
      </c>
      <c r="AO134" s="24" t="s">
        <v>630</v>
      </c>
    </row>
    <row r="135" spans="5:41" x14ac:dyDescent="0.25">
      <c r="E135">
        <v>2</v>
      </c>
      <c r="F135" t="s">
        <v>169</v>
      </c>
      <c r="G135">
        <v>11</v>
      </c>
      <c r="H135" t="s">
        <v>103</v>
      </c>
      <c r="I135" s="22" t="s">
        <v>140</v>
      </c>
      <c r="J135">
        <v>1067614501</v>
      </c>
      <c r="K135" t="s">
        <v>106</v>
      </c>
      <c r="L135" t="s">
        <v>141</v>
      </c>
      <c r="M135">
        <v>9</v>
      </c>
      <c r="N135">
        <v>32</v>
      </c>
      <c r="O135">
        <v>32</v>
      </c>
      <c r="P135" t="s">
        <v>108</v>
      </c>
      <c r="Q135">
        <v>94640</v>
      </c>
      <c r="R135">
        <v>3028</v>
      </c>
      <c r="S135">
        <v>20141223</v>
      </c>
      <c r="T135">
        <v>0</v>
      </c>
      <c r="U135">
        <v>0</v>
      </c>
      <c r="V135">
        <v>3028</v>
      </c>
      <c r="W135" t="s">
        <v>109</v>
      </c>
      <c r="X135" t="s">
        <v>110</v>
      </c>
      <c r="AD135">
        <v>130</v>
      </c>
      <c r="AE135" s="24" t="s">
        <v>631</v>
      </c>
      <c r="AF135" s="24" t="s">
        <v>452</v>
      </c>
      <c r="AG135" s="24" t="s">
        <v>413</v>
      </c>
      <c r="AH135" s="24" t="s">
        <v>453</v>
      </c>
      <c r="AI135">
        <v>32</v>
      </c>
      <c r="AJ135">
        <v>94.64</v>
      </c>
      <c r="AK135" s="24" t="s">
        <v>268</v>
      </c>
      <c r="AL135" s="24" t="s">
        <v>269</v>
      </c>
      <c r="AM135" s="24" t="s">
        <v>507</v>
      </c>
      <c r="AN135" s="24" t="s">
        <v>270</v>
      </c>
      <c r="AO135" s="24" t="s">
        <v>631</v>
      </c>
    </row>
    <row r="136" spans="5:41" x14ac:dyDescent="0.25">
      <c r="E136">
        <v>2</v>
      </c>
      <c r="F136" t="s">
        <v>169</v>
      </c>
      <c r="G136">
        <v>12</v>
      </c>
      <c r="H136" t="s">
        <v>103</v>
      </c>
      <c r="I136" s="22" t="s">
        <v>140</v>
      </c>
      <c r="J136">
        <v>1068608501</v>
      </c>
      <c r="K136" t="s">
        <v>106</v>
      </c>
      <c r="L136" t="s">
        <v>141</v>
      </c>
      <c r="M136">
        <v>9</v>
      </c>
      <c r="N136">
        <v>64</v>
      </c>
      <c r="O136">
        <v>64</v>
      </c>
      <c r="P136" t="s">
        <v>108</v>
      </c>
      <c r="Q136">
        <v>94640</v>
      </c>
      <c r="R136">
        <v>6057</v>
      </c>
      <c r="S136">
        <v>20141225</v>
      </c>
      <c r="T136">
        <v>0</v>
      </c>
      <c r="U136">
        <v>0</v>
      </c>
      <c r="V136">
        <v>6057</v>
      </c>
      <c r="W136" t="s">
        <v>109</v>
      </c>
      <c r="X136" t="s">
        <v>110</v>
      </c>
      <c r="AD136">
        <v>131</v>
      </c>
      <c r="AE136" s="24" t="s">
        <v>632</v>
      </c>
      <c r="AG136" s="24" t="s">
        <v>454</v>
      </c>
      <c r="AH136" s="24" t="s">
        <v>455</v>
      </c>
      <c r="AI136">
        <v>32</v>
      </c>
      <c r="AJ136">
        <v>0</v>
      </c>
      <c r="AK136" s="24" t="s">
        <v>268</v>
      </c>
      <c r="AL136" s="24" t="s">
        <v>269</v>
      </c>
      <c r="AM136" s="24" t="s">
        <v>507</v>
      </c>
      <c r="AN136" s="24" t="s">
        <v>270</v>
      </c>
      <c r="AO136" s="24" t="s">
        <v>632</v>
      </c>
    </row>
    <row r="137" spans="5:41" x14ac:dyDescent="0.25">
      <c r="E137">
        <v>2</v>
      </c>
      <c r="F137" t="s">
        <v>169</v>
      </c>
      <c r="G137">
        <v>13</v>
      </c>
      <c r="H137" t="s">
        <v>103</v>
      </c>
      <c r="I137" s="22" t="s">
        <v>140</v>
      </c>
      <c r="J137">
        <v>1068111301</v>
      </c>
      <c r="K137" t="s">
        <v>106</v>
      </c>
      <c r="L137" t="s">
        <v>142</v>
      </c>
      <c r="M137">
        <v>9</v>
      </c>
      <c r="N137">
        <v>32</v>
      </c>
      <c r="O137">
        <v>32</v>
      </c>
      <c r="P137" t="s">
        <v>108</v>
      </c>
      <c r="Q137">
        <v>99880</v>
      </c>
      <c r="R137">
        <v>3196</v>
      </c>
      <c r="S137">
        <v>20141224</v>
      </c>
      <c r="T137">
        <v>0</v>
      </c>
      <c r="U137">
        <v>0</v>
      </c>
      <c r="V137">
        <v>3196</v>
      </c>
      <c r="W137" t="s">
        <v>109</v>
      </c>
      <c r="X137" t="s">
        <v>110</v>
      </c>
      <c r="AD137">
        <v>132</v>
      </c>
      <c r="AE137" s="24" t="s">
        <v>633</v>
      </c>
      <c r="AG137" s="24" t="s">
        <v>456</v>
      </c>
      <c r="AH137" s="24" t="s">
        <v>457</v>
      </c>
      <c r="AI137">
        <v>32</v>
      </c>
      <c r="AJ137">
        <v>0</v>
      </c>
      <c r="AK137" s="24" t="s">
        <v>268</v>
      </c>
      <c r="AL137" s="24" t="s">
        <v>269</v>
      </c>
      <c r="AM137" s="24" t="s">
        <v>507</v>
      </c>
      <c r="AN137" s="24" t="s">
        <v>270</v>
      </c>
      <c r="AO137" s="24" t="s">
        <v>633</v>
      </c>
    </row>
    <row r="138" spans="5:41" x14ac:dyDescent="0.25">
      <c r="E138">
        <v>2</v>
      </c>
      <c r="F138" t="s">
        <v>169</v>
      </c>
      <c r="G138">
        <v>14</v>
      </c>
      <c r="H138" t="s">
        <v>103</v>
      </c>
      <c r="I138" s="22" t="s">
        <v>140</v>
      </c>
      <c r="J138">
        <v>1070613001</v>
      </c>
      <c r="K138" t="s">
        <v>106</v>
      </c>
      <c r="L138" t="s">
        <v>142</v>
      </c>
      <c r="M138">
        <v>9</v>
      </c>
      <c r="N138">
        <v>32</v>
      </c>
      <c r="O138">
        <v>32</v>
      </c>
      <c r="P138" t="s">
        <v>108</v>
      </c>
      <c r="Q138">
        <v>99880</v>
      </c>
      <c r="R138">
        <v>3196</v>
      </c>
      <c r="S138">
        <v>20141231</v>
      </c>
      <c r="T138">
        <v>0</v>
      </c>
      <c r="U138">
        <v>0</v>
      </c>
      <c r="V138">
        <v>3196</v>
      </c>
      <c r="W138" t="s">
        <v>109</v>
      </c>
      <c r="X138" t="s">
        <v>110</v>
      </c>
      <c r="AD138">
        <v>133</v>
      </c>
      <c r="AE138" s="24" t="s">
        <v>634</v>
      </c>
      <c r="AG138" s="24" t="s">
        <v>458</v>
      </c>
      <c r="AH138" s="24" t="s">
        <v>459</v>
      </c>
      <c r="AI138">
        <v>64</v>
      </c>
      <c r="AJ138">
        <v>0</v>
      </c>
      <c r="AK138" s="24" t="s">
        <v>268</v>
      </c>
      <c r="AL138" s="24" t="s">
        <v>269</v>
      </c>
      <c r="AM138" s="24" t="s">
        <v>507</v>
      </c>
      <c r="AN138" s="24" t="s">
        <v>270</v>
      </c>
      <c r="AO138" s="24" t="s">
        <v>634</v>
      </c>
    </row>
    <row r="139" spans="5:41" x14ac:dyDescent="0.25">
      <c r="E139">
        <v>2</v>
      </c>
      <c r="F139" t="s">
        <v>169</v>
      </c>
      <c r="G139">
        <v>15</v>
      </c>
      <c r="H139" t="s">
        <v>103</v>
      </c>
      <c r="I139" s="22" t="s">
        <v>140</v>
      </c>
      <c r="J139">
        <v>1069350001</v>
      </c>
      <c r="K139" t="s">
        <v>106</v>
      </c>
      <c r="L139" t="s">
        <v>142</v>
      </c>
      <c r="M139">
        <v>9</v>
      </c>
      <c r="N139">
        <v>32</v>
      </c>
      <c r="O139">
        <v>32</v>
      </c>
      <c r="P139" t="s">
        <v>108</v>
      </c>
      <c r="Q139">
        <v>99880</v>
      </c>
      <c r="R139">
        <v>3196</v>
      </c>
      <c r="S139">
        <v>20141226</v>
      </c>
      <c r="T139">
        <v>0</v>
      </c>
      <c r="U139">
        <v>0</v>
      </c>
      <c r="V139">
        <v>3196</v>
      </c>
      <c r="W139" t="s">
        <v>109</v>
      </c>
      <c r="X139" t="s">
        <v>110</v>
      </c>
      <c r="AD139">
        <v>134</v>
      </c>
      <c r="AE139" s="24" t="s">
        <v>635</v>
      </c>
      <c r="AG139" s="24" t="s">
        <v>460</v>
      </c>
      <c r="AH139" s="24" t="s">
        <v>461</v>
      </c>
      <c r="AI139">
        <v>32</v>
      </c>
      <c r="AJ139">
        <v>0</v>
      </c>
      <c r="AK139" s="24" t="s">
        <v>279</v>
      </c>
      <c r="AL139" s="24" t="s">
        <v>269</v>
      </c>
      <c r="AM139" s="24" t="s">
        <v>507</v>
      </c>
      <c r="AN139" s="24" t="s">
        <v>280</v>
      </c>
      <c r="AO139" s="24" t="s">
        <v>635</v>
      </c>
    </row>
    <row r="140" spans="5:41" x14ac:dyDescent="0.25">
      <c r="E140">
        <v>2</v>
      </c>
      <c r="F140" t="s">
        <v>169</v>
      </c>
      <c r="G140">
        <v>16</v>
      </c>
      <c r="H140" t="s">
        <v>103</v>
      </c>
      <c r="I140" s="22" t="s">
        <v>144</v>
      </c>
      <c r="J140">
        <v>1066981801</v>
      </c>
      <c r="K140" t="s">
        <v>106</v>
      </c>
      <c r="L140" t="s">
        <v>145</v>
      </c>
      <c r="M140">
        <v>9</v>
      </c>
      <c r="N140">
        <v>36</v>
      </c>
      <c r="O140">
        <v>36</v>
      </c>
      <c r="P140" t="s">
        <v>108</v>
      </c>
      <c r="Q140">
        <v>2659050</v>
      </c>
      <c r="R140">
        <v>95726</v>
      </c>
      <c r="S140">
        <v>20141222</v>
      </c>
      <c r="T140">
        <v>0</v>
      </c>
      <c r="U140">
        <v>0</v>
      </c>
      <c r="V140">
        <v>95726</v>
      </c>
      <c r="W140" t="s">
        <v>109</v>
      </c>
      <c r="X140" t="s">
        <v>110</v>
      </c>
      <c r="AD140">
        <v>135</v>
      </c>
      <c r="AE140" s="24" t="s">
        <v>636</v>
      </c>
      <c r="AG140" s="24" t="s">
        <v>462</v>
      </c>
      <c r="AH140" s="24" t="s">
        <v>463</v>
      </c>
      <c r="AI140">
        <v>32</v>
      </c>
      <c r="AJ140">
        <v>0</v>
      </c>
      <c r="AK140" s="24" t="s">
        <v>279</v>
      </c>
      <c r="AL140" s="24" t="s">
        <v>269</v>
      </c>
      <c r="AM140" s="24" t="s">
        <v>507</v>
      </c>
      <c r="AN140" s="24" t="s">
        <v>280</v>
      </c>
      <c r="AO140" s="24" t="s">
        <v>636</v>
      </c>
    </row>
    <row r="141" spans="5:41" x14ac:dyDescent="0.25">
      <c r="E141">
        <v>2</v>
      </c>
      <c r="F141" t="s">
        <v>169</v>
      </c>
      <c r="G141">
        <v>17</v>
      </c>
      <c r="H141" t="s">
        <v>103</v>
      </c>
      <c r="I141" s="22" t="s">
        <v>144</v>
      </c>
      <c r="J141">
        <v>1069077601</v>
      </c>
      <c r="K141" t="s">
        <v>106</v>
      </c>
      <c r="L141" t="s">
        <v>145</v>
      </c>
      <c r="M141">
        <v>9</v>
      </c>
      <c r="N141">
        <v>36</v>
      </c>
      <c r="O141">
        <v>36</v>
      </c>
      <c r="P141" t="s">
        <v>108</v>
      </c>
      <c r="Q141">
        <v>2659050</v>
      </c>
      <c r="R141">
        <v>95726</v>
      </c>
      <c r="S141">
        <v>20141226</v>
      </c>
      <c r="T141">
        <v>0</v>
      </c>
      <c r="U141">
        <v>0</v>
      </c>
      <c r="V141">
        <v>95726</v>
      </c>
      <c r="W141" t="s">
        <v>109</v>
      </c>
      <c r="X141" t="s">
        <v>110</v>
      </c>
      <c r="AD141">
        <v>136</v>
      </c>
      <c r="AE141" s="24" t="s">
        <v>637</v>
      </c>
      <c r="AG141" s="24" t="s">
        <v>464</v>
      </c>
      <c r="AH141" s="24" t="s">
        <v>465</v>
      </c>
      <c r="AI141">
        <v>32</v>
      </c>
      <c r="AJ141">
        <v>0</v>
      </c>
      <c r="AK141" s="24" t="s">
        <v>279</v>
      </c>
      <c r="AL141" s="24" t="s">
        <v>269</v>
      </c>
      <c r="AM141" s="24" t="s">
        <v>507</v>
      </c>
      <c r="AN141" s="24" t="s">
        <v>280</v>
      </c>
      <c r="AO141" s="24" t="s">
        <v>637</v>
      </c>
    </row>
    <row r="142" spans="5:41" x14ac:dyDescent="0.25">
      <c r="E142">
        <v>2</v>
      </c>
      <c r="F142" t="s">
        <v>169</v>
      </c>
      <c r="G142">
        <v>18</v>
      </c>
      <c r="H142" t="s">
        <v>103</v>
      </c>
      <c r="I142" s="22" t="s">
        <v>144</v>
      </c>
      <c r="J142">
        <v>1070612901</v>
      </c>
      <c r="K142" t="s">
        <v>106</v>
      </c>
      <c r="L142" t="s">
        <v>145</v>
      </c>
      <c r="M142">
        <v>9</v>
      </c>
      <c r="N142">
        <v>12</v>
      </c>
      <c r="O142">
        <v>12</v>
      </c>
      <c r="P142" t="s">
        <v>108</v>
      </c>
      <c r="Q142">
        <v>2659050</v>
      </c>
      <c r="R142">
        <v>31909</v>
      </c>
      <c r="S142">
        <v>20141231</v>
      </c>
      <c r="T142">
        <v>0</v>
      </c>
      <c r="U142">
        <v>0</v>
      </c>
      <c r="V142">
        <v>31909</v>
      </c>
      <c r="W142" t="s">
        <v>109</v>
      </c>
      <c r="X142" t="s">
        <v>110</v>
      </c>
      <c r="AD142">
        <v>137</v>
      </c>
      <c r="AE142" s="24" t="s">
        <v>638</v>
      </c>
      <c r="AG142" s="24" t="s">
        <v>466</v>
      </c>
      <c r="AH142" s="24" t="s">
        <v>467</v>
      </c>
      <c r="AI142">
        <v>36</v>
      </c>
      <c r="AJ142">
        <v>0</v>
      </c>
      <c r="AK142" s="24" t="s">
        <v>309</v>
      </c>
      <c r="AL142" s="24" t="s">
        <v>326</v>
      </c>
      <c r="AM142" s="24" t="s">
        <v>507</v>
      </c>
      <c r="AN142" s="24" t="s">
        <v>311</v>
      </c>
      <c r="AO142" s="24" t="s">
        <v>638</v>
      </c>
    </row>
    <row r="143" spans="5:41" x14ac:dyDescent="0.25">
      <c r="E143">
        <v>2</v>
      </c>
      <c r="F143" t="s">
        <v>169</v>
      </c>
      <c r="G143">
        <v>19</v>
      </c>
      <c r="H143" t="s">
        <v>103</v>
      </c>
      <c r="I143" s="22" t="s">
        <v>144</v>
      </c>
      <c r="J143">
        <v>1067614701</v>
      </c>
      <c r="K143" t="s">
        <v>106</v>
      </c>
      <c r="L143" t="s">
        <v>145</v>
      </c>
      <c r="M143">
        <v>9</v>
      </c>
      <c r="N143">
        <v>24</v>
      </c>
      <c r="O143">
        <v>24</v>
      </c>
      <c r="P143" t="s">
        <v>108</v>
      </c>
      <c r="Q143">
        <v>2659050</v>
      </c>
      <c r="R143">
        <v>63817</v>
      </c>
      <c r="S143">
        <v>20141223</v>
      </c>
      <c r="T143">
        <v>0</v>
      </c>
      <c r="U143">
        <v>0</v>
      </c>
      <c r="V143">
        <v>63817</v>
      </c>
      <c r="W143" t="s">
        <v>109</v>
      </c>
      <c r="X143" t="s">
        <v>110</v>
      </c>
      <c r="AD143">
        <v>138</v>
      </c>
      <c r="AE143" s="24" t="s">
        <v>639</v>
      </c>
      <c r="AG143" s="24" t="s">
        <v>468</v>
      </c>
      <c r="AH143" s="24" t="s">
        <v>469</v>
      </c>
      <c r="AI143">
        <v>36</v>
      </c>
      <c r="AJ143">
        <v>0</v>
      </c>
      <c r="AK143" s="24" t="s">
        <v>309</v>
      </c>
      <c r="AL143" s="24" t="s">
        <v>326</v>
      </c>
      <c r="AM143" s="24" t="s">
        <v>507</v>
      </c>
      <c r="AN143" s="24" t="s">
        <v>311</v>
      </c>
      <c r="AO143" s="24" t="s">
        <v>639</v>
      </c>
    </row>
    <row r="144" spans="5:41" x14ac:dyDescent="0.25">
      <c r="E144">
        <v>2</v>
      </c>
      <c r="F144" t="s">
        <v>169</v>
      </c>
      <c r="G144">
        <v>20</v>
      </c>
      <c r="H144" t="s">
        <v>103</v>
      </c>
      <c r="I144" s="22" t="s">
        <v>144</v>
      </c>
      <c r="J144">
        <v>1068608101</v>
      </c>
      <c r="K144" t="s">
        <v>106</v>
      </c>
      <c r="L144" t="s">
        <v>145</v>
      </c>
      <c r="M144">
        <v>9</v>
      </c>
      <c r="N144">
        <v>48</v>
      </c>
      <c r="O144">
        <v>48</v>
      </c>
      <c r="P144" t="s">
        <v>108</v>
      </c>
      <c r="Q144">
        <v>2659050</v>
      </c>
      <c r="R144">
        <v>127634</v>
      </c>
      <c r="S144">
        <v>20141225</v>
      </c>
      <c r="T144">
        <v>0</v>
      </c>
      <c r="U144">
        <v>0</v>
      </c>
      <c r="V144">
        <v>127634</v>
      </c>
      <c r="W144" t="s">
        <v>109</v>
      </c>
      <c r="X144" t="s">
        <v>110</v>
      </c>
      <c r="AD144">
        <v>139</v>
      </c>
      <c r="AE144" s="24" t="s">
        <v>640</v>
      </c>
      <c r="AG144" s="24" t="s">
        <v>470</v>
      </c>
      <c r="AH144" s="24" t="s">
        <v>471</v>
      </c>
      <c r="AI144">
        <v>12</v>
      </c>
      <c r="AJ144">
        <v>0</v>
      </c>
      <c r="AK144" s="24" t="s">
        <v>309</v>
      </c>
      <c r="AL144" s="24" t="s">
        <v>326</v>
      </c>
      <c r="AM144" s="24" t="s">
        <v>507</v>
      </c>
      <c r="AN144" s="24" t="s">
        <v>311</v>
      </c>
      <c r="AO144" s="24" t="s">
        <v>640</v>
      </c>
    </row>
    <row r="145" spans="5:41" x14ac:dyDescent="0.25">
      <c r="E145">
        <v>2</v>
      </c>
      <c r="F145" t="s">
        <v>169</v>
      </c>
      <c r="G145">
        <v>21</v>
      </c>
      <c r="H145" t="s">
        <v>103</v>
      </c>
      <c r="I145" s="22" t="s">
        <v>144</v>
      </c>
      <c r="J145">
        <v>1068110701</v>
      </c>
      <c r="K145" t="s">
        <v>106</v>
      </c>
      <c r="L145" t="s">
        <v>145</v>
      </c>
      <c r="M145">
        <v>9</v>
      </c>
      <c r="N145">
        <v>36</v>
      </c>
      <c r="O145">
        <v>36</v>
      </c>
      <c r="P145" t="s">
        <v>108</v>
      </c>
      <c r="Q145">
        <v>2659050</v>
      </c>
      <c r="R145">
        <v>95726</v>
      </c>
      <c r="S145">
        <v>20141224</v>
      </c>
      <c r="T145">
        <v>0</v>
      </c>
      <c r="U145">
        <v>0</v>
      </c>
      <c r="V145">
        <v>95726</v>
      </c>
      <c r="W145" t="s">
        <v>109</v>
      </c>
      <c r="X145" t="s">
        <v>110</v>
      </c>
      <c r="AD145">
        <v>140</v>
      </c>
      <c r="AE145" s="24" t="s">
        <v>641</v>
      </c>
      <c r="AG145" s="24" t="s">
        <v>472</v>
      </c>
      <c r="AH145" s="24" t="s">
        <v>473</v>
      </c>
      <c r="AI145">
        <v>24</v>
      </c>
      <c r="AJ145">
        <v>0</v>
      </c>
      <c r="AK145" s="24" t="s">
        <v>309</v>
      </c>
      <c r="AL145" s="24" t="s">
        <v>326</v>
      </c>
      <c r="AM145" s="24" t="s">
        <v>507</v>
      </c>
      <c r="AN145" s="24" t="s">
        <v>311</v>
      </c>
      <c r="AO145" s="24" t="s">
        <v>641</v>
      </c>
    </row>
    <row r="146" spans="5:41" x14ac:dyDescent="0.25">
      <c r="E146">
        <v>2</v>
      </c>
      <c r="F146" t="s">
        <v>169</v>
      </c>
      <c r="G146">
        <v>22</v>
      </c>
      <c r="H146" t="s">
        <v>103</v>
      </c>
      <c r="I146" s="22" t="s">
        <v>117</v>
      </c>
      <c r="J146">
        <v>1068111201</v>
      </c>
      <c r="K146" t="s">
        <v>106</v>
      </c>
      <c r="L146" t="s">
        <v>119</v>
      </c>
      <c r="M146">
        <v>9</v>
      </c>
      <c r="N146">
        <v>40</v>
      </c>
      <c r="O146">
        <v>40</v>
      </c>
      <c r="P146" t="s">
        <v>108</v>
      </c>
      <c r="Q146">
        <v>2712810</v>
      </c>
      <c r="R146">
        <v>108512</v>
      </c>
      <c r="S146">
        <v>20141224</v>
      </c>
      <c r="T146">
        <v>0</v>
      </c>
      <c r="U146">
        <v>0</v>
      </c>
      <c r="V146">
        <v>108512</v>
      </c>
      <c r="W146" t="s">
        <v>109</v>
      </c>
      <c r="X146" t="s">
        <v>110</v>
      </c>
      <c r="AD146">
        <v>141</v>
      </c>
      <c r="AE146" s="24" t="s">
        <v>642</v>
      </c>
      <c r="AG146" s="24" t="s">
        <v>474</v>
      </c>
      <c r="AH146" s="24" t="s">
        <v>475</v>
      </c>
      <c r="AI146">
        <v>48</v>
      </c>
      <c r="AJ146">
        <v>0</v>
      </c>
      <c r="AK146" s="24" t="s">
        <v>309</v>
      </c>
      <c r="AL146" s="24" t="s">
        <v>326</v>
      </c>
      <c r="AM146" s="24" t="s">
        <v>507</v>
      </c>
      <c r="AN146" s="24" t="s">
        <v>311</v>
      </c>
      <c r="AO146" s="24" t="s">
        <v>642</v>
      </c>
    </row>
    <row r="147" spans="5:41" x14ac:dyDescent="0.25">
      <c r="E147">
        <v>2</v>
      </c>
      <c r="F147" t="s">
        <v>172</v>
      </c>
      <c r="G147">
        <v>1</v>
      </c>
      <c r="H147" t="s">
        <v>103</v>
      </c>
      <c r="I147" s="22" t="s">
        <v>149</v>
      </c>
      <c r="J147">
        <v>1066981901</v>
      </c>
      <c r="K147" t="s">
        <v>106</v>
      </c>
      <c r="L147" t="s">
        <v>173</v>
      </c>
      <c r="M147">
        <v>9</v>
      </c>
      <c r="N147">
        <v>5</v>
      </c>
      <c r="O147">
        <v>5</v>
      </c>
      <c r="P147" t="s">
        <v>108</v>
      </c>
      <c r="Q147">
        <v>632070</v>
      </c>
      <c r="R147">
        <v>3160</v>
      </c>
      <c r="S147">
        <v>20141222</v>
      </c>
      <c r="T147">
        <v>0</v>
      </c>
      <c r="U147">
        <v>0</v>
      </c>
      <c r="V147">
        <v>3160</v>
      </c>
      <c r="W147" t="s">
        <v>109</v>
      </c>
      <c r="X147" t="s">
        <v>110</v>
      </c>
      <c r="Y147">
        <v>3</v>
      </c>
      <c r="Z147">
        <v>35723</v>
      </c>
      <c r="AA147">
        <v>0</v>
      </c>
      <c r="AB147">
        <v>0</v>
      </c>
      <c r="AC147">
        <v>35723</v>
      </c>
      <c r="AD147">
        <v>142</v>
      </c>
      <c r="AE147" s="24" t="s">
        <v>643</v>
      </c>
      <c r="AG147" s="24" t="s">
        <v>476</v>
      </c>
      <c r="AH147" s="24" t="s">
        <v>477</v>
      </c>
      <c r="AI147">
        <v>36</v>
      </c>
      <c r="AJ147">
        <v>0</v>
      </c>
      <c r="AK147" s="24" t="s">
        <v>309</v>
      </c>
      <c r="AL147" s="24" t="s">
        <v>326</v>
      </c>
      <c r="AM147" s="24" t="s">
        <v>507</v>
      </c>
      <c r="AN147" s="24" t="s">
        <v>311</v>
      </c>
      <c r="AO147" s="24" t="s">
        <v>643</v>
      </c>
    </row>
    <row r="148" spans="5:41" x14ac:dyDescent="0.25">
      <c r="E148">
        <v>2</v>
      </c>
      <c r="F148" t="s">
        <v>172</v>
      </c>
      <c r="G148">
        <v>2</v>
      </c>
      <c r="H148" t="s">
        <v>103</v>
      </c>
      <c r="I148" s="22" t="s">
        <v>149</v>
      </c>
      <c r="J148">
        <v>1068608301</v>
      </c>
      <c r="K148" t="s">
        <v>106</v>
      </c>
      <c r="L148" t="s">
        <v>173</v>
      </c>
      <c r="M148">
        <v>9</v>
      </c>
      <c r="N148">
        <v>4</v>
      </c>
      <c r="O148">
        <v>4</v>
      </c>
      <c r="P148" t="s">
        <v>108</v>
      </c>
      <c r="Q148">
        <v>632070</v>
      </c>
      <c r="R148">
        <v>2528</v>
      </c>
      <c r="S148">
        <v>20141225</v>
      </c>
      <c r="T148">
        <v>0</v>
      </c>
      <c r="U148">
        <v>0</v>
      </c>
      <c r="V148">
        <v>2528</v>
      </c>
      <c r="W148" t="s">
        <v>109</v>
      </c>
      <c r="X148" t="s">
        <v>110</v>
      </c>
      <c r="AD148">
        <v>143</v>
      </c>
      <c r="AE148" s="24" t="s">
        <v>644</v>
      </c>
      <c r="AG148" s="24" t="s">
        <v>478</v>
      </c>
      <c r="AH148" s="24" t="s">
        <v>479</v>
      </c>
      <c r="AI148">
        <v>40</v>
      </c>
      <c r="AJ148">
        <v>0</v>
      </c>
      <c r="AK148" s="24" t="s">
        <v>480</v>
      </c>
      <c r="AL148" s="24" t="s">
        <v>384</v>
      </c>
      <c r="AM148" s="24" t="s">
        <v>507</v>
      </c>
      <c r="AN148" s="24" t="s">
        <v>481</v>
      </c>
      <c r="AO148" s="24" t="s">
        <v>644</v>
      </c>
    </row>
    <row r="149" spans="5:41" x14ac:dyDescent="0.25">
      <c r="E149">
        <v>2</v>
      </c>
      <c r="F149" t="s">
        <v>172</v>
      </c>
      <c r="G149">
        <v>3</v>
      </c>
      <c r="H149" t="s">
        <v>103</v>
      </c>
      <c r="I149" s="22" t="s">
        <v>149</v>
      </c>
      <c r="J149">
        <v>1069078101</v>
      </c>
      <c r="K149" t="s">
        <v>106</v>
      </c>
      <c r="L149" t="s">
        <v>173</v>
      </c>
      <c r="M149">
        <v>9</v>
      </c>
      <c r="N149">
        <v>2</v>
      </c>
      <c r="O149">
        <v>2</v>
      </c>
      <c r="P149" t="s">
        <v>108</v>
      </c>
      <c r="Q149">
        <v>632070</v>
      </c>
      <c r="R149">
        <v>1264</v>
      </c>
      <c r="S149">
        <v>20141226</v>
      </c>
      <c r="T149">
        <v>0</v>
      </c>
      <c r="U149">
        <v>0</v>
      </c>
      <c r="V149">
        <v>1264</v>
      </c>
      <c r="W149" t="s">
        <v>109</v>
      </c>
      <c r="X149" t="s">
        <v>110</v>
      </c>
      <c r="AD149">
        <v>144</v>
      </c>
      <c r="AE149" s="24" t="s">
        <v>645</v>
      </c>
      <c r="AF149" s="24" t="s">
        <v>337</v>
      </c>
      <c r="AG149" s="24" t="s">
        <v>482</v>
      </c>
      <c r="AH149" s="24" t="s">
        <v>483</v>
      </c>
      <c r="AI149">
        <v>5</v>
      </c>
      <c r="AJ149">
        <v>632.07000000000005</v>
      </c>
      <c r="AK149" s="24" t="s">
        <v>484</v>
      </c>
      <c r="AL149" s="24" t="s">
        <v>599</v>
      </c>
      <c r="AM149" s="24" t="s">
        <v>507</v>
      </c>
      <c r="AN149" s="24" t="s">
        <v>485</v>
      </c>
      <c r="AO149" s="24" t="s">
        <v>645</v>
      </c>
    </row>
    <row r="150" spans="5:41" x14ac:dyDescent="0.25">
      <c r="E150">
        <v>2</v>
      </c>
      <c r="F150" t="s">
        <v>172</v>
      </c>
      <c r="G150">
        <v>4</v>
      </c>
      <c r="H150" t="s">
        <v>103</v>
      </c>
      <c r="I150" s="22" t="s">
        <v>149</v>
      </c>
      <c r="J150">
        <v>1067614601</v>
      </c>
      <c r="K150" t="s">
        <v>106</v>
      </c>
      <c r="L150" t="s">
        <v>173</v>
      </c>
      <c r="M150">
        <v>9</v>
      </c>
      <c r="N150">
        <v>8</v>
      </c>
      <c r="O150">
        <v>8</v>
      </c>
      <c r="P150" t="s">
        <v>108</v>
      </c>
      <c r="Q150">
        <v>632070</v>
      </c>
      <c r="R150">
        <v>5057</v>
      </c>
      <c r="S150">
        <v>20141223</v>
      </c>
      <c r="T150">
        <v>0</v>
      </c>
      <c r="U150">
        <v>0</v>
      </c>
      <c r="V150">
        <v>5057</v>
      </c>
      <c r="W150" t="s">
        <v>109</v>
      </c>
      <c r="X150" t="s">
        <v>110</v>
      </c>
      <c r="AD150">
        <v>145</v>
      </c>
      <c r="AE150" s="24" t="s">
        <v>646</v>
      </c>
      <c r="AF150" s="24" t="s">
        <v>337</v>
      </c>
      <c r="AG150" s="24" t="s">
        <v>482</v>
      </c>
      <c r="AH150" s="24" t="s">
        <v>486</v>
      </c>
      <c r="AI150">
        <v>4</v>
      </c>
      <c r="AJ150">
        <v>632.07000000000005</v>
      </c>
      <c r="AK150" s="24" t="s">
        <v>484</v>
      </c>
      <c r="AL150" s="24" t="s">
        <v>599</v>
      </c>
      <c r="AM150" s="24" t="s">
        <v>507</v>
      </c>
      <c r="AN150" s="24" t="s">
        <v>485</v>
      </c>
      <c r="AO150" s="24" t="s">
        <v>646</v>
      </c>
    </row>
    <row r="151" spans="5:41" x14ac:dyDescent="0.25">
      <c r="E151">
        <v>2</v>
      </c>
      <c r="F151" t="s">
        <v>172</v>
      </c>
      <c r="G151">
        <v>5</v>
      </c>
      <c r="H151" t="s">
        <v>103</v>
      </c>
      <c r="I151" s="22" t="s">
        <v>149</v>
      </c>
      <c r="J151">
        <v>1068110901</v>
      </c>
      <c r="K151" t="s">
        <v>106</v>
      </c>
      <c r="L151" t="s">
        <v>173</v>
      </c>
      <c r="M151">
        <v>9</v>
      </c>
      <c r="N151">
        <v>4</v>
      </c>
      <c r="O151">
        <v>4</v>
      </c>
      <c r="P151" t="s">
        <v>108</v>
      </c>
      <c r="Q151">
        <v>632070</v>
      </c>
      <c r="R151">
        <v>2528</v>
      </c>
      <c r="S151">
        <v>20141224</v>
      </c>
      <c r="T151">
        <v>0</v>
      </c>
      <c r="U151">
        <v>0</v>
      </c>
      <c r="V151">
        <v>2528</v>
      </c>
      <c r="W151" t="s">
        <v>109</v>
      </c>
      <c r="X151" t="s">
        <v>110</v>
      </c>
      <c r="AD151">
        <v>146</v>
      </c>
      <c r="AE151" s="24" t="s">
        <v>647</v>
      </c>
      <c r="AF151" s="24" t="s">
        <v>337</v>
      </c>
      <c r="AG151" s="24" t="s">
        <v>487</v>
      </c>
      <c r="AH151" s="24" t="s">
        <v>488</v>
      </c>
      <c r="AI151">
        <v>2</v>
      </c>
      <c r="AJ151">
        <v>632.07000000000005</v>
      </c>
      <c r="AK151" s="24" t="s">
        <v>484</v>
      </c>
      <c r="AL151" s="24" t="s">
        <v>599</v>
      </c>
      <c r="AM151" s="24" t="s">
        <v>507</v>
      </c>
      <c r="AN151" s="24" t="s">
        <v>485</v>
      </c>
      <c r="AO151" s="24" t="s">
        <v>647</v>
      </c>
    </row>
    <row r="152" spans="5:41" x14ac:dyDescent="0.25">
      <c r="E152">
        <v>2</v>
      </c>
      <c r="F152" t="s">
        <v>172</v>
      </c>
      <c r="G152">
        <v>6</v>
      </c>
      <c r="H152" t="s">
        <v>103</v>
      </c>
      <c r="I152" s="22" t="s">
        <v>123</v>
      </c>
      <c r="J152">
        <v>1067250901</v>
      </c>
      <c r="K152" t="s">
        <v>106</v>
      </c>
      <c r="L152" t="s">
        <v>152</v>
      </c>
      <c r="M152">
        <v>9</v>
      </c>
      <c r="N152">
        <v>40</v>
      </c>
      <c r="O152">
        <v>40</v>
      </c>
      <c r="P152" t="s">
        <v>108</v>
      </c>
      <c r="Q152">
        <v>240100</v>
      </c>
      <c r="R152">
        <v>9604</v>
      </c>
      <c r="S152">
        <v>20141231</v>
      </c>
      <c r="T152">
        <v>0</v>
      </c>
      <c r="U152">
        <v>0</v>
      </c>
      <c r="V152">
        <v>9604</v>
      </c>
      <c r="W152" t="s">
        <v>109</v>
      </c>
      <c r="X152" t="s">
        <v>110</v>
      </c>
      <c r="AD152">
        <v>147</v>
      </c>
      <c r="AE152" s="24" t="s">
        <v>648</v>
      </c>
      <c r="AF152" s="24" t="s">
        <v>337</v>
      </c>
      <c r="AG152" s="24" t="s">
        <v>482</v>
      </c>
      <c r="AH152" s="24" t="s">
        <v>489</v>
      </c>
      <c r="AI152">
        <v>8</v>
      </c>
      <c r="AJ152">
        <v>632.07000000000005</v>
      </c>
      <c r="AK152" s="24" t="s">
        <v>484</v>
      </c>
      <c r="AL152" s="24" t="s">
        <v>599</v>
      </c>
      <c r="AM152" s="24" t="s">
        <v>507</v>
      </c>
      <c r="AN152" s="24" t="s">
        <v>485</v>
      </c>
      <c r="AO152" s="24" t="s">
        <v>648</v>
      </c>
    </row>
    <row r="153" spans="5:41" x14ac:dyDescent="0.25">
      <c r="E153">
        <v>2</v>
      </c>
      <c r="F153" t="s">
        <v>172</v>
      </c>
      <c r="G153">
        <v>7</v>
      </c>
      <c r="H153" t="s">
        <v>103</v>
      </c>
      <c r="I153" s="22" t="s">
        <v>123</v>
      </c>
      <c r="J153">
        <v>1067250801</v>
      </c>
      <c r="K153" t="s">
        <v>106</v>
      </c>
      <c r="L153" t="s">
        <v>153</v>
      </c>
      <c r="M153">
        <v>9</v>
      </c>
      <c r="N153">
        <v>40</v>
      </c>
      <c r="O153">
        <v>40</v>
      </c>
      <c r="P153" t="s">
        <v>108</v>
      </c>
      <c r="Q153">
        <v>55290</v>
      </c>
      <c r="R153">
        <v>2212</v>
      </c>
      <c r="S153">
        <v>20141231</v>
      </c>
      <c r="T153">
        <v>0</v>
      </c>
      <c r="U153">
        <v>0</v>
      </c>
      <c r="V153">
        <v>2212</v>
      </c>
      <c r="W153" t="s">
        <v>109</v>
      </c>
      <c r="X153" t="s">
        <v>110</v>
      </c>
      <c r="AD153">
        <v>148</v>
      </c>
      <c r="AE153" s="24" t="s">
        <v>649</v>
      </c>
      <c r="AF153" s="24" t="s">
        <v>337</v>
      </c>
      <c r="AG153" s="24" t="s">
        <v>482</v>
      </c>
      <c r="AH153" s="24" t="s">
        <v>490</v>
      </c>
      <c r="AI153">
        <v>4</v>
      </c>
      <c r="AJ153">
        <v>632.07000000000005</v>
      </c>
      <c r="AK153" s="24" t="s">
        <v>484</v>
      </c>
      <c r="AL153" s="24" t="s">
        <v>599</v>
      </c>
      <c r="AM153" s="24" t="s">
        <v>507</v>
      </c>
      <c r="AN153" s="24" t="s">
        <v>485</v>
      </c>
      <c r="AO153" s="24" t="s">
        <v>649</v>
      </c>
    </row>
    <row r="154" spans="5:41" x14ac:dyDescent="0.25">
      <c r="E154">
        <v>2</v>
      </c>
      <c r="F154" t="s">
        <v>172</v>
      </c>
      <c r="G154">
        <v>8</v>
      </c>
      <c r="H154" t="s">
        <v>103</v>
      </c>
      <c r="I154" s="22" t="s">
        <v>140</v>
      </c>
      <c r="J154">
        <v>1066981401</v>
      </c>
      <c r="K154" t="s">
        <v>106</v>
      </c>
      <c r="L154" t="s">
        <v>156</v>
      </c>
      <c r="M154">
        <v>9</v>
      </c>
      <c r="N154">
        <v>100</v>
      </c>
      <c r="O154">
        <v>100</v>
      </c>
      <c r="P154" t="s">
        <v>108</v>
      </c>
      <c r="Q154">
        <v>18740</v>
      </c>
      <c r="R154">
        <v>1874</v>
      </c>
      <c r="S154">
        <v>20141222</v>
      </c>
      <c r="T154">
        <v>0</v>
      </c>
      <c r="U154">
        <v>0</v>
      </c>
      <c r="V154">
        <v>1874</v>
      </c>
      <c r="W154" t="s">
        <v>109</v>
      </c>
      <c r="X154" t="s">
        <v>110</v>
      </c>
      <c r="AD154">
        <v>149</v>
      </c>
      <c r="AE154" s="24" t="s">
        <v>650</v>
      </c>
      <c r="AG154" s="24" t="s">
        <v>491</v>
      </c>
      <c r="AH154" s="24" t="s">
        <v>492</v>
      </c>
      <c r="AI154">
        <v>40</v>
      </c>
      <c r="AJ154">
        <v>0</v>
      </c>
      <c r="AK154" s="24" t="s">
        <v>350</v>
      </c>
      <c r="AL154" s="24" t="s">
        <v>507</v>
      </c>
      <c r="AM154" s="24" t="s">
        <v>507</v>
      </c>
      <c r="AN154" s="24" t="s">
        <v>351</v>
      </c>
      <c r="AO154" s="24" t="s">
        <v>650</v>
      </c>
    </row>
    <row r="155" spans="5:41" x14ac:dyDescent="0.25">
      <c r="E155">
        <v>2</v>
      </c>
      <c r="F155" t="s">
        <v>172</v>
      </c>
      <c r="G155">
        <v>9</v>
      </c>
      <c r="H155" t="s">
        <v>103</v>
      </c>
      <c r="I155" s="22" t="s">
        <v>140</v>
      </c>
      <c r="J155">
        <v>1069350301</v>
      </c>
      <c r="K155" t="s">
        <v>106</v>
      </c>
      <c r="L155" t="s">
        <v>156</v>
      </c>
      <c r="M155">
        <v>9</v>
      </c>
      <c r="N155">
        <v>100</v>
      </c>
      <c r="O155">
        <v>100</v>
      </c>
      <c r="P155" t="s">
        <v>108</v>
      </c>
      <c r="Q155">
        <v>18740</v>
      </c>
      <c r="R155">
        <v>1874</v>
      </c>
      <c r="S155">
        <v>20141226</v>
      </c>
      <c r="T155">
        <v>0</v>
      </c>
      <c r="U155">
        <v>0</v>
      </c>
      <c r="V155">
        <v>1874</v>
      </c>
      <c r="W155" t="s">
        <v>109</v>
      </c>
      <c r="X155" t="s">
        <v>110</v>
      </c>
      <c r="AD155">
        <v>150</v>
      </c>
      <c r="AE155" s="24" t="s">
        <v>651</v>
      </c>
      <c r="AG155" s="24" t="s">
        <v>493</v>
      </c>
      <c r="AH155" s="24" t="s">
        <v>494</v>
      </c>
      <c r="AI155">
        <v>40</v>
      </c>
      <c r="AJ155">
        <v>0</v>
      </c>
      <c r="AK155" s="24" t="s">
        <v>356</v>
      </c>
      <c r="AL155" s="24" t="s">
        <v>584</v>
      </c>
      <c r="AM155" s="24" t="s">
        <v>507</v>
      </c>
      <c r="AN155" s="24" t="s">
        <v>357</v>
      </c>
      <c r="AO155" s="24" t="s">
        <v>651</v>
      </c>
    </row>
    <row r="156" spans="5:41" x14ac:dyDescent="0.25">
      <c r="E156">
        <v>2</v>
      </c>
      <c r="F156" t="s">
        <v>172</v>
      </c>
      <c r="G156">
        <v>10</v>
      </c>
      <c r="H156" t="s">
        <v>103</v>
      </c>
      <c r="I156" s="22" t="s">
        <v>140</v>
      </c>
      <c r="J156">
        <v>1068608201</v>
      </c>
      <c r="K156" t="s">
        <v>106</v>
      </c>
      <c r="L156" t="s">
        <v>156</v>
      </c>
      <c r="M156">
        <v>9</v>
      </c>
      <c r="N156">
        <v>100</v>
      </c>
      <c r="O156">
        <v>100</v>
      </c>
      <c r="P156" t="s">
        <v>108</v>
      </c>
      <c r="Q156">
        <v>18740</v>
      </c>
      <c r="R156">
        <v>1874</v>
      </c>
      <c r="S156">
        <v>20141225</v>
      </c>
      <c r="T156">
        <v>0</v>
      </c>
      <c r="U156">
        <v>0</v>
      </c>
      <c r="V156">
        <v>1874</v>
      </c>
      <c r="W156" t="s">
        <v>109</v>
      </c>
      <c r="X156" t="s">
        <v>110</v>
      </c>
      <c r="AD156">
        <v>151</v>
      </c>
      <c r="AE156" s="24" t="s">
        <v>652</v>
      </c>
      <c r="AG156" s="24" t="s">
        <v>495</v>
      </c>
      <c r="AH156" s="24" t="s">
        <v>496</v>
      </c>
      <c r="AI156">
        <v>100</v>
      </c>
      <c r="AJ156">
        <v>0</v>
      </c>
      <c r="AK156" s="24" t="s">
        <v>362</v>
      </c>
      <c r="AL156" s="24" t="s">
        <v>363</v>
      </c>
      <c r="AM156" s="24" t="s">
        <v>507</v>
      </c>
      <c r="AN156" s="24" t="s">
        <v>364</v>
      </c>
      <c r="AO156" s="24" t="s">
        <v>652</v>
      </c>
    </row>
    <row r="157" spans="5:41" x14ac:dyDescent="0.25">
      <c r="E157">
        <v>2</v>
      </c>
      <c r="F157" t="s">
        <v>172</v>
      </c>
      <c r="G157">
        <v>11</v>
      </c>
      <c r="H157" t="s">
        <v>103</v>
      </c>
      <c r="I157" s="22" t="s">
        <v>140</v>
      </c>
      <c r="J157">
        <v>1069350101</v>
      </c>
      <c r="K157" t="s">
        <v>106</v>
      </c>
      <c r="L157" t="s">
        <v>156</v>
      </c>
      <c r="M157">
        <v>9</v>
      </c>
      <c r="N157">
        <v>100</v>
      </c>
      <c r="O157">
        <v>100</v>
      </c>
      <c r="P157" t="s">
        <v>108</v>
      </c>
      <c r="Q157">
        <v>18740</v>
      </c>
      <c r="R157">
        <v>1874</v>
      </c>
      <c r="S157">
        <v>20141226</v>
      </c>
      <c r="T157">
        <v>0</v>
      </c>
      <c r="U157">
        <v>0</v>
      </c>
      <c r="V157">
        <v>1874</v>
      </c>
      <c r="W157" t="s">
        <v>109</v>
      </c>
      <c r="X157" t="s">
        <v>110</v>
      </c>
      <c r="AD157">
        <v>152</v>
      </c>
      <c r="AE157" s="24" t="s">
        <v>653</v>
      </c>
      <c r="AG157" s="24" t="s">
        <v>497</v>
      </c>
      <c r="AH157" s="24" t="s">
        <v>498</v>
      </c>
      <c r="AI157">
        <v>100</v>
      </c>
      <c r="AJ157">
        <v>0</v>
      </c>
      <c r="AK157" s="24" t="s">
        <v>362</v>
      </c>
      <c r="AL157" s="24" t="s">
        <v>363</v>
      </c>
      <c r="AM157" s="24" t="s">
        <v>507</v>
      </c>
      <c r="AN157" s="24" t="s">
        <v>364</v>
      </c>
      <c r="AO157" s="24" t="s">
        <v>653</v>
      </c>
    </row>
    <row r="158" spans="5:41" x14ac:dyDescent="0.25">
      <c r="E158">
        <v>2</v>
      </c>
      <c r="F158" t="s">
        <v>172</v>
      </c>
      <c r="G158">
        <v>12</v>
      </c>
      <c r="H158" t="s">
        <v>103</v>
      </c>
      <c r="I158" s="22" t="s">
        <v>140</v>
      </c>
      <c r="J158">
        <v>1070612801</v>
      </c>
      <c r="K158" t="s">
        <v>106</v>
      </c>
      <c r="L158" t="s">
        <v>156</v>
      </c>
      <c r="M158">
        <v>9</v>
      </c>
      <c r="N158">
        <v>100</v>
      </c>
      <c r="O158">
        <v>100</v>
      </c>
      <c r="P158" t="s">
        <v>108</v>
      </c>
      <c r="Q158">
        <v>18740</v>
      </c>
      <c r="R158">
        <v>1874</v>
      </c>
      <c r="S158">
        <v>20141231</v>
      </c>
      <c r="T158">
        <v>0</v>
      </c>
      <c r="U158">
        <v>0</v>
      </c>
      <c r="V158">
        <v>1874</v>
      </c>
      <c r="W158" t="s">
        <v>109</v>
      </c>
      <c r="X158" t="s">
        <v>110</v>
      </c>
      <c r="AD158">
        <v>153</v>
      </c>
      <c r="AE158" s="24" t="s">
        <v>654</v>
      </c>
      <c r="AG158" s="24" t="s">
        <v>499</v>
      </c>
      <c r="AH158" s="24" t="s">
        <v>500</v>
      </c>
      <c r="AI158">
        <v>100</v>
      </c>
      <c r="AJ158">
        <v>0</v>
      </c>
      <c r="AK158" s="24" t="s">
        <v>362</v>
      </c>
      <c r="AL158" s="24" t="s">
        <v>363</v>
      </c>
      <c r="AM158" s="24" t="s">
        <v>507</v>
      </c>
      <c r="AN158" s="24" t="s">
        <v>364</v>
      </c>
      <c r="AO158" s="24" t="s">
        <v>654</v>
      </c>
    </row>
    <row r="159" spans="5:41" x14ac:dyDescent="0.25">
      <c r="AD159">
        <v>154</v>
      </c>
      <c r="AE159" s="24" t="s">
        <v>655</v>
      </c>
      <c r="AG159" s="24" t="s">
        <v>501</v>
      </c>
      <c r="AH159" s="24" t="s">
        <v>502</v>
      </c>
      <c r="AI159">
        <v>100</v>
      </c>
      <c r="AJ159">
        <v>0</v>
      </c>
      <c r="AK159" s="24" t="s">
        <v>362</v>
      </c>
      <c r="AL159" s="24" t="s">
        <v>363</v>
      </c>
      <c r="AM159" s="24" t="s">
        <v>507</v>
      </c>
      <c r="AN159" s="24" t="s">
        <v>364</v>
      </c>
      <c r="AO159" s="24" t="s">
        <v>655</v>
      </c>
    </row>
    <row r="160" spans="5:41" x14ac:dyDescent="0.25">
      <c r="AD160">
        <v>155</v>
      </c>
      <c r="AE160" s="24" t="s">
        <v>656</v>
      </c>
      <c r="AG160" s="24" t="s">
        <v>503</v>
      </c>
      <c r="AH160" s="24" t="s">
        <v>504</v>
      </c>
      <c r="AI160">
        <v>100</v>
      </c>
      <c r="AJ160">
        <v>0</v>
      </c>
      <c r="AK160" s="24" t="s">
        <v>362</v>
      </c>
      <c r="AL160" s="24" t="s">
        <v>363</v>
      </c>
      <c r="AM160" s="24" t="s">
        <v>507</v>
      </c>
      <c r="AN160" s="24" t="s">
        <v>364</v>
      </c>
      <c r="AO160" s="24" t="s">
        <v>656</v>
      </c>
    </row>
  </sheetData>
  <phoneticPr fontId="3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讀取對帳單資料_Click">
                <anchor moveWithCells="1" sizeWithCells="1">
                  <from>
                    <xdr:col>13</xdr:col>
                    <xdr:colOff>38100</xdr:colOff>
                    <xdr:row>0</xdr:row>
                    <xdr:rowOff>19050</xdr:rowOff>
                  </from>
                  <to>
                    <xdr:col>14</xdr:col>
                    <xdr:colOff>762000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58"/>
  <sheetViews>
    <sheetView topLeftCell="A119" workbookViewId="0">
      <selection activeCell="A131" sqref="A131:XFD131"/>
    </sheetView>
  </sheetViews>
  <sheetFormatPr defaultRowHeight="16.5" x14ac:dyDescent="0.25"/>
  <cols>
    <col min="1" max="1" width="9" style="12"/>
    <col min="2" max="2" width="10.625" customWidth="1"/>
    <col min="3" max="3" width="36.75" customWidth="1"/>
    <col min="4" max="4" width="25" customWidth="1"/>
  </cols>
  <sheetData>
    <row r="1" spans="1:4" x14ac:dyDescent="0.25">
      <c r="B1" s="9" t="s">
        <v>68</v>
      </c>
    </row>
    <row r="2" spans="1:4" x14ac:dyDescent="0.25">
      <c r="B2" s="18">
        <v>6</v>
      </c>
    </row>
    <row r="3" spans="1:4" x14ac:dyDescent="0.25">
      <c r="B3" s="8" t="s">
        <v>45</v>
      </c>
      <c r="C3" t="str">
        <f>"select a.*, b.* from ("</f>
        <v>select a.*, b.* from (</v>
      </c>
      <c r="D3" t="s">
        <v>174</v>
      </c>
    </row>
    <row r="4" spans="1:4" x14ac:dyDescent="0.25">
      <c r="A4" s="12">
        <v>1</v>
      </c>
      <c r="B4" t="s">
        <v>105</v>
      </c>
      <c r="C4" t="str">
        <f>"select item=" &amp; A4 &amp; ", shipno='" &amp; B4 &amp; "'"</f>
        <v>select item=1, shipno='BD03364601'</v>
      </c>
    </row>
    <row r="5" spans="1:4" x14ac:dyDescent="0.25">
      <c r="A5" s="12">
        <v>2</v>
      </c>
      <c r="B5" t="s">
        <v>112</v>
      </c>
      <c r="C5" t="str">
        <f>"union all  select item=" &amp; A5 &amp; ", shipno='" &amp; B5 &amp; "'"</f>
        <v>union all  select item=2, shipno='BD03364701'</v>
      </c>
    </row>
    <row r="6" spans="1:4" x14ac:dyDescent="0.25">
      <c r="A6" s="12">
        <v>3</v>
      </c>
      <c r="B6" t="s">
        <v>115</v>
      </c>
      <c r="C6" t="str">
        <f t="shared" ref="C6:C69" si="0">"union all  select item=" &amp; A6 &amp; ", shipno='" &amp; B6 &amp; "'"</f>
        <v>union all  select item=3, shipno='AD01481701'</v>
      </c>
    </row>
    <row r="7" spans="1:4" x14ac:dyDescent="0.25">
      <c r="A7" s="12">
        <v>4</v>
      </c>
      <c r="B7" t="s">
        <v>118</v>
      </c>
      <c r="C7" t="str">
        <f t="shared" si="0"/>
        <v>union all  select item=4, shipno='BD03364801'</v>
      </c>
    </row>
    <row r="8" spans="1:4" x14ac:dyDescent="0.25">
      <c r="A8" s="12">
        <v>5</v>
      </c>
      <c r="B8" t="s">
        <v>121</v>
      </c>
      <c r="C8" t="str">
        <f t="shared" si="0"/>
        <v>union all  select item=5, shipno='BD03364901'</v>
      </c>
    </row>
    <row r="9" spans="1:4" x14ac:dyDescent="0.25">
      <c r="A9" s="12">
        <v>6</v>
      </c>
      <c r="B9" t="s">
        <v>124</v>
      </c>
      <c r="C9" t="str">
        <f t="shared" si="0"/>
        <v>union all  select item=6, shipno='BD03429201'</v>
      </c>
    </row>
    <row r="10" spans="1:4" x14ac:dyDescent="0.25">
      <c r="A10" s="12">
        <v>7</v>
      </c>
      <c r="B10" t="s">
        <v>127</v>
      </c>
      <c r="C10" t="str">
        <f t="shared" si="0"/>
        <v>union all  select item=7, shipno='BD03365001'</v>
      </c>
    </row>
    <row r="11" spans="1:4" x14ac:dyDescent="0.25">
      <c r="A11" s="12">
        <v>8</v>
      </c>
      <c r="B11" t="s">
        <v>130</v>
      </c>
      <c r="C11" t="str">
        <f t="shared" si="0"/>
        <v>union all  select item=8, shipno='AD01575101'</v>
      </c>
    </row>
    <row r="12" spans="1:4" x14ac:dyDescent="0.25">
      <c r="A12" s="12">
        <v>9</v>
      </c>
      <c r="B12" t="s">
        <v>133</v>
      </c>
      <c r="C12" t="str">
        <f t="shared" si="0"/>
        <v>union all  select item=9, shipno='AD01537501'</v>
      </c>
    </row>
    <row r="13" spans="1:4" x14ac:dyDescent="0.25">
      <c r="A13" s="12">
        <v>10</v>
      </c>
      <c r="B13">
        <v>1059709601</v>
      </c>
      <c r="C13" t="str">
        <f t="shared" si="0"/>
        <v>union all  select item=10, shipno='1059709601'</v>
      </c>
    </row>
    <row r="14" spans="1:4" x14ac:dyDescent="0.25">
      <c r="A14" s="12">
        <v>11</v>
      </c>
      <c r="B14">
        <v>1060943601</v>
      </c>
      <c r="C14" t="str">
        <f t="shared" si="0"/>
        <v>union all  select item=11, shipno='1060943601'</v>
      </c>
    </row>
    <row r="15" spans="1:4" x14ac:dyDescent="0.25">
      <c r="A15" s="12">
        <v>12</v>
      </c>
      <c r="B15">
        <v>1059229811</v>
      </c>
      <c r="C15" t="str">
        <f t="shared" si="0"/>
        <v>union all  select item=12, shipno='1059229811'</v>
      </c>
    </row>
    <row r="16" spans="1:4" x14ac:dyDescent="0.25">
      <c r="A16" s="12">
        <v>13</v>
      </c>
      <c r="B16">
        <v>1060537001</v>
      </c>
      <c r="C16" t="str">
        <f t="shared" si="0"/>
        <v>union all  select item=13, shipno='1060537001'</v>
      </c>
    </row>
    <row r="17" spans="1:3" x14ac:dyDescent="0.25">
      <c r="A17" s="12">
        <v>14</v>
      </c>
      <c r="B17">
        <v>1061360901</v>
      </c>
      <c r="C17" t="str">
        <f t="shared" si="0"/>
        <v>union all  select item=14, shipno='1061360901'</v>
      </c>
    </row>
    <row r="18" spans="1:3" x14ac:dyDescent="0.25">
      <c r="A18" s="12">
        <v>15</v>
      </c>
      <c r="B18">
        <v>1066538901</v>
      </c>
      <c r="C18" t="str">
        <f t="shared" si="0"/>
        <v>union all  select item=15, shipno='1066538901'</v>
      </c>
    </row>
    <row r="19" spans="1:3" x14ac:dyDescent="0.25">
      <c r="A19" s="12">
        <v>16</v>
      </c>
      <c r="B19">
        <v>1066131801</v>
      </c>
      <c r="C19" t="str">
        <f t="shared" si="0"/>
        <v>union all  select item=16, shipno='1066131801'</v>
      </c>
    </row>
    <row r="20" spans="1:3" x14ac:dyDescent="0.25">
      <c r="A20" s="12">
        <v>17</v>
      </c>
      <c r="B20">
        <v>1063874001</v>
      </c>
      <c r="C20" t="str">
        <f t="shared" si="0"/>
        <v>union all  select item=17, shipno='1063874001'</v>
      </c>
    </row>
    <row r="21" spans="1:3" x14ac:dyDescent="0.25">
      <c r="A21" s="12">
        <v>18</v>
      </c>
      <c r="B21">
        <v>1066539001</v>
      </c>
      <c r="C21" t="str">
        <f t="shared" si="0"/>
        <v>union all  select item=18, shipno='1066539001'</v>
      </c>
    </row>
    <row r="22" spans="1:3" x14ac:dyDescent="0.25">
      <c r="A22" s="12">
        <v>19</v>
      </c>
      <c r="B22">
        <v>1065310401</v>
      </c>
      <c r="C22" t="str">
        <f t="shared" si="0"/>
        <v>union all  select item=19, shipno='1065310401'</v>
      </c>
    </row>
    <row r="23" spans="1:3" x14ac:dyDescent="0.25">
      <c r="A23" s="12">
        <v>20</v>
      </c>
      <c r="B23">
        <v>1064300401</v>
      </c>
      <c r="C23" t="str">
        <f t="shared" si="0"/>
        <v>union all  select item=20, shipno='1064300401'</v>
      </c>
    </row>
    <row r="24" spans="1:3" x14ac:dyDescent="0.25">
      <c r="A24" s="12">
        <v>21</v>
      </c>
      <c r="B24">
        <v>1065713901</v>
      </c>
      <c r="C24" t="str">
        <f t="shared" si="0"/>
        <v>union all  select item=21, shipno='1065713901'</v>
      </c>
    </row>
    <row r="25" spans="1:3" x14ac:dyDescent="0.25">
      <c r="A25" s="12">
        <v>22</v>
      </c>
      <c r="B25">
        <v>1066131901</v>
      </c>
      <c r="C25" t="str">
        <f t="shared" si="0"/>
        <v>union all  select item=22, shipno='1066131901'</v>
      </c>
    </row>
    <row r="26" spans="1:3" x14ac:dyDescent="0.25">
      <c r="A26" s="12">
        <v>23</v>
      </c>
      <c r="B26">
        <v>1063402501</v>
      </c>
      <c r="C26" t="str">
        <f t="shared" si="0"/>
        <v>union all  select item=23, shipno='1063402501'</v>
      </c>
    </row>
    <row r="27" spans="1:3" x14ac:dyDescent="0.25">
      <c r="A27" s="12">
        <v>24</v>
      </c>
      <c r="B27">
        <v>1061361001</v>
      </c>
      <c r="C27" t="str">
        <f t="shared" si="0"/>
        <v>union all  select item=24, shipno='1061361001'</v>
      </c>
    </row>
    <row r="28" spans="1:3" x14ac:dyDescent="0.25">
      <c r="A28" s="12">
        <v>25</v>
      </c>
      <c r="B28">
        <v>1064728601</v>
      </c>
      <c r="C28" t="str">
        <f t="shared" si="0"/>
        <v>union all  select item=25, shipno='1064728601'</v>
      </c>
    </row>
    <row r="29" spans="1:3" x14ac:dyDescent="0.25">
      <c r="A29" s="12">
        <v>26</v>
      </c>
      <c r="B29">
        <v>1060536701</v>
      </c>
      <c r="C29" t="str">
        <f t="shared" si="0"/>
        <v>union all  select item=26, shipno='1060536701'</v>
      </c>
    </row>
    <row r="30" spans="1:3" x14ac:dyDescent="0.25">
      <c r="A30" s="12">
        <v>27</v>
      </c>
      <c r="B30">
        <v>1060943411</v>
      </c>
      <c r="C30" t="str">
        <f t="shared" si="0"/>
        <v>union all  select item=27, shipno='1060943411'</v>
      </c>
    </row>
    <row r="31" spans="1:3" x14ac:dyDescent="0.25">
      <c r="A31" s="12">
        <v>28</v>
      </c>
      <c r="B31">
        <v>1061361401</v>
      </c>
      <c r="C31" t="str">
        <f t="shared" si="0"/>
        <v>union all  select item=28, shipno='1061361401'</v>
      </c>
    </row>
    <row r="32" spans="1:3" x14ac:dyDescent="0.25">
      <c r="A32" s="12">
        <v>29</v>
      </c>
      <c r="B32">
        <v>1061803701</v>
      </c>
      <c r="C32" t="str">
        <f t="shared" si="0"/>
        <v>union all  select item=29, shipno='1061803701'</v>
      </c>
    </row>
    <row r="33" spans="1:3" x14ac:dyDescent="0.25">
      <c r="A33" s="12">
        <v>30</v>
      </c>
      <c r="B33">
        <v>1062265301</v>
      </c>
      <c r="C33" t="str">
        <f t="shared" si="0"/>
        <v>union all  select item=30, shipno='1062265301'</v>
      </c>
    </row>
    <row r="34" spans="1:3" x14ac:dyDescent="0.25">
      <c r="A34" s="12">
        <v>31</v>
      </c>
      <c r="B34">
        <v>1062953101</v>
      </c>
      <c r="C34" t="str">
        <f t="shared" si="0"/>
        <v>union all  select item=31, shipno='1062953101'</v>
      </c>
    </row>
    <row r="35" spans="1:3" x14ac:dyDescent="0.25">
      <c r="A35" s="12">
        <v>32</v>
      </c>
      <c r="B35">
        <v>1060943401</v>
      </c>
      <c r="C35" t="str">
        <f t="shared" si="0"/>
        <v>union all  select item=32, shipno='1060943401'</v>
      </c>
    </row>
    <row r="36" spans="1:3" x14ac:dyDescent="0.25">
      <c r="A36" s="12">
        <v>33</v>
      </c>
      <c r="B36">
        <v>1060536801</v>
      </c>
      <c r="C36" t="str">
        <f t="shared" si="0"/>
        <v>union all  select item=33, shipno='1060536801'</v>
      </c>
    </row>
    <row r="37" spans="1:3" x14ac:dyDescent="0.25">
      <c r="A37" s="12">
        <v>34</v>
      </c>
      <c r="B37">
        <v>1061361201</v>
      </c>
      <c r="C37" t="str">
        <f t="shared" si="0"/>
        <v>union all  select item=34, shipno='1061361201'</v>
      </c>
    </row>
    <row r="38" spans="1:3" x14ac:dyDescent="0.25">
      <c r="A38" s="12">
        <v>35</v>
      </c>
      <c r="B38">
        <v>1062265201</v>
      </c>
      <c r="C38" t="str">
        <f t="shared" si="0"/>
        <v>union all  select item=35, shipno='1062265201'</v>
      </c>
    </row>
    <row r="39" spans="1:3" x14ac:dyDescent="0.25">
      <c r="A39" s="12">
        <v>36</v>
      </c>
      <c r="B39">
        <v>1061803901</v>
      </c>
      <c r="C39" t="str">
        <f t="shared" si="0"/>
        <v>union all  select item=36, shipno='1061803901'</v>
      </c>
    </row>
    <row r="40" spans="1:3" x14ac:dyDescent="0.25">
      <c r="A40" s="12">
        <v>37</v>
      </c>
      <c r="B40">
        <v>1060943501</v>
      </c>
      <c r="C40" t="str">
        <f t="shared" si="0"/>
        <v>union all  select item=37, shipno='1060943501'</v>
      </c>
    </row>
    <row r="41" spans="1:3" x14ac:dyDescent="0.25">
      <c r="A41" s="12">
        <v>38</v>
      </c>
      <c r="B41">
        <v>1066132001</v>
      </c>
      <c r="C41" t="str">
        <f t="shared" si="0"/>
        <v>union all  select item=38, shipno='1066132001'</v>
      </c>
    </row>
    <row r="42" spans="1:3" x14ac:dyDescent="0.25">
      <c r="A42" s="12">
        <v>39</v>
      </c>
      <c r="B42">
        <v>1059709801</v>
      </c>
      <c r="C42" t="str">
        <f t="shared" si="0"/>
        <v>union all  select item=39, shipno='1059709801'</v>
      </c>
    </row>
    <row r="43" spans="1:3" x14ac:dyDescent="0.25">
      <c r="A43" s="12">
        <v>40</v>
      </c>
      <c r="B43">
        <v>1064300601</v>
      </c>
      <c r="C43" t="str">
        <f t="shared" si="0"/>
        <v>union all  select item=40, shipno='1064300601'</v>
      </c>
    </row>
    <row r="44" spans="1:3" x14ac:dyDescent="0.25">
      <c r="A44" s="12">
        <v>41</v>
      </c>
      <c r="B44">
        <v>1063874101</v>
      </c>
      <c r="C44" t="str">
        <f t="shared" si="0"/>
        <v>union all  select item=41, shipno='1063874101'</v>
      </c>
    </row>
    <row r="45" spans="1:3" x14ac:dyDescent="0.25">
      <c r="A45" s="12">
        <v>42</v>
      </c>
      <c r="B45">
        <v>1062953501</v>
      </c>
      <c r="C45" t="str">
        <f t="shared" si="0"/>
        <v>union all  select item=42, shipno='1062953501'</v>
      </c>
    </row>
    <row r="46" spans="1:3" x14ac:dyDescent="0.25">
      <c r="A46" s="12">
        <v>43</v>
      </c>
      <c r="B46">
        <v>1061803601</v>
      </c>
      <c r="C46" t="str">
        <f t="shared" si="0"/>
        <v>union all  select item=43, shipno='1061803601'</v>
      </c>
    </row>
    <row r="47" spans="1:3" x14ac:dyDescent="0.25">
      <c r="A47" s="12">
        <v>44</v>
      </c>
      <c r="B47">
        <v>1062265401</v>
      </c>
      <c r="C47" t="str">
        <f t="shared" si="0"/>
        <v>union all  select item=44, shipno='1062265401'</v>
      </c>
    </row>
    <row r="48" spans="1:3" x14ac:dyDescent="0.25">
      <c r="A48" s="12">
        <v>45</v>
      </c>
      <c r="B48">
        <v>1063402401</v>
      </c>
      <c r="C48" t="str">
        <f t="shared" si="0"/>
        <v>union all  select item=45, shipno='1063402401'</v>
      </c>
    </row>
    <row r="49" spans="1:3" x14ac:dyDescent="0.25">
      <c r="A49" s="12">
        <v>46</v>
      </c>
      <c r="B49">
        <v>1063402411</v>
      </c>
      <c r="C49" t="str">
        <f t="shared" si="0"/>
        <v>union all  select item=46, shipno='1063402411'</v>
      </c>
    </row>
    <row r="50" spans="1:3" x14ac:dyDescent="0.25">
      <c r="A50" s="12">
        <v>47</v>
      </c>
      <c r="B50">
        <v>1064728401</v>
      </c>
      <c r="C50" t="str">
        <f t="shared" si="0"/>
        <v>union all  select item=47, shipno='1064728401'</v>
      </c>
    </row>
    <row r="51" spans="1:3" x14ac:dyDescent="0.25">
      <c r="A51" s="12">
        <v>48</v>
      </c>
      <c r="B51">
        <v>1065310301</v>
      </c>
      <c r="C51" t="str">
        <f t="shared" si="0"/>
        <v>union all  select item=48, shipno='1065310301'</v>
      </c>
    </row>
    <row r="52" spans="1:3" x14ac:dyDescent="0.25">
      <c r="A52" s="12">
        <v>49</v>
      </c>
      <c r="B52">
        <v>1059709901</v>
      </c>
      <c r="C52" t="str">
        <f t="shared" si="0"/>
        <v>union all  select item=49, shipno='1059709901'</v>
      </c>
    </row>
    <row r="53" spans="1:3" x14ac:dyDescent="0.25">
      <c r="A53" s="12">
        <v>50</v>
      </c>
      <c r="B53">
        <v>1061361301</v>
      </c>
      <c r="C53" t="str">
        <f t="shared" si="0"/>
        <v>union all  select item=50, shipno='1061361301'</v>
      </c>
    </row>
    <row r="54" spans="1:3" x14ac:dyDescent="0.25">
      <c r="A54" s="12">
        <v>51</v>
      </c>
      <c r="B54">
        <v>1066132101</v>
      </c>
      <c r="C54" t="str">
        <f t="shared" si="0"/>
        <v>union all  select item=51, shipno='1066132101'</v>
      </c>
    </row>
    <row r="55" spans="1:3" x14ac:dyDescent="0.25">
      <c r="A55" s="12">
        <v>52</v>
      </c>
      <c r="B55">
        <v>1060536501</v>
      </c>
      <c r="C55" t="str">
        <f t="shared" si="0"/>
        <v>union all  select item=52, shipno='1060536501'</v>
      </c>
    </row>
    <row r="56" spans="1:3" x14ac:dyDescent="0.25">
      <c r="A56" s="12">
        <v>53</v>
      </c>
      <c r="B56">
        <v>1060536601</v>
      </c>
      <c r="C56" t="str">
        <f t="shared" si="0"/>
        <v>union all  select item=53, shipno='1060536601'</v>
      </c>
    </row>
    <row r="57" spans="1:3" x14ac:dyDescent="0.25">
      <c r="A57" s="12">
        <v>54</v>
      </c>
      <c r="B57">
        <v>1061804101</v>
      </c>
      <c r="C57" t="str">
        <f t="shared" si="0"/>
        <v>union all  select item=54, shipno='1061804101'</v>
      </c>
    </row>
    <row r="58" spans="1:3" x14ac:dyDescent="0.25">
      <c r="A58" s="12">
        <v>55</v>
      </c>
      <c r="B58">
        <v>1062953301</v>
      </c>
      <c r="C58" t="str">
        <f t="shared" si="0"/>
        <v>union all  select item=55, shipno='1062953301'</v>
      </c>
    </row>
    <row r="59" spans="1:3" x14ac:dyDescent="0.25">
      <c r="A59" s="12">
        <v>56</v>
      </c>
      <c r="B59">
        <v>1064728501</v>
      </c>
      <c r="C59" t="str">
        <f t="shared" si="0"/>
        <v>union all  select item=56, shipno='1064728501'</v>
      </c>
    </row>
    <row r="60" spans="1:3" x14ac:dyDescent="0.25">
      <c r="A60" s="12">
        <v>57</v>
      </c>
      <c r="B60">
        <v>1066132201</v>
      </c>
      <c r="C60" t="str">
        <f t="shared" si="0"/>
        <v>union all  select item=57, shipno='1066132201'</v>
      </c>
    </row>
    <row r="61" spans="1:3" x14ac:dyDescent="0.25">
      <c r="A61" s="12">
        <v>58</v>
      </c>
      <c r="B61">
        <v>1064300501</v>
      </c>
      <c r="C61" t="str">
        <f t="shared" si="0"/>
        <v>union all  select item=58, shipno='1064300501'</v>
      </c>
    </row>
    <row r="62" spans="1:3" x14ac:dyDescent="0.25">
      <c r="A62" s="12">
        <v>59</v>
      </c>
      <c r="B62">
        <v>1061804001</v>
      </c>
      <c r="C62" t="str">
        <f t="shared" si="0"/>
        <v>union all  select item=59, shipno='1061804001'</v>
      </c>
    </row>
    <row r="63" spans="1:3" x14ac:dyDescent="0.25">
      <c r="A63" s="12">
        <v>60</v>
      </c>
      <c r="B63">
        <v>1060943701</v>
      </c>
      <c r="C63" t="str">
        <f t="shared" si="0"/>
        <v>union all  select item=60, shipno='1060943701'</v>
      </c>
    </row>
    <row r="64" spans="1:3" x14ac:dyDescent="0.25">
      <c r="A64" s="12">
        <v>61</v>
      </c>
      <c r="B64">
        <v>1061361101</v>
      </c>
      <c r="C64" t="str">
        <f t="shared" si="0"/>
        <v>union all  select item=61, shipno='1061361101'</v>
      </c>
    </row>
    <row r="65" spans="1:3" x14ac:dyDescent="0.25">
      <c r="A65" s="12">
        <v>62</v>
      </c>
      <c r="B65">
        <v>1062953201</v>
      </c>
      <c r="C65" t="str">
        <f t="shared" si="0"/>
        <v>union all  select item=62, shipno='1062953201'</v>
      </c>
    </row>
    <row r="66" spans="1:3" x14ac:dyDescent="0.25">
      <c r="A66" s="12">
        <v>63</v>
      </c>
      <c r="B66">
        <v>1065310201</v>
      </c>
      <c r="C66" t="str">
        <f t="shared" si="0"/>
        <v>union all  select item=63, shipno='1065310201'</v>
      </c>
    </row>
    <row r="67" spans="1:3" x14ac:dyDescent="0.25">
      <c r="A67" s="12">
        <v>64</v>
      </c>
      <c r="B67">
        <v>1065714001</v>
      </c>
      <c r="C67" t="str">
        <f t="shared" si="0"/>
        <v>union all  select item=64, shipno='1065714001'</v>
      </c>
    </row>
    <row r="68" spans="1:3" x14ac:dyDescent="0.25">
      <c r="A68" s="12">
        <v>65</v>
      </c>
      <c r="B68">
        <v>1063402601</v>
      </c>
      <c r="C68" t="str">
        <f t="shared" si="0"/>
        <v>union all  select item=65, shipno='1063402601'</v>
      </c>
    </row>
    <row r="69" spans="1:3" x14ac:dyDescent="0.25">
      <c r="A69" s="12">
        <v>66</v>
      </c>
      <c r="B69">
        <v>1062265501</v>
      </c>
      <c r="C69" t="str">
        <f t="shared" si="0"/>
        <v>union all  select item=66, shipno='1062265501'</v>
      </c>
    </row>
    <row r="70" spans="1:3" x14ac:dyDescent="0.25">
      <c r="A70" s="12">
        <v>67</v>
      </c>
      <c r="B70">
        <v>1059710001</v>
      </c>
      <c r="C70" t="str">
        <f t="shared" ref="C70:C133" si="1">"union all  select item=" &amp; A70 &amp; ", shipno='" &amp; B70 &amp; "'"</f>
        <v>union all  select item=67, shipno='1059710001'</v>
      </c>
    </row>
    <row r="71" spans="1:3" x14ac:dyDescent="0.25">
      <c r="A71" s="12">
        <v>68</v>
      </c>
      <c r="B71">
        <v>1062265101</v>
      </c>
      <c r="C71" t="str">
        <f t="shared" si="1"/>
        <v>union all  select item=68, shipno='1062265101'</v>
      </c>
    </row>
    <row r="72" spans="1:3" x14ac:dyDescent="0.25">
      <c r="A72" s="12">
        <v>69</v>
      </c>
      <c r="B72">
        <v>1061361601</v>
      </c>
      <c r="C72" t="str">
        <f t="shared" si="1"/>
        <v>union all  select item=69, shipno='1061361601'</v>
      </c>
    </row>
    <row r="73" spans="1:3" x14ac:dyDescent="0.25">
      <c r="A73" s="12">
        <v>70</v>
      </c>
      <c r="B73">
        <v>1060537101</v>
      </c>
      <c r="C73" t="str">
        <f t="shared" si="1"/>
        <v>union all  select item=70, shipno='1060537101'</v>
      </c>
    </row>
    <row r="74" spans="1:3" x14ac:dyDescent="0.25">
      <c r="A74" s="12">
        <v>71</v>
      </c>
      <c r="B74">
        <v>1060943201</v>
      </c>
      <c r="C74" t="str">
        <f t="shared" si="1"/>
        <v>union all  select item=71, shipno='1060943201'</v>
      </c>
    </row>
    <row r="75" spans="1:3" x14ac:dyDescent="0.25">
      <c r="A75" s="12">
        <v>72</v>
      </c>
      <c r="B75">
        <v>1060943801</v>
      </c>
      <c r="C75" t="str">
        <f t="shared" si="1"/>
        <v>union all  select item=72, shipno='1060943801'</v>
      </c>
    </row>
    <row r="76" spans="1:3" x14ac:dyDescent="0.25">
      <c r="A76" s="12">
        <v>73</v>
      </c>
      <c r="B76">
        <v>1061360701</v>
      </c>
      <c r="C76" t="str">
        <f t="shared" si="1"/>
        <v>union all  select item=73, shipno='1061360701'</v>
      </c>
    </row>
    <row r="77" spans="1:3" x14ac:dyDescent="0.25">
      <c r="A77" s="12">
        <v>74</v>
      </c>
      <c r="B77">
        <v>1066132301</v>
      </c>
      <c r="C77" t="str">
        <f t="shared" si="1"/>
        <v>union all  select item=74, shipno='1066132301'</v>
      </c>
    </row>
    <row r="78" spans="1:3" x14ac:dyDescent="0.25">
      <c r="A78" s="12">
        <v>75</v>
      </c>
      <c r="B78">
        <v>1060536901</v>
      </c>
      <c r="C78" t="str">
        <f t="shared" si="1"/>
        <v>union all  select item=75, shipno='1060536901'</v>
      </c>
    </row>
    <row r="79" spans="1:3" x14ac:dyDescent="0.25">
      <c r="A79" s="12">
        <v>76</v>
      </c>
      <c r="B79">
        <v>1066539101</v>
      </c>
      <c r="C79" t="str">
        <f t="shared" si="1"/>
        <v>union all  select item=76, shipno='1066539101'</v>
      </c>
    </row>
    <row r="80" spans="1:3" x14ac:dyDescent="0.25">
      <c r="A80" s="12">
        <v>77</v>
      </c>
      <c r="B80">
        <v>1063874201</v>
      </c>
      <c r="C80" t="str">
        <f t="shared" si="1"/>
        <v>union all  select item=77, shipno='1063874201'</v>
      </c>
    </row>
    <row r="81" spans="1:3" x14ac:dyDescent="0.25">
      <c r="A81" s="12">
        <v>78</v>
      </c>
      <c r="B81">
        <v>1065310501</v>
      </c>
      <c r="C81" t="str">
        <f t="shared" si="1"/>
        <v>union all  select item=78, shipno='1065310501'</v>
      </c>
    </row>
    <row r="82" spans="1:3" x14ac:dyDescent="0.25">
      <c r="A82" s="12">
        <v>79</v>
      </c>
      <c r="B82">
        <v>1063874401</v>
      </c>
      <c r="C82" t="str">
        <f t="shared" si="1"/>
        <v>union all  select item=79, shipno='1063874401'</v>
      </c>
    </row>
    <row r="83" spans="1:3" x14ac:dyDescent="0.25">
      <c r="A83" s="12">
        <v>80</v>
      </c>
      <c r="B83">
        <v>1062953401</v>
      </c>
      <c r="C83" t="str">
        <f t="shared" si="1"/>
        <v>union all  select item=80, shipno='1062953401'</v>
      </c>
    </row>
    <row r="84" spans="1:3" x14ac:dyDescent="0.25">
      <c r="A84" s="12">
        <v>81</v>
      </c>
      <c r="B84">
        <v>1064728701</v>
      </c>
      <c r="C84" t="str">
        <f t="shared" si="1"/>
        <v>union all  select item=81, shipno='1064728701'</v>
      </c>
    </row>
    <row r="85" spans="1:3" x14ac:dyDescent="0.25">
      <c r="A85" s="12">
        <v>82</v>
      </c>
      <c r="B85">
        <v>1060004801</v>
      </c>
      <c r="C85" t="str">
        <f t="shared" si="1"/>
        <v>union all  select item=82, shipno='1060004801'</v>
      </c>
    </row>
    <row r="86" spans="1:3" x14ac:dyDescent="0.25">
      <c r="A86" s="12">
        <v>83</v>
      </c>
      <c r="B86">
        <v>1062541101</v>
      </c>
      <c r="C86" t="str">
        <f t="shared" si="1"/>
        <v>union all  select item=83, shipno='1062541101'</v>
      </c>
    </row>
    <row r="87" spans="1:3" x14ac:dyDescent="0.25">
      <c r="A87" s="12">
        <v>84</v>
      </c>
      <c r="B87">
        <v>1062541201</v>
      </c>
      <c r="C87" t="str">
        <f t="shared" si="1"/>
        <v>union all  select item=84, shipno='1062541201'</v>
      </c>
    </row>
    <row r="88" spans="1:3" x14ac:dyDescent="0.25">
      <c r="A88" s="12">
        <v>85</v>
      </c>
      <c r="B88">
        <v>1060004901</v>
      </c>
      <c r="C88" t="str">
        <f t="shared" si="1"/>
        <v>union all  select item=85, shipno='1060004901'</v>
      </c>
    </row>
    <row r="89" spans="1:3" x14ac:dyDescent="0.25">
      <c r="A89" s="12">
        <v>86</v>
      </c>
      <c r="B89">
        <v>1053809301</v>
      </c>
      <c r="C89" t="str">
        <f t="shared" si="1"/>
        <v>union all  select item=86, shipno='1053809301'</v>
      </c>
    </row>
    <row r="90" spans="1:3" x14ac:dyDescent="0.25">
      <c r="A90" s="12">
        <v>87</v>
      </c>
      <c r="B90">
        <v>1063874301</v>
      </c>
      <c r="C90" t="str">
        <f t="shared" si="1"/>
        <v>union all  select item=87, shipno='1063874301'</v>
      </c>
    </row>
    <row r="91" spans="1:3" x14ac:dyDescent="0.25">
      <c r="A91" s="12">
        <v>88</v>
      </c>
      <c r="B91">
        <v>1060943301</v>
      </c>
      <c r="C91" t="str">
        <f t="shared" si="1"/>
        <v>union all  select item=88, shipno='1060943301'</v>
      </c>
    </row>
    <row r="92" spans="1:3" x14ac:dyDescent="0.25">
      <c r="A92" s="12">
        <v>89</v>
      </c>
      <c r="B92">
        <v>1059709701</v>
      </c>
      <c r="C92" t="str">
        <f t="shared" si="1"/>
        <v>union all  select item=89, shipno='1059709701'</v>
      </c>
    </row>
    <row r="93" spans="1:3" x14ac:dyDescent="0.25">
      <c r="A93" s="12">
        <v>90</v>
      </c>
      <c r="B93">
        <v>1065713801</v>
      </c>
      <c r="C93" t="str">
        <f t="shared" si="1"/>
        <v>union all  select item=90, shipno='1065713801'</v>
      </c>
    </row>
    <row r="94" spans="1:3" x14ac:dyDescent="0.25">
      <c r="A94" s="12">
        <v>91</v>
      </c>
      <c r="B94">
        <v>1061803401</v>
      </c>
      <c r="C94" t="str">
        <f t="shared" si="1"/>
        <v>union all  select item=91, shipno='1061803401'</v>
      </c>
    </row>
    <row r="95" spans="1:3" x14ac:dyDescent="0.25">
      <c r="A95" s="12">
        <v>92</v>
      </c>
      <c r="B95">
        <v>1062953601</v>
      </c>
      <c r="C95" t="str">
        <f t="shared" si="1"/>
        <v>union all  select item=92, shipno='1062953601'</v>
      </c>
    </row>
    <row r="96" spans="1:3" x14ac:dyDescent="0.25">
      <c r="A96" s="12">
        <v>93</v>
      </c>
      <c r="B96">
        <v>1000463511</v>
      </c>
      <c r="C96" t="str">
        <f t="shared" si="1"/>
        <v>union all  select item=93, shipno='1000463511'</v>
      </c>
    </row>
    <row r="97" spans="1:3" x14ac:dyDescent="0.25">
      <c r="A97" s="12">
        <v>94</v>
      </c>
      <c r="B97">
        <v>1000463601</v>
      </c>
      <c r="C97" t="str">
        <f t="shared" si="1"/>
        <v>union all  select item=94, shipno='1000463601'</v>
      </c>
    </row>
    <row r="98" spans="1:3" x14ac:dyDescent="0.25">
      <c r="A98" s="12">
        <v>95</v>
      </c>
      <c r="B98">
        <v>1000463701</v>
      </c>
      <c r="C98" t="str">
        <f t="shared" si="1"/>
        <v>union all  select item=95, shipno='1000463701'</v>
      </c>
    </row>
    <row r="99" spans="1:3" x14ac:dyDescent="0.25">
      <c r="A99" s="12">
        <v>96</v>
      </c>
      <c r="B99">
        <v>1000463801</v>
      </c>
      <c r="C99" t="str">
        <f t="shared" si="1"/>
        <v>union all  select item=96, shipno='1000463801'</v>
      </c>
    </row>
    <row r="100" spans="1:3" x14ac:dyDescent="0.25">
      <c r="A100" s="12">
        <v>97</v>
      </c>
      <c r="B100" t="s">
        <v>164</v>
      </c>
      <c r="C100" t="str">
        <f t="shared" si="1"/>
        <v>union all  select item=97, shipno='          '</v>
      </c>
    </row>
    <row r="101" spans="1:3" x14ac:dyDescent="0.25">
      <c r="A101" s="12">
        <v>98</v>
      </c>
      <c r="B101" t="s">
        <v>164</v>
      </c>
      <c r="C101" t="str">
        <f t="shared" si="1"/>
        <v>union all  select item=98, shipno='          '</v>
      </c>
    </row>
    <row r="102" spans="1:3" x14ac:dyDescent="0.25">
      <c r="A102" s="12">
        <v>99</v>
      </c>
      <c r="B102" t="s">
        <v>164</v>
      </c>
      <c r="C102" t="str">
        <f t="shared" si="1"/>
        <v>union all  select item=99, shipno='          '</v>
      </c>
    </row>
    <row r="103" spans="1:3" x14ac:dyDescent="0.25">
      <c r="A103" s="12">
        <v>100</v>
      </c>
      <c r="B103">
        <v>1066981601</v>
      </c>
      <c r="C103" t="str">
        <f t="shared" si="1"/>
        <v>union all  select item=100, shipno='1066981601'</v>
      </c>
    </row>
    <row r="104" spans="1:3" x14ac:dyDescent="0.25">
      <c r="A104" s="12">
        <v>101</v>
      </c>
      <c r="B104">
        <v>1070613201</v>
      </c>
      <c r="C104" t="str">
        <f t="shared" si="1"/>
        <v>union all  select item=101, shipno='1070613201'</v>
      </c>
    </row>
    <row r="105" spans="1:3" x14ac:dyDescent="0.25">
      <c r="A105" s="12">
        <v>102</v>
      </c>
      <c r="B105">
        <v>1069077911</v>
      </c>
      <c r="C105" t="str">
        <f t="shared" si="1"/>
        <v>union all  select item=102, shipno='1069077911'</v>
      </c>
    </row>
    <row r="106" spans="1:3" x14ac:dyDescent="0.25">
      <c r="A106" s="12">
        <v>103</v>
      </c>
      <c r="B106">
        <v>1069350201</v>
      </c>
      <c r="C106" t="str">
        <f t="shared" si="1"/>
        <v>union all  select item=103, shipno='1069350201'</v>
      </c>
    </row>
    <row r="107" spans="1:3" x14ac:dyDescent="0.25">
      <c r="A107" s="12">
        <v>104</v>
      </c>
      <c r="B107">
        <v>1068608701</v>
      </c>
      <c r="C107" t="str">
        <f t="shared" si="1"/>
        <v>union all  select item=104, shipno='1068608701'</v>
      </c>
    </row>
    <row r="108" spans="1:3" x14ac:dyDescent="0.25">
      <c r="A108" s="12">
        <v>105</v>
      </c>
      <c r="B108">
        <v>1067614801</v>
      </c>
      <c r="C108" t="str">
        <f t="shared" si="1"/>
        <v>union all  select item=105, shipno='1067614801'</v>
      </c>
    </row>
    <row r="109" spans="1:3" x14ac:dyDescent="0.25">
      <c r="A109" s="12">
        <v>106</v>
      </c>
      <c r="B109">
        <v>1068111101</v>
      </c>
      <c r="C109" t="str">
        <f t="shared" si="1"/>
        <v>union all  select item=106, shipno='1068111101'</v>
      </c>
    </row>
    <row r="110" spans="1:3" x14ac:dyDescent="0.25">
      <c r="A110" s="12">
        <v>107</v>
      </c>
      <c r="B110">
        <v>1069077901</v>
      </c>
      <c r="C110" t="str">
        <f t="shared" si="1"/>
        <v>union all  select item=107, shipno='1069077901'</v>
      </c>
    </row>
    <row r="111" spans="1:3" x14ac:dyDescent="0.25">
      <c r="A111" s="12">
        <v>108</v>
      </c>
      <c r="B111">
        <v>1070613301</v>
      </c>
      <c r="C111" t="str">
        <f t="shared" si="1"/>
        <v>union all  select item=108, shipno='1070613301'</v>
      </c>
    </row>
    <row r="112" spans="1:3" x14ac:dyDescent="0.25">
      <c r="A112" s="12">
        <v>109</v>
      </c>
      <c r="B112">
        <v>1066981501</v>
      </c>
      <c r="C112" t="str">
        <f t="shared" si="1"/>
        <v>union all  select item=109, shipno='1066981501'</v>
      </c>
    </row>
    <row r="113" spans="1:3" x14ac:dyDescent="0.25">
      <c r="A113" s="12">
        <v>110</v>
      </c>
      <c r="B113">
        <v>1067615001</v>
      </c>
      <c r="C113" t="str">
        <f t="shared" si="1"/>
        <v>union all  select item=110, shipno='1067615001'</v>
      </c>
    </row>
    <row r="114" spans="1:3" x14ac:dyDescent="0.25">
      <c r="A114" s="12">
        <v>111</v>
      </c>
      <c r="B114">
        <v>1068608401</v>
      </c>
      <c r="C114" t="str">
        <f t="shared" si="1"/>
        <v>union all  select item=111, shipno='1068608401'</v>
      </c>
    </row>
    <row r="115" spans="1:3" x14ac:dyDescent="0.25">
      <c r="A115" s="12">
        <v>112</v>
      </c>
      <c r="B115">
        <v>1070613101</v>
      </c>
      <c r="C115" t="str">
        <f t="shared" si="1"/>
        <v>union all  select item=112, shipno='1070613101'</v>
      </c>
    </row>
    <row r="116" spans="1:3" x14ac:dyDescent="0.25">
      <c r="A116" s="12">
        <v>113</v>
      </c>
      <c r="B116">
        <v>1069349901</v>
      </c>
      <c r="C116" t="str">
        <f t="shared" si="1"/>
        <v>union all  select item=113, shipno='1069349901'</v>
      </c>
    </row>
    <row r="117" spans="1:3" x14ac:dyDescent="0.25">
      <c r="A117" s="12">
        <v>114</v>
      </c>
      <c r="B117">
        <v>1068111801</v>
      </c>
      <c r="C117" t="str">
        <f t="shared" si="1"/>
        <v>union all  select item=114, shipno='1068111801'</v>
      </c>
    </row>
    <row r="118" spans="1:3" x14ac:dyDescent="0.25">
      <c r="A118" s="12">
        <v>115</v>
      </c>
      <c r="B118">
        <v>1070215301</v>
      </c>
      <c r="C118" t="str">
        <f t="shared" si="1"/>
        <v>union all  select item=115, shipno='1070215301'</v>
      </c>
    </row>
    <row r="119" spans="1:3" x14ac:dyDescent="0.25">
      <c r="A119" s="12">
        <v>116</v>
      </c>
      <c r="B119">
        <v>1069077701</v>
      </c>
      <c r="C119" t="str">
        <f t="shared" si="1"/>
        <v>union all  select item=116, shipno='1069077701'</v>
      </c>
    </row>
    <row r="120" spans="1:3" x14ac:dyDescent="0.25">
      <c r="A120" s="12">
        <v>117</v>
      </c>
      <c r="B120">
        <v>1066981701</v>
      </c>
      <c r="C120" t="str">
        <f t="shared" si="1"/>
        <v>union all  select item=117, shipno='1066981701'</v>
      </c>
    </row>
    <row r="121" spans="1:3" x14ac:dyDescent="0.25">
      <c r="A121" s="12">
        <v>118</v>
      </c>
      <c r="B121">
        <v>1067614901</v>
      </c>
      <c r="C121" t="str">
        <f t="shared" si="1"/>
        <v>union all  select item=118, shipno='1067614901'</v>
      </c>
    </row>
    <row r="122" spans="1:3" x14ac:dyDescent="0.25">
      <c r="A122" s="12">
        <v>119</v>
      </c>
      <c r="B122">
        <v>1069077801</v>
      </c>
      <c r="C122" t="str">
        <f t="shared" si="1"/>
        <v>union all  select item=119, shipno='1069077801'</v>
      </c>
    </row>
    <row r="123" spans="1:3" x14ac:dyDescent="0.25">
      <c r="A123" s="12">
        <v>120</v>
      </c>
      <c r="B123">
        <v>1068608601</v>
      </c>
      <c r="C123" t="str">
        <f t="shared" si="1"/>
        <v>union all  select item=120, shipno='1068608601'</v>
      </c>
    </row>
    <row r="124" spans="1:3" x14ac:dyDescent="0.25">
      <c r="A124" s="12">
        <v>121</v>
      </c>
      <c r="B124">
        <v>1068111001</v>
      </c>
      <c r="C124" t="str">
        <f t="shared" si="1"/>
        <v>union all  select item=121, shipno='1068111001'</v>
      </c>
    </row>
    <row r="125" spans="1:3" x14ac:dyDescent="0.25">
      <c r="A125" s="12">
        <v>122</v>
      </c>
      <c r="B125">
        <v>1069350401</v>
      </c>
      <c r="C125" t="str">
        <f t="shared" si="1"/>
        <v>union all  select item=122, shipno='1069350401'</v>
      </c>
    </row>
    <row r="126" spans="1:3" x14ac:dyDescent="0.25">
      <c r="A126" s="12">
        <v>123</v>
      </c>
      <c r="B126">
        <v>1068111701</v>
      </c>
      <c r="C126" t="str">
        <f t="shared" si="1"/>
        <v>union all  select item=123, shipno='1068111701'</v>
      </c>
    </row>
    <row r="127" spans="1:3" x14ac:dyDescent="0.25">
      <c r="A127" s="12">
        <v>124</v>
      </c>
      <c r="B127">
        <v>1068111601</v>
      </c>
      <c r="C127" t="str">
        <f t="shared" si="1"/>
        <v>union all  select item=124, shipno='1068111601'</v>
      </c>
    </row>
    <row r="128" spans="1:3" x14ac:dyDescent="0.25">
      <c r="A128" s="12">
        <v>125</v>
      </c>
      <c r="B128">
        <v>1068111501</v>
      </c>
      <c r="C128" t="str">
        <f t="shared" si="1"/>
        <v>union all  select item=125, shipno='1068111501'</v>
      </c>
    </row>
    <row r="129" spans="1:3" x14ac:dyDescent="0.25">
      <c r="A129" s="12">
        <v>126</v>
      </c>
      <c r="B129">
        <v>1066982001</v>
      </c>
      <c r="C129" t="str">
        <f t="shared" si="1"/>
        <v>union all  select item=126, shipno='1066982001'</v>
      </c>
    </row>
    <row r="130" spans="1:3" x14ac:dyDescent="0.25">
      <c r="A130" s="12">
        <v>127</v>
      </c>
      <c r="B130">
        <v>1069350501</v>
      </c>
      <c r="C130" t="str">
        <f t="shared" si="1"/>
        <v>union all  select item=127, shipno='1069350501'</v>
      </c>
    </row>
    <row r="131" spans="1:3" x14ac:dyDescent="0.25">
      <c r="A131" s="12">
        <v>128</v>
      </c>
      <c r="B131">
        <v>1069078001</v>
      </c>
      <c r="C131" t="str">
        <f t="shared" si="1"/>
        <v>union all  select item=128, shipno='1069078001'</v>
      </c>
    </row>
    <row r="132" spans="1:3" x14ac:dyDescent="0.25">
      <c r="A132" s="12">
        <v>129</v>
      </c>
      <c r="B132">
        <v>1070215401</v>
      </c>
      <c r="C132" t="str">
        <f t="shared" si="1"/>
        <v>union all  select item=129, shipno='1070215401'</v>
      </c>
    </row>
    <row r="133" spans="1:3" x14ac:dyDescent="0.25">
      <c r="A133" s="12">
        <v>130</v>
      </c>
      <c r="B133">
        <v>1068110801</v>
      </c>
      <c r="C133" t="str">
        <f t="shared" si="1"/>
        <v>union all  select item=130, shipno='1068110801'</v>
      </c>
    </row>
    <row r="134" spans="1:3" x14ac:dyDescent="0.25">
      <c r="A134" s="12">
        <v>131</v>
      </c>
      <c r="B134">
        <v>1068111401</v>
      </c>
      <c r="C134" t="str">
        <f t="shared" ref="C134:C158" si="2">"union all  select item=" &amp; A134 &amp; ", shipno='" &amp; B134 &amp; "'"</f>
        <v>union all  select item=131, shipno='1068111401'</v>
      </c>
    </row>
    <row r="135" spans="1:3" x14ac:dyDescent="0.25">
      <c r="A135" s="12">
        <v>132</v>
      </c>
      <c r="B135">
        <v>1067614501</v>
      </c>
      <c r="C135" t="str">
        <f t="shared" si="2"/>
        <v>union all  select item=132, shipno='1067614501'</v>
      </c>
    </row>
    <row r="136" spans="1:3" x14ac:dyDescent="0.25">
      <c r="A136" s="12">
        <v>133</v>
      </c>
      <c r="B136">
        <v>1068608501</v>
      </c>
      <c r="C136" t="str">
        <f t="shared" si="2"/>
        <v>union all  select item=133, shipno='1068608501'</v>
      </c>
    </row>
    <row r="137" spans="1:3" x14ac:dyDescent="0.25">
      <c r="A137" s="12">
        <v>134</v>
      </c>
      <c r="B137">
        <v>1068111301</v>
      </c>
      <c r="C137" t="str">
        <f t="shared" si="2"/>
        <v>union all  select item=134, shipno='1068111301'</v>
      </c>
    </row>
    <row r="138" spans="1:3" x14ac:dyDescent="0.25">
      <c r="A138" s="12">
        <v>135</v>
      </c>
      <c r="B138">
        <v>1070613001</v>
      </c>
      <c r="C138" t="str">
        <f t="shared" si="2"/>
        <v>union all  select item=135, shipno='1070613001'</v>
      </c>
    </row>
    <row r="139" spans="1:3" x14ac:dyDescent="0.25">
      <c r="A139" s="12">
        <v>136</v>
      </c>
      <c r="B139">
        <v>1069350001</v>
      </c>
      <c r="C139" t="str">
        <f t="shared" si="2"/>
        <v>union all  select item=136, shipno='1069350001'</v>
      </c>
    </row>
    <row r="140" spans="1:3" x14ac:dyDescent="0.25">
      <c r="A140" s="12">
        <v>137</v>
      </c>
      <c r="B140">
        <v>1066981801</v>
      </c>
      <c r="C140" t="str">
        <f t="shared" si="2"/>
        <v>union all  select item=137, shipno='1066981801'</v>
      </c>
    </row>
    <row r="141" spans="1:3" x14ac:dyDescent="0.25">
      <c r="A141" s="12">
        <v>138</v>
      </c>
      <c r="B141">
        <v>1069077601</v>
      </c>
      <c r="C141" t="str">
        <f t="shared" si="2"/>
        <v>union all  select item=138, shipno='1069077601'</v>
      </c>
    </row>
    <row r="142" spans="1:3" x14ac:dyDescent="0.25">
      <c r="A142" s="12">
        <v>139</v>
      </c>
      <c r="B142">
        <v>1070612901</v>
      </c>
      <c r="C142" t="str">
        <f t="shared" si="2"/>
        <v>union all  select item=139, shipno='1070612901'</v>
      </c>
    </row>
    <row r="143" spans="1:3" x14ac:dyDescent="0.25">
      <c r="A143" s="12">
        <v>140</v>
      </c>
      <c r="B143">
        <v>1067614701</v>
      </c>
      <c r="C143" t="str">
        <f t="shared" si="2"/>
        <v>union all  select item=140, shipno='1067614701'</v>
      </c>
    </row>
    <row r="144" spans="1:3" x14ac:dyDescent="0.25">
      <c r="A144" s="12">
        <v>141</v>
      </c>
      <c r="B144">
        <v>1068608101</v>
      </c>
      <c r="C144" t="str">
        <f t="shared" si="2"/>
        <v>union all  select item=141, shipno='1068608101'</v>
      </c>
    </row>
    <row r="145" spans="1:3" x14ac:dyDescent="0.25">
      <c r="A145" s="12">
        <v>142</v>
      </c>
      <c r="B145">
        <v>1068110701</v>
      </c>
      <c r="C145" t="str">
        <f t="shared" si="2"/>
        <v>union all  select item=142, shipno='1068110701'</v>
      </c>
    </row>
    <row r="146" spans="1:3" x14ac:dyDescent="0.25">
      <c r="A146" s="12">
        <v>143</v>
      </c>
      <c r="B146">
        <v>1068111201</v>
      </c>
      <c r="C146" t="str">
        <f t="shared" si="2"/>
        <v>union all  select item=143, shipno='1068111201'</v>
      </c>
    </row>
    <row r="147" spans="1:3" x14ac:dyDescent="0.25">
      <c r="A147" s="12">
        <v>144</v>
      </c>
      <c r="B147">
        <v>1066981901</v>
      </c>
      <c r="C147" t="str">
        <f t="shared" si="2"/>
        <v>union all  select item=144, shipno='1066981901'</v>
      </c>
    </row>
    <row r="148" spans="1:3" x14ac:dyDescent="0.25">
      <c r="A148" s="12">
        <v>145</v>
      </c>
      <c r="B148">
        <v>1068608301</v>
      </c>
      <c r="C148" t="str">
        <f t="shared" si="2"/>
        <v>union all  select item=145, shipno='1068608301'</v>
      </c>
    </row>
    <row r="149" spans="1:3" x14ac:dyDescent="0.25">
      <c r="A149" s="12">
        <v>146</v>
      </c>
      <c r="B149">
        <v>1069078101</v>
      </c>
      <c r="C149" t="str">
        <f t="shared" si="2"/>
        <v>union all  select item=146, shipno='1069078101'</v>
      </c>
    </row>
    <row r="150" spans="1:3" x14ac:dyDescent="0.25">
      <c r="A150" s="12">
        <v>147</v>
      </c>
      <c r="B150">
        <v>1067614601</v>
      </c>
      <c r="C150" t="str">
        <f t="shared" si="2"/>
        <v>union all  select item=147, shipno='1067614601'</v>
      </c>
    </row>
    <row r="151" spans="1:3" x14ac:dyDescent="0.25">
      <c r="A151" s="12">
        <v>148</v>
      </c>
      <c r="B151">
        <v>1068110901</v>
      </c>
      <c r="C151" t="str">
        <f t="shared" si="2"/>
        <v>union all  select item=148, shipno='1068110901'</v>
      </c>
    </row>
    <row r="152" spans="1:3" x14ac:dyDescent="0.25">
      <c r="A152" s="12">
        <v>149</v>
      </c>
      <c r="B152">
        <v>1067250901</v>
      </c>
      <c r="C152" t="str">
        <f t="shared" si="2"/>
        <v>union all  select item=149, shipno='1067250901'</v>
      </c>
    </row>
    <row r="153" spans="1:3" x14ac:dyDescent="0.25">
      <c r="A153" s="12">
        <v>150</v>
      </c>
      <c r="B153">
        <v>1067250801</v>
      </c>
      <c r="C153" t="str">
        <f t="shared" si="2"/>
        <v>union all  select item=150, shipno='1067250801'</v>
      </c>
    </row>
    <row r="154" spans="1:3" x14ac:dyDescent="0.25">
      <c r="A154" s="12">
        <v>151</v>
      </c>
      <c r="B154">
        <v>1066981401</v>
      </c>
      <c r="C154" t="str">
        <f t="shared" si="2"/>
        <v>union all  select item=151, shipno='1066981401'</v>
      </c>
    </row>
    <row r="155" spans="1:3" x14ac:dyDescent="0.25">
      <c r="A155" s="12">
        <v>152</v>
      </c>
      <c r="B155">
        <v>1069350301</v>
      </c>
      <c r="C155" t="str">
        <f t="shared" si="2"/>
        <v>union all  select item=152, shipno='1069350301'</v>
      </c>
    </row>
    <row r="156" spans="1:3" x14ac:dyDescent="0.25">
      <c r="A156" s="12">
        <v>153</v>
      </c>
      <c r="B156">
        <v>1068608201</v>
      </c>
      <c r="C156" t="str">
        <f t="shared" si="2"/>
        <v>union all  select item=153, shipno='1068608201'</v>
      </c>
    </row>
    <row r="157" spans="1:3" x14ac:dyDescent="0.25">
      <c r="A157" s="12">
        <v>154</v>
      </c>
      <c r="B157">
        <v>1069350101</v>
      </c>
      <c r="C157" t="str">
        <f t="shared" si="2"/>
        <v>union all  select item=154, shipno='1069350101'</v>
      </c>
    </row>
    <row r="158" spans="1:3" x14ac:dyDescent="0.25">
      <c r="A158" s="12">
        <v>155</v>
      </c>
      <c r="B158">
        <v>1070612801</v>
      </c>
      <c r="C158" t="str">
        <f t="shared" si="2"/>
        <v>union all  select item=155, shipno='1070612801'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Spec</vt:lpstr>
      <vt:lpstr>規格</vt:lpstr>
      <vt:lpstr>Datas</vt:lpstr>
      <vt:lpstr>SQL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2015-02-02T04:10:57Z</dcterms:modified>
</cp:coreProperties>
</file>