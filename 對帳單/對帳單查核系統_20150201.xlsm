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Spec" sheetId="2" r:id="rId1"/>
    <sheet name="規格" sheetId="1" r:id="rId2"/>
    <sheet name="Datas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J3" i="1" l="1"/>
  <c r="J4" i="1"/>
  <c r="J5" i="1"/>
  <c r="J6" i="1"/>
  <c r="J7" i="1"/>
  <c r="J8" i="1"/>
  <c r="J9" i="1"/>
  <c r="J10" i="1"/>
  <c r="J11" i="1"/>
  <c r="J12" i="1"/>
  <c r="J13" i="1"/>
  <c r="J32" i="1"/>
  <c r="J14" i="1"/>
  <c r="J15" i="1"/>
  <c r="J16" i="1"/>
  <c r="J17" i="1"/>
  <c r="J18" i="1"/>
  <c r="J19" i="1"/>
  <c r="J20" i="1"/>
  <c r="J21" i="1"/>
  <c r="J22" i="1"/>
  <c r="J23" i="1"/>
  <c r="J33" i="1"/>
  <c r="J24" i="1"/>
  <c r="J25" i="1"/>
  <c r="J26" i="1"/>
  <c r="J27" i="1"/>
  <c r="J28" i="1"/>
  <c r="J29" i="1"/>
  <c r="J30" i="1"/>
  <c r="J2" i="1"/>
  <c r="F33" i="1" l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32" i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2" i="1"/>
  <c r="L2" i="1" s="1"/>
  <c r="K30" i="1" l="1"/>
  <c r="K26" i="1"/>
  <c r="K22" i="1"/>
  <c r="K14" i="1"/>
  <c r="K15" i="1"/>
  <c r="K11" i="1"/>
  <c r="K7" i="1"/>
  <c r="K3" i="1"/>
  <c r="K29" i="1"/>
  <c r="K25" i="1"/>
  <c r="K21" i="1"/>
  <c r="K18" i="1"/>
  <c r="L32" i="1"/>
  <c r="K32" i="1"/>
  <c r="K10" i="1"/>
  <c r="K6" i="1"/>
  <c r="L33" i="1"/>
  <c r="K33" i="1"/>
  <c r="K28" i="1"/>
  <c r="K24" i="1"/>
  <c r="K20" i="1"/>
  <c r="K17" i="1"/>
  <c r="K13" i="1"/>
  <c r="K9" i="1"/>
  <c r="K5" i="1"/>
  <c r="K2" i="1"/>
  <c r="K27" i="1"/>
  <c r="K23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C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<sst xmlns="http://schemas.openxmlformats.org/spreadsheetml/2006/main" count="140" uniqueCount="101">
  <si>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</si>
  <si>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</si>
  <si>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</si>
  <si>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</si>
  <si>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</si>
  <si>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</si>
  <si>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</si>
  <si>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</si>
  <si>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</si>
  <si>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</si>
  <si>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</si>
  <si>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</si>
  <si>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</si>
  <si>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</si>
  <si>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</si>
  <si>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</si>
  <si>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</si>
  <si>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</si>
  <si>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</si>
  <si>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</si>
  <si>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</si>
  <si>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</si>
  <si>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</si>
  <si>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</si>
  <si>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</si>
  <si>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</si>
  <si>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</si>
  <si>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</si>
  <si>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</si>
  <si>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</si>
  <si>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</si>
  <si>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</si>
  <si>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</si>
  <si>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</si>
  <si>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</si>
  <si>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</si>
  <si>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</si>
  <si>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</si>
  <si>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</si>
  <si>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</si>
  <si>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</si>
  <si>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</si>
  <si>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</si>
  <si>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</si>
  <si>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</si>
  <si>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</si>
  <si>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</si>
  <si>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</si>
  <si>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</si>
  <si>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</si>
  <si>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</si>
  <si>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</si>
  <si>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</si>
  <si>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</si>
  <si>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</si>
  <si>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</si>
  <si>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</si>
  <si>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</si>
  <si>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</si>
  <si>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</si>
  <si>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</si>
  <si>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</si>
  <si>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</si>
  <si>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</si>
  <si>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</si>
  <si>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</si>
  <si>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</si>
  <si>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D:\PertonChang\Desktop\SCM</t>
    <phoneticPr fontId="3" type="noConversion"/>
  </si>
  <si>
    <t>201412_對帳單_20150123.txt</t>
    <phoneticPr fontId="3" type="noConversion"/>
  </si>
  <si>
    <t>tag</t>
    <phoneticPr fontId="3" type="noConversion"/>
  </si>
  <si>
    <t>CuNo</t>
    <phoneticPr fontId="3" type="noConversion"/>
  </si>
  <si>
    <t>AccBd</t>
    <phoneticPr fontId="3" type="noConversion"/>
  </si>
  <si>
    <t>AccEd</t>
    <phoneticPr fontId="3" type="noConversion"/>
  </si>
  <si>
    <t>ListNo</t>
    <phoneticPr fontId="3" type="noConversion"/>
  </si>
  <si>
    <t>ListSeq</t>
    <phoneticPr fontId="3" type="noConversion"/>
  </si>
  <si>
    <t>ListType</t>
    <phoneticPr fontId="3" type="noConversion"/>
  </si>
  <si>
    <t>Contract</t>
    <phoneticPr fontId="3" type="noConversion"/>
  </si>
  <si>
    <t>ShipNote</t>
    <phoneticPr fontId="3" type="noConversion"/>
  </si>
  <si>
    <t>Class</t>
    <phoneticPr fontId="3" type="noConversion"/>
  </si>
  <si>
    <t>c</t>
    <phoneticPr fontId="3" type="noConversion"/>
  </si>
  <si>
    <t>Quality</t>
    <phoneticPr fontId="3" type="noConversion"/>
  </si>
  <si>
    <t>Qty</t>
    <phoneticPr fontId="3" type="noConversion"/>
  </si>
  <si>
    <t>QtyOK</t>
    <phoneticPr fontId="3" type="noConversion"/>
  </si>
  <si>
    <t>Unit</t>
    <phoneticPr fontId="3" type="noConversion"/>
  </si>
  <si>
    <t>Price</t>
    <phoneticPr fontId="3" type="noConversion"/>
  </si>
  <si>
    <t>DevD</t>
    <phoneticPr fontId="3" type="noConversion"/>
  </si>
  <si>
    <t>Amt00</t>
    <phoneticPr fontId="3" type="noConversion"/>
  </si>
  <si>
    <t>Amt01</t>
    <phoneticPr fontId="3" type="noConversion"/>
  </si>
  <si>
    <t>cc</t>
    <phoneticPr fontId="3" type="noConversion"/>
  </si>
  <si>
    <t>Check</t>
    <phoneticPr fontId="3" type="noConversion"/>
  </si>
  <si>
    <t>Rec</t>
    <phoneticPr fontId="3" type="noConversion"/>
  </si>
  <si>
    <t>Amt11</t>
    <phoneticPr fontId="3" type="noConversion"/>
  </si>
  <si>
    <t>Amt12</t>
    <phoneticPr fontId="3" type="noConversion"/>
  </si>
  <si>
    <t>KouKan01</t>
    <phoneticPr fontId="3" type="noConversion"/>
  </si>
  <si>
    <t>KouKan02</t>
    <phoneticPr fontId="3" type="noConversion"/>
  </si>
  <si>
    <t>KouKan11</t>
    <phoneticPr fontId="3" type="noConversion"/>
  </si>
  <si>
    <t>KouKan12</t>
    <phoneticPr fontId="3" type="noConversion"/>
  </si>
  <si>
    <t>OrgElNo</t>
    <phoneticPr fontId="3" type="noConversion"/>
  </si>
  <si>
    <t>Cols</t>
    <phoneticPr fontId="3" type="noConversion"/>
  </si>
  <si>
    <t>Ary</t>
    <phoneticPr fontId="3" type="noConversion"/>
  </si>
  <si>
    <t>D:\GitHub\YuLong_SCM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</si>
</sst>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0</xdr:row>
          <xdr:rowOff>19050</xdr:rowOff>
        </xdr:from>
        <xdr:to>
          <xdr:col>14</xdr:col>
          <xdr:colOff>762000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2"/>
  <sheetViews>
    <sheetView workbookViewId="0">
      <selection activeCell="B2" sqref="B2"/>
    </sheetView>
  </sheetViews>
  <sheetFormatPr defaultRowHeight="16.5" x14ac:dyDescent="0.25"/>
  <cols>
    <col min="1" max="1" width="11" customWidth="1"/>
    <col min="2" max="2" width="37.125" customWidth="1"/>
  </cols>
  <sheetData>
    <row r="1" spans="1:2" x14ac:dyDescent="0.25">
      <c r="A1" t="s">
        <v>65</v>
      </c>
      <c r="B1" t="s">
        <v>67</v>
      </c>
    </row>
    <row r="2" spans="1:2" x14ac:dyDescent="0.25">
      <c r="A2" t="s">
        <v>66</v>
      </c>
      <c r="B2" t="s">
        <v>68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pageSetUpPr fitToPage="1"/>
  </sheetPr>
  <dimension ref="A1:M33"/>
  <sheetViews>
    <sheetView workbookViewId="0">
      <selection activeCell="N11" sqref="N11"/>
    </sheetView>
  </sheetViews>
  <sheetFormatPr defaultRowHeight="16.5" x14ac:dyDescent="0.25"/>
  <cols>
    <col min="1" max="1" width="23.75" customWidth="1"/>
    <col min="2" max="2" width="5.875" hidden="1" customWidth="1"/>
    <col min="3" max="3" width="16.125" bestFit="1" customWidth="1"/>
    <col min="7" max="7" width="9" style="3"/>
    <col min="8" max="8" width="7.125" style="3" customWidth="1"/>
    <col min="9" max="9" width="7.5" style="12" customWidth="1"/>
    <col min="10" max="10" width="7" hidden="1" customWidth="1"/>
    <col min="11" max="11" width="7.125" hidden="1" customWidth="1"/>
    <col min="12" max="12" width="27.625" customWidth="1"/>
    <col min="13" max="13" width="29.125" customWidth="1"/>
  </cols>
  <sheetData>
    <row r="1" spans="1:13" x14ac:dyDescent="0.25">
      <c r="C1" t="s">
        <v>59</v>
      </c>
      <c r="D1" t="s">
        <v>60</v>
      </c>
      <c r="E1" t="s">
        <v>61</v>
      </c>
      <c r="F1" t="s">
        <v>62</v>
      </c>
      <c r="G1" s="3" t="s">
        <v>63</v>
      </c>
      <c r="H1" s="3" t="s">
        <v>98</v>
      </c>
      <c r="I1" s="12" t="s">
        <v>99</v>
      </c>
    </row>
    <row r="2" spans="1:13" x14ac:dyDescent="0.25">
      <c r="A2" s="1" t="s">
        <v>5</v>
      </c>
      <c r="B2" s="1" t="s">
        <v>69</v>
      </c>
      <c r="C2" t="s">
        <v>6</v>
      </c>
      <c r="D2">
        <v>1</v>
      </c>
      <c r="E2">
        <v>1</v>
      </c>
      <c r="F2">
        <f>E2-D2+1</f>
        <v>1</v>
      </c>
      <c r="G2" s="7">
        <v>1</v>
      </c>
      <c r="H2" s="12">
        <v>1</v>
      </c>
      <c r="I2" s="19">
        <v>1</v>
      </c>
      <c r="J2" t="str">
        <f>"Dim " &amp; B2 &amp; " as string"</f>
        <v>Dim tag as string</v>
      </c>
      <c r="K2" t="str">
        <f>B2 &amp; " = " &amp; "Mid(InputStr, " &amp; D2 &amp; ", " &amp; F2 &amp; ")"</f>
        <v>tag = Mid(InputStr, 1, 1)</v>
      </c>
      <c r="L2" t="str">
        <f>"strAry(" &amp; I2 &amp; ") = " &amp; "Mid(pStr, " &amp; D2 &amp; ", " &amp; F2 &amp; ")"</f>
        <v>strAry(1) = Mid(pStr, 1, 1)</v>
      </c>
      <c r="M2" t="str">
        <f>"Cells(pPos, " &amp; H2 &amp; ")=strAry(" &amp; I2 &amp; ")"</f>
        <v>Cells(pPos, 1)=strAry(1)</v>
      </c>
    </row>
    <row r="3" spans="1:13" x14ac:dyDescent="0.25">
      <c r="A3" s="1" t="s">
        <v>7</v>
      </c>
      <c r="B3" s="1" t="s">
        <v>70</v>
      </c>
      <c r="C3" t="s">
        <v>8</v>
      </c>
      <c r="D3">
        <v>11</v>
      </c>
      <c r="E3">
        <v>15</v>
      </c>
      <c r="F3">
        <f t="shared" ref="F3:F30" si="0">E3-D3+1</f>
        <v>5</v>
      </c>
      <c r="H3" s="12">
        <v>2</v>
      </c>
      <c r="I3" s="19">
        <v>2</v>
      </c>
      <c r="J3" t="str">
        <f t="shared" ref="J3:J30" si="1">"Dim " &amp; B3 &amp; " as string"</f>
        <v>Dim CuNo as string</v>
      </c>
      <c r="K3" t="str">
        <f t="shared" ref="K3:K30" si="2">B3 &amp; " = " &amp; "Mid(InputStr, " &amp; D3 &amp; ", " &amp; F3 &amp; ")"</f>
        <v>CuNo = Mid(InputStr, 11, 5)</v>
      </c>
      <c r="L3" t="str">
        <f t="shared" ref="L3:L30" si="3">"strAry(" &amp; I3 &amp; ") = " &amp; "Mid(pStr, " &amp; D3 &amp; ", " &amp; F3 &amp; ")"</f>
        <v>strAry(2) = Mid(pStr, 11, 5)</v>
      </c>
      <c r="M3" t="str">
        <f t="shared" ref="M3:M30" si="4">"Cells(pPos, " &amp; H3 &amp; ")=strAry(" &amp; I3 &amp; ")"</f>
        <v>Cells(pPos, 2)=strAry(2)</v>
      </c>
    </row>
    <row r="4" spans="1:13" x14ac:dyDescent="0.25">
      <c r="A4" s="1" t="s">
        <v>9</v>
      </c>
      <c r="B4" s="1" t="s">
        <v>71</v>
      </c>
      <c r="C4" t="s">
        <v>10</v>
      </c>
      <c r="D4">
        <v>16</v>
      </c>
      <c r="E4">
        <v>21</v>
      </c>
      <c r="F4">
        <f t="shared" si="0"/>
        <v>6</v>
      </c>
      <c r="H4" s="12">
        <v>3</v>
      </c>
      <c r="I4" s="19">
        <v>3</v>
      </c>
      <c r="J4" t="str">
        <f t="shared" si="1"/>
        <v>Dim AccBd as string</v>
      </c>
      <c r="K4" t="str">
        <f t="shared" si="2"/>
        <v>AccBd = Mid(InputStr, 16, 6)</v>
      </c>
      <c r="L4" t="str">
        <f t="shared" si="3"/>
        <v>strAry(3) = Mid(pStr, 16, 6)</v>
      </c>
      <c r="M4" t="str">
        <f t="shared" si="4"/>
        <v>Cells(pPos, 3)=strAry(3)</v>
      </c>
    </row>
    <row r="5" spans="1:13" x14ac:dyDescent="0.25">
      <c r="B5" s="1" t="s">
        <v>72</v>
      </c>
      <c r="C5" t="s">
        <v>11</v>
      </c>
      <c r="D5">
        <v>22</v>
      </c>
      <c r="E5">
        <v>27</v>
      </c>
      <c r="F5">
        <f t="shared" si="0"/>
        <v>6</v>
      </c>
      <c r="H5" s="12">
        <v>4</v>
      </c>
      <c r="I5" s="19">
        <v>4</v>
      </c>
      <c r="J5" t="str">
        <f t="shared" si="1"/>
        <v>Dim AccEd as string</v>
      </c>
      <c r="K5" t="str">
        <f t="shared" si="2"/>
        <v>AccEd = Mid(InputStr, 22, 6)</v>
      </c>
      <c r="L5" t="str">
        <f t="shared" si="3"/>
        <v>strAry(4) = Mid(pStr, 22, 6)</v>
      </c>
      <c r="M5" t="str">
        <f t="shared" si="4"/>
        <v>Cells(pPos, 4)=strAry(4)</v>
      </c>
    </row>
    <row r="6" spans="1:13" x14ac:dyDescent="0.25">
      <c r="A6" s="1" t="s">
        <v>12</v>
      </c>
      <c r="B6" s="1" t="s">
        <v>69</v>
      </c>
      <c r="C6" t="s">
        <v>13</v>
      </c>
      <c r="D6">
        <v>1</v>
      </c>
      <c r="E6">
        <v>1</v>
      </c>
      <c r="F6">
        <f t="shared" si="0"/>
        <v>1</v>
      </c>
      <c r="G6" s="7">
        <v>2</v>
      </c>
      <c r="H6" s="12">
        <v>5</v>
      </c>
      <c r="I6" s="12">
        <v>1</v>
      </c>
      <c r="J6" t="str">
        <f t="shared" si="1"/>
        <v>Dim tag as string</v>
      </c>
      <c r="K6" t="str">
        <f t="shared" si="2"/>
        <v>tag = Mid(InputStr, 1, 1)</v>
      </c>
      <c r="L6" t="str">
        <f t="shared" si="3"/>
        <v>strAry(1) = Mid(pStr, 1, 1)</v>
      </c>
      <c r="M6" t="str">
        <f t="shared" si="4"/>
        <v>Cells(pPos, 5)=strAry(1)</v>
      </c>
    </row>
    <row r="7" spans="1:13" x14ac:dyDescent="0.25">
      <c r="A7" s="1" t="s">
        <v>14</v>
      </c>
      <c r="B7" s="1" t="s">
        <v>73</v>
      </c>
      <c r="C7" t="s">
        <v>15</v>
      </c>
      <c r="D7">
        <v>2</v>
      </c>
      <c r="E7">
        <v>8</v>
      </c>
      <c r="F7">
        <f t="shared" si="0"/>
        <v>7</v>
      </c>
      <c r="H7" s="12">
        <v>6</v>
      </c>
      <c r="I7" s="12">
        <v>2</v>
      </c>
      <c r="J7" t="str">
        <f t="shared" si="1"/>
        <v>Dim ListNo as string</v>
      </c>
      <c r="K7" t="str">
        <f t="shared" si="2"/>
        <v>ListNo = Mid(InputStr, 2, 7)</v>
      </c>
      <c r="L7" t="str">
        <f t="shared" si="3"/>
        <v>strAry(2) = Mid(pStr, 2, 7)</v>
      </c>
      <c r="M7" t="str">
        <f t="shared" si="4"/>
        <v>Cells(pPos, 6)=strAry(2)</v>
      </c>
    </row>
    <row r="8" spans="1:13" x14ac:dyDescent="0.25">
      <c r="A8" s="1" t="s">
        <v>16</v>
      </c>
      <c r="B8" s="1" t="s">
        <v>74</v>
      </c>
      <c r="C8" t="s">
        <v>17</v>
      </c>
      <c r="D8">
        <v>9</v>
      </c>
      <c r="E8">
        <v>10</v>
      </c>
      <c r="F8">
        <f t="shared" si="0"/>
        <v>2</v>
      </c>
      <c r="H8" s="12">
        <v>7</v>
      </c>
      <c r="I8" s="12">
        <v>3</v>
      </c>
      <c r="J8" t="str">
        <f t="shared" si="1"/>
        <v>Dim ListSeq as string</v>
      </c>
      <c r="K8" t="str">
        <f t="shared" si="2"/>
        <v>ListSeq = Mid(InputStr, 9, 2)</v>
      </c>
      <c r="L8" t="str">
        <f t="shared" si="3"/>
        <v>strAry(3) = Mid(pStr, 9, 2)</v>
      </c>
      <c r="M8" t="str">
        <f t="shared" si="4"/>
        <v>Cells(pPos, 7)=strAry(3)</v>
      </c>
    </row>
    <row r="9" spans="1:13" x14ac:dyDescent="0.25">
      <c r="A9" s="1" t="s">
        <v>18</v>
      </c>
      <c r="B9" s="1" t="s">
        <v>75</v>
      </c>
      <c r="C9" t="s">
        <v>19</v>
      </c>
      <c r="D9">
        <v>11</v>
      </c>
      <c r="E9">
        <v>12</v>
      </c>
      <c r="F9">
        <f t="shared" si="0"/>
        <v>2</v>
      </c>
      <c r="G9" s="3" t="s">
        <v>20</v>
      </c>
      <c r="H9" s="12">
        <v>8</v>
      </c>
      <c r="I9" s="12">
        <v>4</v>
      </c>
      <c r="J9" t="str">
        <f t="shared" si="1"/>
        <v>Dim ListType as string</v>
      </c>
      <c r="K9" t="str">
        <f t="shared" si="2"/>
        <v>ListType = Mid(InputStr, 11, 2)</v>
      </c>
      <c r="L9" t="str">
        <f t="shared" si="3"/>
        <v>strAry(4) = Mid(pStr, 11, 2)</v>
      </c>
      <c r="M9" t="str">
        <f t="shared" si="4"/>
        <v>Cells(pPos, 8)=strAry(4)</v>
      </c>
    </row>
    <row r="10" spans="1:13" x14ac:dyDescent="0.25">
      <c r="A10" s="1" t="s">
        <v>21</v>
      </c>
      <c r="B10" s="1" t="s">
        <v>76</v>
      </c>
      <c r="C10" t="s">
        <v>22</v>
      </c>
      <c r="D10">
        <v>13</v>
      </c>
      <c r="E10">
        <v>19</v>
      </c>
      <c r="F10">
        <f t="shared" si="0"/>
        <v>7</v>
      </c>
      <c r="H10" s="12">
        <v>9</v>
      </c>
      <c r="I10" s="12">
        <v>5</v>
      </c>
      <c r="J10" t="str">
        <f t="shared" si="1"/>
        <v>Dim Contract as string</v>
      </c>
      <c r="K10" t="str">
        <f t="shared" si="2"/>
        <v>Contract = Mid(InputStr, 13, 7)</v>
      </c>
      <c r="L10" t="str">
        <f t="shared" si="3"/>
        <v>strAry(5) = Mid(pStr, 13, 7)</v>
      </c>
      <c r="M10" t="str">
        <f t="shared" si="4"/>
        <v>Cells(pPos, 9)=strAry(5)</v>
      </c>
    </row>
    <row r="11" spans="1:13" x14ac:dyDescent="0.25">
      <c r="A11" s="1" t="s">
        <v>23</v>
      </c>
      <c r="B11" s="1" t="s">
        <v>77</v>
      </c>
      <c r="C11" t="s">
        <v>45</v>
      </c>
      <c r="D11">
        <v>20</v>
      </c>
      <c r="E11">
        <v>29</v>
      </c>
      <c r="F11">
        <f t="shared" si="0"/>
        <v>10</v>
      </c>
      <c r="H11" s="12">
        <v>10</v>
      </c>
      <c r="I11" s="12">
        <v>6</v>
      </c>
      <c r="J11" t="str">
        <f t="shared" si="1"/>
        <v>Dim ShipNote as string</v>
      </c>
      <c r="K11" t="str">
        <f t="shared" si="2"/>
        <v>ShipNote = Mid(InputStr, 20, 10)</v>
      </c>
      <c r="L11" t="str">
        <f t="shared" si="3"/>
        <v>strAry(6) = Mid(pStr, 20, 10)</v>
      </c>
      <c r="M11" t="str">
        <f t="shared" si="4"/>
        <v>Cells(pPos, 10)=strAry(6)</v>
      </c>
    </row>
    <row r="12" spans="1:13" x14ac:dyDescent="0.25">
      <c r="A12" s="1" t="s">
        <v>24</v>
      </c>
      <c r="B12" s="1" t="s">
        <v>78</v>
      </c>
      <c r="C12" t="s">
        <v>25</v>
      </c>
      <c r="D12">
        <v>30</v>
      </c>
      <c r="E12">
        <v>31</v>
      </c>
      <c r="F12">
        <f t="shared" si="0"/>
        <v>2</v>
      </c>
      <c r="G12" s="3" t="s">
        <v>48</v>
      </c>
      <c r="H12" s="12">
        <v>11</v>
      </c>
      <c r="I12" s="12">
        <v>7</v>
      </c>
      <c r="J12" t="str">
        <f t="shared" si="1"/>
        <v>Dim Class as string</v>
      </c>
      <c r="K12" t="str">
        <f t="shared" si="2"/>
        <v>Class = Mid(InputStr, 30, 2)</v>
      </c>
      <c r="L12" t="str">
        <f t="shared" si="3"/>
        <v>strAry(7) = Mid(pStr, 30, 2)</v>
      </c>
      <c r="M12" t="str">
        <f t="shared" si="4"/>
        <v>Cells(pPos, 11)=strAry(7)</v>
      </c>
    </row>
    <row r="13" spans="1:13" x14ac:dyDescent="0.25">
      <c r="A13" s="1" t="s">
        <v>26</v>
      </c>
      <c r="B13" s="1" t="s">
        <v>97</v>
      </c>
      <c r="C13" t="s">
        <v>64</v>
      </c>
      <c r="D13">
        <v>32</v>
      </c>
      <c r="E13">
        <v>41</v>
      </c>
      <c r="F13">
        <f t="shared" si="0"/>
        <v>10</v>
      </c>
      <c r="H13" s="12">
        <v>12</v>
      </c>
      <c r="I13" s="12">
        <v>8</v>
      </c>
      <c r="J13" t="str">
        <f t="shared" si="1"/>
        <v>Dim OrgElNo as string</v>
      </c>
      <c r="K13" t="str">
        <f t="shared" si="2"/>
        <v>OrgElNo = Mid(InputStr, 32, 10)</v>
      </c>
      <c r="L13" t="str">
        <f t="shared" si="3"/>
        <v>strAry(8) = Mid(pStr, 32, 10)</v>
      </c>
      <c r="M13" t="str">
        <f t="shared" si="4"/>
        <v>Cells(pPos, 12)=strAry(8)</v>
      </c>
    </row>
    <row r="14" spans="1:13" x14ac:dyDescent="0.25">
      <c r="A14" s="1" t="s">
        <v>51</v>
      </c>
      <c r="B14" s="1" t="s">
        <v>80</v>
      </c>
      <c r="C14" t="s">
        <v>52</v>
      </c>
      <c r="D14">
        <v>42</v>
      </c>
      <c r="E14">
        <v>42</v>
      </c>
      <c r="F14">
        <f>E14-D14+1</f>
        <v>1</v>
      </c>
      <c r="G14" s="3" t="s">
        <v>49</v>
      </c>
      <c r="H14" s="12">
        <v>13</v>
      </c>
      <c r="I14" s="12">
        <v>10</v>
      </c>
      <c r="J14" t="str">
        <f t="shared" si="1"/>
        <v>Dim Quality as string</v>
      </c>
      <c r="K14" t="str">
        <f t="shared" si="2"/>
        <v>Quality = Mid(InputStr, 42, 1)</v>
      </c>
      <c r="L14" t="str">
        <f t="shared" si="3"/>
        <v>strAry(10) = Mid(pStr, 42, 1)</v>
      </c>
      <c r="M14" t="str">
        <f t="shared" si="4"/>
        <v>Cells(pPos, 13)=strAry(10)</v>
      </c>
    </row>
    <row r="15" spans="1:13" x14ac:dyDescent="0.25">
      <c r="A15" s="1" t="s">
        <v>27</v>
      </c>
      <c r="B15" s="1" t="s">
        <v>81</v>
      </c>
      <c r="C15" t="s">
        <v>28</v>
      </c>
      <c r="D15">
        <v>43</v>
      </c>
      <c r="E15">
        <v>51</v>
      </c>
      <c r="F15">
        <f t="shared" si="0"/>
        <v>9</v>
      </c>
      <c r="H15" s="12">
        <v>14</v>
      </c>
      <c r="I15" s="12">
        <v>11</v>
      </c>
      <c r="J15" t="str">
        <f t="shared" si="1"/>
        <v>Dim Qty as string</v>
      </c>
      <c r="K15" t="str">
        <f t="shared" si="2"/>
        <v>Qty = Mid(InputStr, 43, 9)</v>
      </c>
      <c r="L15" t="str">
        <f t="shared" si="3"/>
        <v>strAry(11) = Mid(pStr, 43, 9)</v>
      </c>
      <c r="M15" t="str">
        <f t="shared" si="4"/>
        <v>Cells(pPos, 14)=strAry(11)</v>
      </c>
    </row>
    <row r="16" spans="1:13" x14ac:dyDescent="0.25">
      <c r="A16" s="10"/>
      <c r="B16" s="10" t="s">
        <v>82</v>
      </c>
      <c r="C16" t="s">
        <v>50</v>
      </c>
      <c r="D16">
        <v>52</v>
      </c>
      <c r="E16">
        <v>60</v>
      </c>
      <c r="F16">
        <f t="shared" si="0"/>
        <v>9</v>
      </c>
      <c r="H16" s="12">
        <v>15</v>
      </c>
      <c r="I16" s="12">
        <v>12</v>
      </c>
      <c r="J16" t="str">
        <f t="shared" si="1"/>
        <v>Dim QtyOK as string</v>
      </c>
      <c r="K16" t="str">
        <f t="shared" si="2"/>
        <v>QtyOK = Mid(InputStr, 52, 9)</v>
      </c>
      <c r="L16" t="str">
        <f t="shared" si="3"/>
        <v>strAry(12) = Mid(pStr, 52, 9)</v>
      </c>
      <c r="M16" t="str">
        <f t="shared" si="4"/>
        <v>Cells(pPos, 15)=strAry(12)</v>
      </c>
    </row>
    <row r="17" spans="1:13" x14ac:dyDescent="0.25">
      <c r="A17" s="1" t="s">
        <v>29</v>
      </c>
      <c r="B17" s="1" t="s">
        <v>83</v>
      </c>
      <c r="C17" t="s">
        <v>30</v>
      </c>
      <c r="D17">
        <v>61</v>
      </c>
      <c r="E17">
        <v>63</v>
      </c>
      <c r="F17">
        <f t="shared" si="0"/>
        <v>3</v>
      </c>
      <c r="H17" s="12">
        <v>16</v>
      </c>
      <c r="I17" s="12">
        <v>13</v>
      </c>
      <c r="J17" t="str">
        <f t="shared" si="1"/>
        <v>Dim Unit as string</v>
      </c>
      <c r="K17" t="str">
        <f t="shared" si="2"/>
        <v>Unit = Mid(InputStr, 61, 3)</v>
      </c>
      <c r="L17" t="str">
        <f t="shared" si="3"/>
        <v>strAry(13) = Mid(pStr, 61, 3)</v>
      </c>
      <c r="M17" t="str">
        <f t="shared" si="4"/>
        <v>Cells(pPos, 16)=strAry(13)</v>
      </c>
    </row>
    <row r="18" spans="1:13" x14ac:dyDescent="0.25">
      <c r="A18" s="1" t="s">
        <v>47</v>
      </c>
      <c r="B18" s="1" t="s">
        <v>84</v>
      </c>
      <c r="C18" t="s">
        <v>53</v>
      </c>
      <c r="D18">
        <v>64</v>
      </c>
      <c r="E18">
        <v>75</v>
      </c>
      <c r="F18">
        <f t="shared" si="0"/>
        <v>12</v>
      </c>
      <c r="H18" s="12">
        <v>17</v>
      </c>
      <c r="I18" s="12">
        <v>14</v>
      </c>
      <c r="J18" t="str">
        <f t="shared" si="1"/>
        <v>Dim Price as string</v>
      </c>
      <c r="K18" t="str">
        <f t="shared" si="2"/>
        <v>Price = Mid(InputStr, 64, 12)</v>
      </c>
      <c r="L18" t="str">
        <f t="shared" si="3"/>
        <v>strAry(14) = Mid(pStr, 64, 12)</v>
      </c>
      <c r="M18" t="str">
        <f t="shared" si="4"/>
        <v>Cells(pPos, 17)=strAry(14)</v>
      </c>
    </row>
    <row r="19" spans="1:13" x14ac:dyDescent="0.25">
      <c r="A19" s="1" t="s">
        <v>1</v>
      </c>
      <c r="B19" s="1" t="s">
        <v>86</v>
      </c>
      <c r="C19" t="s">
        <v>34</v>
      </c>
      <c r="D19">
        <v>76</v>
      </c>
      <c r="E19">
        <v>84</v>
      </c>
      <c r="F19">
        <f t="shared" si="0"/>
        <v>9</v>
      </c>
      <c r="H19" s="12">
        <v>18</v>
      </c>
      <c r="I19" s="12">
        <v>15</v>
      </c>
      <c r="J19" t="str">
        <f t="shared" si="1"/>
        <v>Dim Amt00 as string</v>
      </c>
      <c r="K19" t="str">
        <f t="shared" si="2"/>
        <v>Amt00 = Mid(InputStr, 76, 9)</v>
      </c>
      <c r="L19" t="str">
        <f t="shared" si="3"/>
        <v>strAry(15) = Mid(pStr, 76, 9)</v>
      </c>
      <c r="M19" t="str">
        <f t="shared" si="4"/>
        <v>Cells(pPos, 18)=strAry(15)</v>
      </c>
    </row>
    <row r="20" spans="1:13" x14ac:dyDescent="0.25">
      <c r="A20" s="1" t="s">
        <v>54</v>
      </c>
      <c r="B20" s="1" t="s">
        <v>85</v>
      </c>
      <c r="C20" t="s">
        <v>55</v>
      </c>
      <c r="D20">
        <v>85</v>
      </c>
      <c r="E20">
        <v>92</v>
      </c>
      <c r="F20">
        <f t="shared" si="0"/>
        <v>8</v>
      </c>
      <c r="H20" s="12">
        <v>19</v>
      </c>
      <c r="I20" s="12">
        <v>16</v>
      </c>
      <c r="J20" t="str">
        <f t="shared" si="1"/>
        <v>Dim DevD as string</v>
      </c>
      <c r="K20" t="str">
        <f t="shared" si="2"/>
        <v>DevD = Mid(InputStr, 85, 8)</v>
      </c>
      <c r="L20" t="str">
        <f t="shared" si="3"/>
        <v>strAry(16) = Mid(pStr, 85, 8)</v>
      </c>
      <c r="M20" t="str">
        <f t="shared" si="4"/>
        <v>Cells(pPos, 19)=strAry(16)</v>
      </c>
    </row>
    <row r="21" spans="1:13" x14ac:dyDescent="0.25">
      <c r="A21" s="2" t="s">
        <v>2</v>
      </c>
      <c r="B21" s="11" t="s">
        <v>93</v>
      </c>
      <c r="C21" t="s">
        <v>36</v>
      </c>
      <c r="D21">
        <v>93</v>
      </c>
      <c r="E21">
        <v>101</v>
      </c>
      <c r="F21">
        <f t="shared" si="0"/>
        <v>9</v>
      </c>
      <c r="H21" s="12">
        <v>20</v>
      </c>
      <c r="I21" s="12">
        <v>17</v>
      </c>
      <c r="J21" t="str">
        <f t="shared" si="1"/>
        <v>Dim KouKan01 as string</v>
      </c>
      <c r="K21" t="str">
        <f t="shared" si="2"/>
        <v>KouKan01 = Mid(InputStr, 93, 9)</v>
      </c>
      <c r="L21" t="str">
        <f t="shared" si="3"/>
        <v>strAry(17) = Mid(pStr, 93, 9)</v>
      </c>
      <c r="M21" t="str">
        <f t="shared" si="4"/>
        <v>Cells(pPos, 20)=strAry(17)</v>
      </c>
    </row>
    <row r="22" spans="1:13" x14ac:dyDescent="0.25">
      <c r="A22" s="1" t="s">
        <v>3</v>
      </c>
      <c r="B22" s="1" t="s">
        <v>94</v>
      </c>
      <c r="C22" t="s">
        <v>38</v>
      </c>
      <c r="D22">
        <v>102</v>
      </c>
      <c r="E22">
        <v>110</v>
      </c>
      <c r="F22">
        <f t="shared" si="0"/>
        <v>9</v>
      </c>
      <c r="H22" s="12">
        <v>21</v>
      </c>
      <c r="I22" s="12">
        <v>18</v>
      </c>
      <c r="J22" t="str">
        <f t="shared" si="1"/>
        <v>Dim KouKan02 as string</v>
      </c>
      <c r="K22" t="str">
        <f t="shared" si="2"/>
        <v>KouKan02 = Mid(InputStr, 102, 9)</v>
      </c>
      <c r="L22" t="str">
        <f t="shared" si="3"/>
        <v>strAry(18) = Mid(pStr, 102, 9)</v>
      </c>
      <c r="M22" t="str">
        <f t="shared" si="4"/>
        <v>Cells(pPos, 21)=strAry(18)</v>
      </c>
    </row>
    <row r="23" spans="1:13" x14ac:dyDescent="0.25">
      <c r="A23" s="1" t="s">
        <v>4</v>
      </c>
      <c r="B23" s="1" t="s">
        <v>87</v>
      </c>
      <c r="C23" t="s">
        <v>40</v>
      </c>
      <c r="D23">
        <v>111</v>
      </c>
      <c r="E23">
        <v>119</v>
      </c>
      <c r="F23">
        <f t="shared" si="0"/>
        <v>9</v>
      </c>
      <c r="H23" s="12">
        <v>22</v>
      </c>
      <c r="I23" s="12">
        <v>19</v>
      </c>
      <c r="J23" t="str">
        <f t="shared" si="1"/>
        <v>Dim Amt01 as string</v>
      </c>
      <c r="K23" t="str">
        <f t="shared" si="2"/>
        <v>Amt01 = Mid(InputStr, 111, 9)</v>
      </c>
      <c r="L23" t="str">
        <f t="shared" si="3"/>
        <v>strAry(19) = Mid(pStr, 111, 9)</v>
      </c>
      <c r="M23" t="str">
        <f t="shared" si="4"/>
        <v>Cells(pPos, 22)=strAry(19)</v>
      </c>
    </row>
    <row r="24" spans="1:13" x14ac:dyDescent="0.25">
      <c r="A24" s="1" t="s">
        <v>41</v>
      </c>
      <c r="B24" s="1" t="s">
        <v>89</v>
      </c>
      <c r="C24" t="s">
        <v>42</v>
      </c>
      <c r="D24">
        <v>121</v>
      </c>
      <c r="E24">
        <v>121</v>
      </c>
      <c r="F24">
        <f t="shared" si="0"/>
        <v>1</v>
      </c>
      <c r="G24" s="3" t="s">
        <v>56</v>
      </c>
      <c r="H24" s="12">
        <v>23</v>
      </c>
      <c r="I24" s="12">
        <v>21</v>
      </c>
      <c r="J24" t="str">
        <f t="shared" si="1"/>
        <v>Dim Check as string</v>
      </c>
      <c r="K24" t="str">
        <f t="shared" si="2"/>
        <v>Check = Mid(InputStr, 121, 1)</v>
      </c>
      <c r="L24" t="str">
        <f t="shared" si="3"/>
        <v>strAry(21) = Mid(pStr, 121, 1)</v>
      </c>
      <c r="M24" t="str">
        <f t="shared" si="4"/>
        <v>Cells(pPos, 23)=strAry(21)</v>
      </c>
    </row>
    <row r="25" spans="1:13" x14ac:dyDescent="0.25">
      <c r="A25" s="1" t="s">
        <v>43</v>
      </c>
      <c r="B25" s="1" t="s">
        <v>90</v>
      </c>
      <c r="C25" t="s">
        <v>44</v>
      </c>
      <c r="D25">
        <v>122</v>
      </c>
      <c r="E25">
        <v>122</v>
      </c>
      <c r="F25">
        <f t="shared" si="0"/>
        <v>1</v>
      </c>
      <c r="G25" s="3" t="s">
        <v>57</v>
      </c>
      <c r="H25" s="12">
        <v>24</v>
      </c>
      <c r="I25" s="12">
        <v>22</v>
      </c>
      <c r="J25" t="str">
        <f t="shared" si="1"/>
        <v>Dim Rec as string</v>
      </c>
      <c r="K25" t="str">
        <f t="shared" si="2"/>
        <v>Rec = Mid(InputStr, 122, 1)</v>
      </c>
      <c r="L25" t="str">
        <f t="shared" si="3"/>
        <v>strAry(22) = Mid(pStr, 122, 1)</v>
      </c>
      <c r="M25" t="str">
        <f t="shared" si="4"/>
        <v>Cells(pPos, 24)=strAry(22)</v>
      </c>
    </row>
    <row r="26" spans="1:13" x14ac:dyDescent="0.25">
      <c r="A26" s="1" t="s">
        <v>31</v>
      </c>
      <c r="B26" s="1" t="s">
        <v>69</v>
      </c>
      <c r="C26" t="s">
        <v>32</v>
      </c>
      <c r="D26">
        <v>1</v>
      </c>
      <c r="E26">
        <v>1</v>
      </c>
      <c r="F26">
        <f t="shared" si="0"/>
        <v>1</v>
      </c>
      <c r="G26" s="7" t="s">
        <v>46</v>
      </c>
      <c r="H26" s="12">
        <v>25</v>
      </c>
      <c r="I26" s="19">
        <v>1</v>
      </c>
      <c r="J26" t="str">
        <f t="shared" si="1"/>
        <v>Dim tag as string</v>
      </c>
      <c r="K26" t="str">
        <f t="shared" si="2"/>
        <v>tag = Mid(InputStr, 1, 1)</v>
      </c>
      <c r="L26" t="str">
        <f t="shared" si="3"/>
        <v>strAry(1) = Mid(pStr, 1, 1)</v>
      </c>
      <c r="M26" t="str">
        <f t="shared" si="4"/>
        <v>Cells(pPos, 25)=strAry(1)</v>
      </c>
    </row>
    <row r="27" spans="1:13" x14ac:dyDescent="0.25">
      <c r="A27" s="1" t="s">
        <v>33</v>
      </c>
      <c r="B27" s="1" t="s">
        <v>91</v>
      </c>
      <c r="C27" t="s">
        <v>34</v>
      </c>
      <c r="D27">
        <v>2</v>
      </c>
      <c r="E27">
        <v>10</v>
      </c>
      <c r="F27">
        <f t="shared" si="0"/>
        <v>9</v>
      </c>
      <c r="H27" s="12">
        <v>26</v>
      </c>
      <c r="I27" s="19">
        <v>2</v>
      </c>
      <c r="J27" t="str">
        <f t="shared" si="1"/>
        <v>Dim Amt11 as string</v>
      </c>
      <c r="K27" t="str">
        <f t="shared" si="2"/>
        <v>Amt11 = Mid(InputStr, 2, 9)</v>
      </c>
      <c r="L27" t="str">
        <f t="shared" si="3"/>
        <v>strAry(2) = Mid(pStr, 2, 9)</v>
      </c>
      <c r="M27" t="str">
        <f t="shared" si="4"/>
        <v>Cells(pPos, 26)=strAry(2)</v>
      </c>
    </row>
    <row r="28" spans="1:13" x14ac:dyDescent="0.25">
      <c r="A28" s="2" t="s">
        <v>35</v>
      </c>
      <c r="B28" s="11" t="s">
        <v>95</v>
      </c>
      <c r="C28" t="s">
        <v>36</v>
      </c>
      <c r="D28">
        <v>11</v>
      </c>
      <c r="E28">
        <v>19</v>
      </c>
      <c r="F28">
        <f t="shared" si="0"/>
        <v>9</v>
      </c>
      <c r="H28" s="12">
        <v>27</v>
      </c>
      <c r="I28" s="19">
        <v>3</v>
      </c>
      <c r="J28" t="str">
        <f t="shared" si="1"/>
        <v>Dim KouKan11 as string</v>
      </c>
      <c r="K28" t="str">
        <f t="shared" si="2"/>
        <v>KouKan11 = Mid(InputStr, 11, 9)</v>
      </c>
      <c r="L28" t="str">
        <f t="shared" si="3"/>
        <v>strAry(3) = Mid(pStr, 11, 9)</v>
      </c>
      <c r="M28" t="str">
        <f t="shared" si="4"/>
        <v>Cells(pPos, 27)=strAry(3)</v>
      </c>
    </row>
    <row r="29" spans="1:13" x14ac:dyDescent="0.25">
      <c r="A29" s="1" t="s">
        <v>37</v>
      </c>
      <c r="B29" s="1" t="s">
        <v>96</v>
      </c>
      <c r="C29" t="s">
        <v>38</v>
      </c>
      <c r="D29">
        <v>20</v>
      </c>
      <c r="E29">
        <v>28</v>
      </c>
      <c r="F29">
        <f t="shared" si="0"/>
        <v>9</v>
      </c>
      <c r="H29" s="12">
        <v>28</v>
      </c>
      <c r="I29" s="19">
        <v>4</v>
      </c>
      <c r="J29" t="str">
        <f t="shared" si="1"/>
        <v>Dim KouKan12 as string</v>
      </c>
      <c r="K29" t="str">
        <f t="shared" si="2"/>
        <v>KouKan12 = Mid(InputStr, 20, 9)</v>
      </c>
      <c r="L29" t="str">
        <f t="shared" si="3"/>
        <v>strAry(4) = Mid(pStr, 20, 9)</v>
      </c>
      <c r="M29" t="str">
        <f t="shared" si="4"/>
        <v>Cells(pPos, 28)=strAry(4)</v>
      </c>
    </row>
    <row r="30" spans="1:13" x14ac:dyDescent="0.25">
      <c r="A30" s="1" t="s">
        <v>39</v>
      </c>
      <c r="B30" s="1" t="s">
        <v>92</v>
      </c>
      <c r="C30" t="s">
        <v>40</v>
      </c>
      <c r="D30">
        <v>29</v>
      </c>
      <c r="E30">
        <v>37</v>
      </c>
      <c r="F30">
        <f t="shared" si="0"/>
        <v>9</v>
      </c>
      <c r="H30" s="12">
        <v>29</v>
      </c>
      <c r="I30" s="19">
        <v>5</v>
      </c>
      <c r="J30" t="str">
        <f t="shared" si="1"/>
        <v>Dim Amt12 as string</v>
      </c>
      <c r="K30" t="str">
        <f t="shared" si="2"/>
        <v>Amt12 = Mid(InputStr, 29, 9)</v>
      </c>
      <c r="L30" t="str">
        <f t="shared" si="3"/>
        <v>strAry(5) = Mid(pStr, 29, 9)</v>
      </c>
      <c r="M30" t="str">
        <f t="shared" si="4"/>
        <v>Cells(pPos, 29)=strAry(5)</v>
      </c>
    </row>
    <row r="32" spans="1:13" s="15" customFormat="1" x14ac:dyDescent="0.25">
      <c r="A32" s="4" t="s">
        <v>0</v>
      </c>
      <c r="B32" s="4" t="s">
        <v>79</v>
      </c>
      <c r="C32" s="5"/>
      <c r="D32" s="5">
        <v>42</v>
      </c>
      <c r="E32" s="5">
        <v>42</v>
      </c>
      <c r="F32" s="5">
        <f>E32-D32+1</f>
        <v>1</v>
      </c>
      <c r="G32" s="6" t="s">
        <v>49</v>
      </c>
      <c r="H32" s="12">
        <v>13</v>
      </c>
      <c r="I32" s="16">
        <v>9</v>
      </c>
      <c r="J32" s="15" t="str">
        <f>"Dim " &amp; B32 &amp; " as string"</f>
        <v>Dim c as string</v>
      </c>
      <c r="K32" s="15" t="str">
        <f>B32 &amp; " = " &amp; "Mid(InputStr, " &amp; D32 &amp; ", " &amp; F32 &amp; ")"</f>
        <v>c = Mid(InputStr, 42, 1)</v>
      </c>
      <c r="L32" s="15" t="str">
        <f>"strAry(" &amp; I32 &amp; ") = " &amp; "Mid(InputStr, " &amp; D32 &amp; ", " &amp; F32 &amp; ")"</f>
        <v>strAry(9) = Mid(InputStr, 42, 1)</v>
      </c>
    </row>
    <row r="33" spans="1:12" x14ac:dyDescent="0.25">
      <c r="A33" s="13"/>
      <c r="B33" s="13" t="s">
        <v>88</v>
      </c>
      <c r="C33" s="5"/>
      <c r="D33" s="5">
        <v>120</v>
      </c>
      <c r="E33" s="5">
        <v>120</v>
      </c>
      <c r="F33" s="5">
        <f>E33-D33+1</f>
        <v>1</v>
      </c>
      <c r="G33" s="6" t="s">
        <v>58</v>
      </c>
      <c r="H33" s="12">
        <v>24</v>
      </c>
      <c r="I33" s="12">
        <v>20</v>
      </c>
      <c r="J33" t="str">
        <f>"Dim " &amp; B33 &amp; " as string"</f>
        <v>Dim cc as string</v>
      </c>
      <c r="K33" t="str">
        <f>B33 &amp; " = " &amp; "Mid(InputStr, " &amp; D33 &amp; ", " &amp; F33 &amp; ")"</f>
        <v>cc = Mid(InputStr, 120, 1)</v>
      </c>
      <c r="L33" t="str">
        <f>"strAry(" &amp; I33 &amp; ") = " &amp; "Mid(InputStr, " &amp; D33 &amp; ", " &amp; F33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C13"/>
  <sheetViews>
    <sheetView tabSelected="1" workbookViewId="0">
      <pane ySplit="3" topLeftCell="A4" activePane="bottomLeft" state="frozen"/>
      <selection pane="bottomLeft" activeCell="A7" sqref="A7"/>
    </sheetView>
  </sheetViews>
  <sheetFormatPr defaultRowHeight="16.5" x14ac:dyDescent="0.25"/>
  <cols>
    <col min="1" max="1" width="4.625" customWidth="1"/>
    <col min="2" max="2" width="8.375" customWidth="1"/>
    <col min="4" max="4" width="8" bestFit="1" customWidth="1"/>
    <col min="5" max="5" width="4.5" customWidth="1"/>
    <col min="7" max="8" width="4.75" bestFit="1" customWidth="1"/>
    <col min="9" max="9" width="8.75" customWidth="1"/>
    <col min="10" max="10" width="10.625" customWidth="1"/>
    <col min="11" max="11" width="4.75" bestFit="1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20" max="20" width="6.25" bestFit="1" customWidth="1"/>
    <col min="25" max="25" width="4.75" bestFit="1" customWidth="1"/>
    <col min="26" max="26" width="10.75" customWidth="1"/>
  </cols>
  <sheetData>
    <row r="1" spans="1:29" s="9" customFormat="1" ht="21.75" customHeight="1" x14ac:dyDescent="0.25">
      <c r="A1" s="9" t="s">
        <v>65</v>
      </c>
      <c r="C1" s="9" t="s">
        <v>100</v>
      </c>
      <c r="H1" s="9" t="s">
        <v>66</v>
      </c>
      <c r="J1" s="9" t="s">
        <v>68</v>
      </c>
    </row>
    <row r="2" spans="1:29" s="12" customFormat="1" x14ac:dyDescent="0.25">
      <c r="A2" s="17">
        <v>1</v>
      </c>
      <c r="B2" s="17">
        <v>2</v>
      </c>
      <c r="C2" s="17">
        <v>3</v>
      </c>
      <c r="D2" s="17">
        <v>4</v>
      </c>
      <c r="E2" s="18">
        <v>1</v>
      </c>
      <c r="F2" s="18">
        <v>2</v>
      </c>
      <c r="G2" s="18">
        <v>3</v>
      </c>
      <c r="H2" s="18">
        <v>4</v>
      </c>
      <c r="I2" s="18">
        <v>5</v>
      </c>
      <c r="J2" s="18">
        <v>6</v>
      </c>
      <c r="K2" s="18">
        <v>7</v>
      </c>
      <c r="L2" s="18">
        <v>8</v>
      </c>
      <c r="M2" s="18">
        <v>10</v>
      </c>
      <c r="N2" s="18">
        <v>11</v>
      </c>
      <c r="O2" s="18">
        <v>12</v>
      </c>
      <c r="P2" s="18">
        <v>13</v>
      </c>
      <c r="Q2" s="18">
        <v>14</v>
      </c>
      <c r="R2" s="18">
        <v>15</v>
      </c>
      <c r="S2" s="18">
        <v>16</v>
      </c>
      <c r="T2" s="18">
        <v>17</v>
      </c>
      <c r="U2" s="18">
        <v>18</v>
      </c>
      <c r="V2" s="18">
        <v>19</v>
      </c>
      <c r="W2" s="18">
        <v>21</v>
      </c>
      <c r="X2" s="18">
        <v>22</v>
      </c>
      <c r="Y2" s="17">
        <v>1</v>
      </c>
      <c r="Z2" s="17">
        <v>2</v>
      </c>
      <c r="AA2" s="17">
        <v>3</v>
      </c>
      <c r="AB2" s="17">
        <v>4</v>
      </c>
      <c r="AC2" s="17">
        <v>5</v>
      </c>
    </row>
    <row r="3" spans="1:29" s="8" customFormat="1" ht="14.25" x14ac:dyDescent="0.25">
      <c r="A3" s="14" t="s">
        <v>6</v>
      </c>
      <c r="B3" s="8" t="s">
        <v>8</v>
      </c>
      <c r="C3" s="8" t="s">
        <v>10</v>
      </c>
      <c r="D3" s="8" t="s">
        <v>11</v>
      </c>
      <c r="E3" s="14" t="s">
        <v>13</v>
      </c>
      <c r="F3" s="8" t="s">
        <v>15</v>
      </c>
      <c r="G3" s="8" t="s">
        <v>17</v>
      </c>
      <c r="H3" s="8" t="s">
        <v>19</v>
      </c>
      <c r="I3" s="8" t="s">
        <v>22</v>
      </c>
      <c r="J3" s="8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8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4" t="s">
        <v>32</v>
      </c>
      <c r="Z3" s="8" t="s">
        <v>34</v>
      </c>
      <c r="AA3" s="8" t="s">
        <v>36</v>
      </c>
      <c r="AB3" s="8" t="s">
        <v>38</v>
      </c>
      <c r="AC3" s="8" t="s">
        <v>40</v>
      </c>
    </row>
    <row r="11" spans="1:29" x14ac:dyDescent="0.25">
      <c r="Y11" s="15"/>
      <c r="Z11" s="15"/>
      <c r="AA11" s="15"/>
      <c r="AB11" s="15"/>
      <c r="AC11" s="15"/>
    </row>
    <row r="13" spans="1:29" x14ac:dyDescent="0.25">
      <c r="A13" s="15"/>
      <c r="B13" s="15"/>
      <c r="C13" s="15"/>
      <c r="D13" s="15"/>
    </row>
  </sheetData>
  <phoneticPr fontId="3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Click">
                <anchor moveWithCells="1" sizeWithCells="1">
                  <from>
                    <xdr:col>13</xdr:col>
                    <xdr:colOff>38100</xdr:colOff>
                    <xdr:row>0</xdr:row>
                    <xdr:rowOff>19050</xdr:rowOff>
                  </from>
                  <to>
                    <xdr:col>14</xdr:col>
                    <xdr:colOff>762000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Spec</vt:lpstr>
      <vt:lpstr>規格</vt:lpstr>
      <vt:lpstr>Datas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2015-02-01T16:07:45Z</dcterms:modified>
</cp:coreProperties>
</file>