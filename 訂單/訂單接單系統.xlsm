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tabRatio="618" activeTab="3"/>
  </bookViews>
  <sheets>
    <sheet name="規格-裕隆" sheetId="1" r:id="rId1"/>
    <sheet name="規格-裕器" sheetId="6" r:id="rId2"/>
    <sheet name="Data-裕隆" sheetId="3" r:id="rId3"/>
    <sheet name="Data-裕器(三義)" sheetId="5" r:id="rId4"/>
    <sheet name="Data-裕器(湖口)" sheetId="8" r:id="rId5"/>
  </sheets>
  <functionGroups builtInGroupCount="18"/>
  <externalReferences>
    <externalReference r:id="rId6"/>
  </externalReferences>
  <calcPr calcId="152511"/>
</workbook>
</file>

<file path=xl/calcChain.xml><?xml version="1.0" encoding="utf-8"?>
<calcChain xmlns="http://schemas.openxmlformats.org/spreadsheetml/2006/main">
  <c r="AG5" i="3" l="1"/>
  <c r="R5" i="5" l="1"/>
  <c r="R7" i="5"/>
  <c r="R8" i="5"/>
  <c r="R9" i="5"/>
  <c r="R10" i="5"/>
  <c r="R11" i="5"/>
  <c r="R12" i="5"/>
  <c r="R13" i="5"/>
  <c r="R14" i="5"/>
  <c r="R15" i="5"/>
  <c r="R4" i="5"/>
  <c r="AG4" i="3"/>
  <c r="Q19" i="6" l="1"/>
  <c r="Q20" i="6"/>
  <c r="Q21" i="6"/>
  <c r="Q22" i="6"/>
  <c r="M18" i="6"/>
  <c r="M19" i="6"/>
  <c r="M20" i="6"/>
  <c r="M4" i="6"/>
  <c r="Q4" i="6" s="1"/>
  <c r="M23" i="6" l="1"/>
  <c r="M22" i="6" l="1"/>
  <c r="M21" i="6"/>
  <c r="Q18" i="6"/>
  <c r="M17" i="6"/>
  <c r="Q17" i="6" s="1"/>
  <c r="M16" i="6"/>
  <c r="Q16" i="6" s="1"/>
  <c r="M15" i="6"/>
  <c r="Q15" i="6" s="1"/>
  <c r="M12" i="6"/>
  <c r="Q12" i="6" s="1"/>
  <c r="M14" i="6"/>
  <c r="Q14" i="6" s="1"/>
  <c r="M13" i="6"/>
  <c r="Q13" i="6" s="1"/>
  <c r="M11" i="6"/>
  <c r="Q11" i="6" s="1"/>
  <c r="M10" i="6"/>
  <c r="Q10" i="6" s="1"/>
  <c r="M9" i="6"/>
  <c r="Q9" i="6" s="1"/>
  <c r="M8" i="6"/>
  <c r="Q8" i="6" s="1"/>
  <c r="M7" i="6"/>
  <c r="Q7" i="6" s="1"/>
  <c r="M6" i="6"/>
  <c r="Q6" i="6" s="1"/>
  <c r="M5" i="6"/>
  <c r="Q5" i="6" s="1"/>
  <c r="M3" i="6"/>
  <c r="Q3" i="6" s="1"/>
  <c r="E21" i="6" l="1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M25" i="1" l="1"/>
  <c r="M26" i="1"/>
  <c r="M27" i="1"/>
  <c r="M28" i="1"/>
  <c r="M29" i="1"/>
  <c r="M30" i="1"/>
  <c r="M31" i="1"/>
  <c r="M32" i="1"/>
  <c r="M33" i="1"/>
  <c r="M23" i="1"/>
  <c r="M24" i="1"/>
  <c r="F24" i="1"/>
  <c r="K24" i="1" s="1"/>
  <c r="F23" i="1"/>
  <c r="K23" i="1" s="1"/>
  <c r="L23" i="1" l="1"/>
  <c r="L24" i="1"/>
  <c r="J33" i="1"/>
  <c r="F33" i="1"/>
  <c r="L33" i="1" s="1"/>
  <c r="K33" i="1" l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5" i="1"/>
  <c r="J26" i="1"/>
  <c r="J27" i="1"/>
  <c r="J28" i="1"/>
  <c r="J29" i="1"/>
  <c r="J30" i="1"/>
  <c r="J31" i="1"/>
  <c r="J32" i="1"/>
  <c r="J2" i="1"/>
  <c r="F3" i="1" l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31" i="1"/>
  <c r="L31" i="1" s="1"/>
  <c r="F32" i="1"/>
  <c r="L32" i="1" s="1"/>
  <c r="F2" i="1"/>
  <c r="L2" i="1" s="1"/>
  <c r="K32" i="1" l="1"/>
  <c r="K28" i="1"/>
  <c r="K22" i="1"/>
  <c r="K14" i="1"/>
  <c r="K15" i="1"/>
  <c r="K11" i="1"/>
  <c r="K7" i="1"/>
  <c r="K3" i="1"/>
  <c r="K31" i="1"/>
  <c r="K27" i="1"/>
  <c r="K21" i="1"/>
  <c r="K18" i="1"/>
  <c r="K10" i="1"/>
  <c r="K6" i="1"/>
  <c r="K30" i="1"/>
  <c r="K26" i="1"/>
  <c r="K20" i="1"/>
  <c r="K17" i="1"/>
  <c r="K13" i="1"/>
  <c r="K9" i="1"/>
  <c r="K5" i="1"/>
  <c r="K2" i="1"/>
  <c r="K29" i="1"/>
  <c r="K25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K19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考慮夾雜中文字形的現象，有做位置的調整。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G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=VLOOKUP(U4, '[</t>
        </r>
        <r>
          <rPr>
            <sz val="9"/>
            <color indexed="81"/>
            <rFont val="細明體"/>
            <family val="3"/>
            <charset val="136"/>
          </rPr>
          <t>裕隆件號對照表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'!$B:$C, 2, FALSE)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R3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=VLOOKUP(C4, '[</t>
        </r>
        <r>
          <rPr>
            <sz val="9"/>
            <color indexed="81"/>
            <rFont val="細明體"/>
            <family val="3"/>
            <charset val="136"/>
          </rPr>
          <t>裕隆件號對照表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'!$B:$C, 2, FALSE)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U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=VLOOKUP(T4, '[</t>
        </r>
        <r>
          <rPr>
            <sz val="9"/>
            <color indexed="81"/>
            <rFont val="細明體"/>
            <family val="3"/>
            <charset val="136"/>
          </rPr>
          <t>裕隆件號對照表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'!$B:$C, 2, FALSE)</t>
        </r>
      </text>
    </comment>
  </commentList>
</comments>
</file>

<file path=xl/sharedStrings.xml><?xml version="1.0" encoding="utf-8"?>
<sst xmlns="http://schemas.openxmlformats.org/spreadsheetml/2006/main" count="402" uniqueCount="201">
  <si>
    <t>欄位</t>
    <phoneticPr fontId="1" type="noConversion"/>
  </si>
  <si>
    <t>起位</t>
    <phoneticPr fontId="1" type="noConversion"/>
  </si>
  <si>
    <t>迄位</t>
    <phoneticPr fontId="1" type="noConversion"/>
  </si>
  <si>
    <t>字數</t>
    <phoneticPr fontId="1" type="noConversion"/>
  </si>
  <si>
    <t>預設值</t>
    <phoneticPr fontId="1" type="noConversion"/>
  </si>
  <si>
    <t>檔案路徑：</t>
    <phoneticPr fontId="1" type="noConversion"/>
  </si>
  <si>
    <t>檔案名稱：</t>
    <phoneticPr fontId="1" type="noConversion"/>
  </si>
  <si>
    <t>tag</t>
    <phoneticPr fontId="1" type="noConversion"/>
  </si>
  <si>
    <t>CuNo</t>
    <phoneticPr fontId="1" type="noConversion"/>
  </si>
  <si>
    <t>AccBd</t>
    <phoneticPr fontId="1" type="noConversion"/>
  </si>
  <si>
    <t>AccEd</t>
    <phoneticPr fontId="1" type="noConversion"/>
  </si>
  <si>
    <t>ListNo</t>
    <phoneticPr fontId="1" type="noConversion"/>
  </si>
  <si>
    <t>ListSeq</t>
    <phoneticPr fontId="1" type="noConversion"/>
  </si>
  <si>
    <t>ListType</t>
    <phoneticPr fontId="1" type="noConversion"/>
  </si>
  <si>
    <t>Contract</t>
    <phoneticPr fontId="1" type="noConversion"/>
  </si>
  <si>
    <t>ShipNote</t>
    <phoneticPr fontId="1" type="noConversion"/>
  </si>
  <si>
    <t>Class</t>
    <phoneticPr fontId="1" type="noConversion"/>
  </si>
  <si>
    <t>Cols</t>
    <phoneticPr fontId="1" type="noConversion"/>
  </si>
  <si>
    <t>Ary</t>
    <phoneticPr fontId="1" type="noConversion"/>
  </si>
  <si>
    <t>裕隆訂單</t>
  </si>
  <si>
    <t>廠商代號</t>
  </si>
  <si>
    <t>廠商區域代碼</t>
  </si>
  <si>
    <t>訂單別</t>
  </si>
  <si>
    <t>流水碼</t>
  </si>
  <si>
    <t>訂單產生日期(YYYYMMDD)</t>
  </si>
  <si>
    <t>訂單筆數</t>
  </si>
  <si>
    <t>交貨指示單號</t>
  </si>
  <si>
    <t>卸貨區</t>
  </si>
  <si>
    <t>交貨指示日期</t>
  </si>
  <si>
    <t>庫別</t>
  </si>
  <si>
    <t>交貨時段</t>
  </si>
  <si>
    <t>儲位</t>
  </si>
  <si>
    <t>件號</t>
  </si>
  <si>
    <t>件名</t>
  </si>
  <si>
    <t>容器代號</t>
  </si>
  <si>
    <t>SNP</t>
  </si>
  <si>
    <t>需求量</t>
  </si>
  <si>
    <t>批量</t>
  </si>
  <si>
    <t>站別</t>
  </si>
  <si>
    <t>發單人</t>
  </si>
  <si>
    <t>D1</t>
    <phoneticPr fontId="1" type="noConversion"/>
  </si>
  <si>
    <t>D2</t>
    <phoneticPr fontId="1" type="noConversion"/>
  </si>
  <si>
    <t>H1</t>
    <phoneticPr fontId="1" type="noConversion"/>
  </si>
  <si>
    <t>H2</t>
    <phoneticPr fontId="1" type="noConversion"/>
  </si>
  <si>
    <t>表頭</t>
    <phoneticPr fontId="1" type="noConversion"/>
  </si>
  <si>
    <t>表身</t>
    <phoneticPr fontId="1" type="noConversion"/>
  </si>
  <si>
    <t>D:\GitHub\_Misc\訂單</t>
    <phoneticPr fontId="1" type="noConversion"/>
  </si>
  <si>
    <t>廠商
代號</t>
    <phoneticPr fontId="1" type="noConversion"/>
  </si>
  <si>
    <t>交貨指示單流水碼</t>
    <phoneticPr fontId="1" type="noConversion"/>
  </si>
  <si>
    <t>交貨指示單
流水碼</t>
    <phoneticPr fontId="1" type="noConversion"/>
  </si>
  <si>
    <t>D3</t>
  </si>
  <si>
    <t>D4</t>
  </si>
  <si>
    <t>D5</t>
    <phoneticPr fontId="1" type="noConversion"/>
  </si>
  <si>
    <t>21</t>
    <phoneticPr fontId="1" type="noConversion"/>
  </si>
  <si>
    <t>20</t>
    <phoneticPr fontId="1" type="noConversion"/>
  </si>
  <si>
    <t>客戶代號</t>
    <phoneticPr fontId="1" type="noConversion"/>
  </si>
  <si>
    <t>版本</t>
    <phoneticPr fontId="1" type="noConversion"/>
  </si>
  <si>
    <t>緊急訂購</t>
  </si>
  <si>
    <t>YLM</t>
  </si>
  <si>
    <t>HARN-I/PNL ASSY</t>
  </si>
  <si>
    <t>PON15240040</t>
  </si>
  <si>
    <t>2/4/2015</t>
  </si>
  <si>
    <t>2/5/2015</t>
  </si>
  <si>
    <t>LS001</t>
  </si>
  <si>
    <t>*</t>
  </si>
  <si>
    <t>交貨單 發行</t>
  </si>
  <si>
    <t>KKN-24010-1480</t>
  </si>
  <si>
    <t>PON15240039</t>
  </si>
  <si>
    <t>KKN-2804A-3480</t>
  </si>
  <si>
    <t>HMI MODULE</t>
  </si>
  <si>
    <t>PON15240041</t>
  </si>
  <si>
    <t>KKN-28216-248A</t>
  </si>
  <si>
    <t>USB CABLEUSB CABLE-2 IN 1</t>
  </si>
  <si>
    <t>PON15240042</t>
  </si>
  <si>
    <t>KKN-24010-048D</t>
  </si>
  <si>
    <t>PON15240029</t>
  </si>
  <si>
    <t>KKN-24010-6480</t>
  </si>
  <si>
    <t>PON15240030</t>
  </si>
  <si>
    <t>USB CABLEUSB CABLE-IP</t>
  </si>
  <si>
    <t>PON15240031</t>
  </si>
  <si>
    <t>KSN-24010-G480</t>
  </si>
  <si>
    <t>PON15240012</t>
  </si>
  <si>
    <t>KSN-24010-I480</t>
  </si>
  <si>
    <t>PON15240013</t>
  </si>
  <si>
    <t>KSN-2804A-0480</t>
  </si>
  <si>
    <t>mini HMI</t>
  </si>
  <si>
    <t>PON15240015</t>
  </si>
  <si>
    <t>KSN-28216-5480</t>
  </si>
  <si>
    <t>USB Cable-CD/MP3</t>
  </si>
  <si>
    <t>PON15240016</t>
  </si>
  <si>
    <t>E</t>
    <phoneticPr fontId="1" type="noConversion"/>
  </si>
  <si>
    <t>D</t>
    <phoneticPr fontId="1" type="noConversion"/>
  </si>
  <si>
    <t>C-1</t>
    <phoneticPr fontId="1" type="noConversion"/>
  </si>
  <si>
    <t>U</t>
    <phoneticPr fontId="1" type="noConversion"/>
  </si>
  <si>
    <t>Q</t>
    <phoneticPr fontId="1" type="noConversion"/>
  </si>
  <si>
    <t>訂購分開</t>
    <phoneticPr fontId="1" type="noConversion"/>
  </si>
  <si>
    <t>工厰</t>
    <phoneticPr fontId="1" type="noConversion"/>
  </si>
  <si>
    <t>顧客品號</t>
    <phoneticPr fontId="1" type="noConversion"/>
  </si>
  <si>
    <t>品號</t>
    <phoneticPr fontId="1" type="noConversion"/>
  </si>
  <si>
    <t>品名</t>
    <phoneticPr fontId="1" type="noConversion"/>
  </si>
  <si>
    <t>PO NO</t>
    <phoneticPr fontId="1" type="noConversion"/>
  </si>
  <si>
    <t>訂貨日</t>
    <phoneticPr fontId="1" type="noConversion"/>
  </si>
  <si>
    <t>交貨日</t>
    <phoneticPr fontId="1" type="noConversion"/>
  </si>
  <si>
    <t>交貨時間</t>
    <phoneticPr fontId="1" type="noConversion"/>
  </si>
  <si>
    <t>交貨數</t>
    <phoneticPr fontId="1" type="noConversion"/>
  </si>
  <si>
    <t>SNP</t>
    <phoneticPr fontId="1" type="noConversion"/>
  </si>
  <si>
    <t>Box數</t>
    <phoneticPr fontId="1" type="noConversion"/>
  </si>
  <si>
    <t>DEPOT</t>
    <phoneticPr fontId="1" type="noConversion"/>
  </si>
  <si>
    <t>交貨地方</t>
    <phoneticPr fontId="1" type="noConversion"/>
  </si>
  <si>
    <t>LOC</t>
    <phoneticPr fontId="1" type="noConversion"/>
  </si>
  <si>
    <t>分割次數</t>
    <phoneticPr fontId="1" type="noConversion"/>
  </si>
  <si>
    <t>交貨情況</t>
    <phoneticPr fontId="1" type="noConversion"/>
  </si>
  <si>
    <t>KKN-24010-048C</t>
    <phoneticPr fontId="1" type="noConversion"/>
  </si>
  <si>
    <t>2/5/2015</t>
    <phoneticPr fontId="1" type="noConversion"/>
  </si>
  <si>
    <t>版本</t>
  </si>
  <si>
    <t>24010-KN10C</t>
    <phoneticPr fontId="1" type="noConversion"/>
  </si>
  <si>
    <t>24010-KN101</t>
    <phoneticPr fontId="1" type="noConversion"/>
  </si>
  <si>
    <t>2804A-KN103</t>
    <phoneticPr fontId="1" type="noConversion"/>
  </si>
  <si>
    <t>28216-KN215</t>
    <phoneticPr fontId="1" type="noConversion"/>
  </si>
  <si>
    <t>24010-KN10D</t>
    <phoneticPr fontId="1" type="noConversion"/>
  </si>
  <si>
    <t>24010-KN106</t>
    <phoneticPr fontId="1" type="noConversion"/>
  </si>
  <si>
    <t>24010-SN262</t>
    <phoneticPr fontId="1" type="noConversion"/>
  </si>
  <si>
    <t>24010-SN264</t>
    <phoneticPr fontId="1" type="noConversion"/>
  </si>
  <si>
    <t>2804A-SN101</t>
    <phoneticPr fontId="1" type="noConversion"/>
  </si>
  <si>
    <t>28216-SN211</t>
    <phoneticPr fontId="1" type="noConversion"/>
  </si>
  <si>
    <t>24012-SN256</t>
    <phoneticPr fontId="1" type="noConversion"/>
  </si>
  <si>
    <t>KKN-28216-148A</t>
    <phoneticPr fontId="1" type="noConversion"/>
  </si>
  <si>
    <t>樂榮工業</t>
    <phoneticPr fontId="1" type="noConversion"/>
  </si>
  <si>
    <t>裕器(三義)</t>
    <phoneticPr fontId="1" type="noConversion"/>
  </si>
  <si>
    <t>裕器(湖口)</t>
    <phoneticPr fontId="1" type="noConversion"/>
  </si>
  <si>
    <t>聯絡人</t>
    <phoneticPr fontId="1" type="noConversion"/>
  </si>
  <si>
    <t>直接複製資料</t>
    <phoneticPr fontId="1" type="noConversion"/>
  </si>
  <si>
    <t>來源</t>
    <phoneticPr fontId="18" type="noConversion"/>
  </si>
  <si>
    <t>廠商代號</t>
    <phoneticPr fontId="18" type="noConversion"/>
  </si>
  <si>
    <t>廠商名稱</t>
    <phoneticPr fontId="18" type="noConversion"/>
  </si>
  <si>
    <t>BarCode</t>
    <phoneticPr fontId="18" type="noConversion"/>
  </si>
  <si>
    <t>部品件號</t>
    <phoneticPr fontId="18" type="noConversion"/>
  </si>
  <si>
    <t>部品件名</t>
    <phoneticPr fontId="18" type="noConversion"/>
  </si>
  <si>
    <t>訂單編號</t>
    <phoneticPr fontId="18" type="noConversion"/>
  </si>
  <si>
    <t>收料單號</t>
    <phoneticPr fontId="18" type="noConversion"/>
  </si>
  <si>
    <t>發單日期</t>
    <phoneticPr fontId="18" type="noConversion"/>
  </si>
  <si>
    <t>交貨日期</t>
    <phoneticPr fontId="18" type="noConversion"/>
  </si>
  <si>
    <t>訂單數量</t>
    <phoneticPr fontId="18" type="noConversion"/>
  </si>
  <si>
    <t>日產件號</t>
    <phoneticPr fontId="18" type="noConversion"/>
  </si>
  <si>
    <t>C1</t>
    <phoneticPr fontId="1" type="noConversion"/>
  </si>
  <si>
    <t>C2</t>
    <phoneticPr fontId="1" type="noConversion"/>
  </si>
  <si>
    <t>C3</t>
    <phoneticPr fontId="1" type="noConversion"/>
  </si>
  <si>
    <t>C4</t>
    <phoneticPr fontId="1" type="noConversion"/>
  </si>
  <si>
    <t>C5</t>
    <phoneticPr fontId="1" type="noConversion"/>
  </si>
  <si>
    <t>C0</t>
    <phoneticPr fontId="1" type="noConversion"/>
  </si>
  <si>
    <t xml:space="preserve">H1-10   </t>
  </si>
  <si>
    <t xml:space="preserve">         </t>
  </si>
  <si>
    <t>C6</t>
    <phoneticPr fontId="18" type="noConversion"/>
  </si>
  <si>
    <t>C6</t>
    <phoneticPr fontId="1" type="noConversion"/>
  </si>
  <si>
    <t>M-001</t>
  </si>
  <si>
    <t>22</t>
    <phoneticPr fontId="1" type="noConversion"/>
  </si>
  <si>
    <t>C7</t>
    <phoneticPr fontId="1" type="noConversion"/>
  </si>
  <si>
    <t>21</t>
    <phoneticPr fontId="1" type="noConversion"/>
  </si>
  <si>
    <t xml:space="preserve">     </t>
  </si>
  <si>
    <t xml:space="preserve"> </t>
    <phoneticPr fontId="1" type="noConversion"/>
  </si>
  <si>
    <t>H</t>
  </si>
  <si>
    <t>0A712</t>
  </si>
  <si>
    <t xml:space="preserve">樂榮工業            </t>
  </si>
  <si>
    <t>EA4</t>
  </si>
  <si>
    <t xml:space="preserve">彭保雄   </t>
  </si>
  <si>
    <t>湖口裕器訂單_20150305.txt</t>
    <phoneticPr fontId="1" type="noConversion"/>
  </si>
  <si>
    <t>NA248657</t>
  </si>
  <si>
    <t>KMA-28216-148B</t>
  </si>
  <si>
    <t xml:space="preserve">USB/HDMI CABLE-CONSOLE        </t>
  </si>
  <si>
    <t>RA346152</t>
  </si>
  <si>
    <t>28216-MA312</t>
  </si>
  <si>
    <t>FD159493</t>
  </si>
  <si>
    <t>T:\裕隆\每日訂單\1 網站資料\裕隆YPOPS</t>
    <phoneticPr fontId="1" type="noConversion"/>
  </si>
  <si>
    <t>裕隆YPOPS系統訂單_20150413.txt</t>
    <phoneticPr fontId="1" type="noConversion"/>
  </si>
  <si>
    <t>1</t>
  </si>
  <si>
    <t>DELFOR</t>
  </si>
  <si>
    <t>C524</t>
  </si>
  <si>
    <t>A</t>
  </si>
  <si>
    <t>YP</t>
  </si>
  <si>
    <t>OPS20150413   1UN</t>
  </si>
  <si>
    <t xml:space="preserve">               </t>
  </si>
  <si>
    <t>N</t>
  </si>
  <si>
    <t>AE0044780</t>
  </si>
  <si>
    <t xml:space="preserve">   </t>
  </si>
  <si>
    <t>U0D60</t>
  </si>
  <si>
    <t xml:space="preserve">    </t>
  </si>
  <si>
    <t xml:space="preserve">      </t>
  </si>
  <si>
    <t>28216-KN224</t>
  </si>
  <si>
    <t>-</t>
  </si>
  <si>
    <t>H3</t>
  </si>
  <si>
    <t xml:space="preserve">  </t>
  </si>
  <si>
    <t xml:space="preserve">USB CABLE      </t>
  </si>
  <si>
    <t xml:space="preserve"> SYN          </t>
  </si>
  <si>
    <t>AE0044790</t>
  </si>
  <si>
    <t>28216-KN225</t>
  </si>
  <si>
    <t xml:space="preserve"> SYN</t>
  </si>
  <si>
    <t/>
  </si>
  <si>
    <t>01</t>
    <phoneticPr fontId="1" type="noConversion"/>
  </si>
  <si>
    <t>03</t>
    <phoneticPr fontId="1" type="noConversion"/>
  </si>
  <si>
    <t>處理代碼</t>
    <phoneticPr fontId="1" type="noConversion"/>
  </si>
  <si>
    <t>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</si>
</sst>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22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0"/>
      <color theme="1"/>
      <name val="新細明體"/>
      <family val="1"/>
      <charset val="136"/>
    </font>
    <font>
      <sz val="10"/>
      <color theme="1"/>
      <name val="細明體"/>
      <family val="3"/>
      <charset val="136"/>
    </font>
    <font>
      <sz val="12"/>
      <color theme="1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1"/>
      <name val="細明體"/>
      <family val="3"/>
      <charset val="136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</font>
    <font>
      <sz val="10"/>
      <color rgb="FF0000FF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9"/>
      <name val="Arial Narrow"/>
      <family val="2"/>
      <charset val="136"/>
    </font>
    <font>
      <sz val="10"/>
      <color rgb="FFFF0000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sz val="10"/>
      <color rgb="FFFF0000"/>
      <name val="新細明體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176" fontId="0" fillId="0" borderId="0" xfId="0" applyNumberFormat="1" applyFont="1"/>
    <xf numFmtId="176" fontId="2" fillId="0" borderId="0" xfId="0" applyNumberFormat="1" applyFont="1"/>
    <xf numFmtId="176" fontId="0" fillId="0" borderId="0" xfId="0" applyNumberFormat="1"/>
    <xf numFmtId="49" fontId="2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3" borderId="0" xfId="0" applyFill="1"/>
    <xf numFmtId="49" fontId="4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Font="1" applyBorder="1"/>
    <xf numFmtId="49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49" fontId="0" fillId="2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0" fillId="2" borderId="0" xfId="0" applyFont="1" applyFill="1" applyBorder="1" applyAlignment="1">
      <alignment horizontal="center"/>
    </xf>
    <xf numFmtId="0" fontId="5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0" fillId="0" borderId="0" xfId="0" applyFont="1" applyAlignment="1">
      <alignment horizontal="right"/>
    </xf>
    <xf numFmtId="0" fontId="0" fillId="0" borderId="0" xfId="0" applyFont="1" applyFill="1" applyBorder="1"/>
    <xf numFmtId="0" fontId="10" fillId="0" borderId="0" xfId="0" applyFont="1" applyBorder="1"/>
    <xf numFmtId="49" fontId="0" fillId="0" borderId="0" xfId="0" applyNumberFormat="1" applyAlignment="1">
      <alignment horizontal="center"/>
    </xf>
    <xf numFmtId="0" fontId="11" fillId="0" borderId="0" xfId="0" applyFont="1" applyFill="1" applyBorder="1" applyAlignment="1">
      <alignment vertical="center" wrapText="1"/>
    </xf>
    <xf numFmtId="49" fontId="11" fillId="0" borderId="0" xfId="0" applyNumberFormat="1" applyFont="1" applyFill="1" applyBorder="1" applyAlignment="1">
      <alignment horizontal="center" vertical="center" wrapText="1"/>
    </xf>
    <xf numFmtId="49" fontId="11" fillId="0" borderId="0" xfId="0" applyNumberFormat="1" applyFont="1" applyFill="1" applyBorder="1" applyAlignment="1">
      <alignment vertical="center" wrapText="1"/>
    </xf>
    <xf numFmtId="49" fontId="0" fillId="0" borderId="0" xfId="0" applyNumberFormat="1" applyFont="1" applyFill="1" applyBorder="1"/>
    <xf numFmtId="0" fontId="0" fillId="0" borderId="0" xfId="0" applyFont="1" applyFill="1" applyBorder="1" applyAlignment="1">
      <alignment horizontal="right"/>
    </xf>
    <xf numFmtId="176" fontId="0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/>
    <xf numFmtId="0" fontId="0" fillId="0" borderId="0" xfId="0" applyFill="1" applyBorder="1"/>
    <xf numFmtId="176" fontId="0" fillId="0" borderId="0" xfId="0" applyNumberFormat="1" applyFill="1" applyBorder="1"/>
    <xf numFmtId="0" fontId="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176" fontId="2" fillId="0" borderId="0" xfId="0" applyNumberFormat="1" applyFont="1" applyFill="1" applyBorder="1"/>
    <xf numFmtId="49" fontId="2" fillId="0" borderId="0" xfId="0" applyNumberFormat="1" applyFont="1" applyFill="1" applyBorder="1"/>
    <xf numFmtId="0" fontId="12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right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0" borderId="0" xfId="0" applyNumberFormat="1" applyFont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49" fontId="0" fillId="0" borderId="0" xfId="0" applyNumberFormat="1" applyFill="1" applyAlignment="1">
      <alignment horizontal="center"/>
    </xf>
    <xf numFmtId="0" fontId="0" fillId="0" borderId="0" xfId="0" applyNumberFormat="1" applyFont="1"/>
    <xf numFmtId="0" fontId="0" fillId="0" borderId="0" xfId="0" applyNumberFormat="1"/>
    <xf numFmtId="0" fontId="11" fillId="0" borderId="0" xfId="0" applyNumberFormat="1" applyFont="1" applyFill="1" applyBorder="1" applyAlignment="1">
      <alignment vertical="center" wrapText="1"/>
    </xf>
    <xf numFmtId="0" fontId="0" fillId="0" borderId="0" xfId="0" applyNumberFormat="1" applyFill="1"/>
    <xf numFmtId="0" fontId="9" fillId="0" borderId="0" xfId="0" applyFont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0" borderId="0" xfId="0" applyFont="1" applyBorder="1"/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49" fontId="19" fillId="0" borderId="0" xfId="0" applyNumberFormat="1" applyFont="1" applyFill="1" applyBorder="1" applyAlignment="1">
      <alignment vertical="center" wrapText="1"/>
    </xf>
    <xf numFmtId="0" fontId="0" fillId="4" borderId="0" xfId="0" applyFont="1" applyFill="1"/>
    <xf numFmtId="0" fontId="0" fillId="0" borderId="0" xfId="0" applyFont="1" applyAlignment="1">
      <alignment vertical="center"/>
    </xf>
    <xf numFmtId="0" fontId="2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/>
    </xf>
    <xf numFmtId="0" fontId="0" fillId="6" borderId="0" xfId="0" applyFont="1" applyFill="1" applyBorder="1"/>
    <xf numFmtId="0" fontId="0" fillId="6" borderId="0" xfId="0" applyFont="1" applyFill="1"/>
    <xf numFmtId="0" fontId="0" fillId="7" borderId="0" xfId="0" applyFont="1" applyFill="1" applyBorder="1"/>
    <xf numFmtId="0" fontId="0" fillId="5" borderId="0" xfId="0" applyFont="1" applyFill="1" applyBorder="1" applyAlignment="1">
      <alignment horizontal="center"/>
    </xf>
    <xf numFmtId="49" fontId="0" fillId="3" borderId="1" xfId="0" applyNumberFormat="1" applyFont="1" applyFill="1" applyBorder="1" applyAlignment="1"/>
    <xf numFmtId="0" fontId="0" fillId="3" borderId="0" xfId="0" applyFont="1" applyFill="1" applyBorder="1" applyAlignment="1"/>
    <xf numFmtId="49" fontId="0" fillId="0" borderId="0" xfId="0" applyNumberFormat="1" applyFont="1" applyFill="1" applyBorder="1" applyAlignment="1"/>
    <xf numFmtId="0" fontId="0" fillId="0" borderId="0" xfId="0" applyFont="1" applyFill="1" applyBorder="1" applyAlignment="1"/>
    <xf numFmtId="49" fontId="2" fillId="0" borderId="0" xfId="0" applyNumberFormat="1" applyFont="1" applyFill="1" applyBorder="1" applyAlignment="1"/>
    <xf numFmtId="0" fontId="2" fillId="0" borderId="0" xfId="0" applyFont="1" applyFill="1" applyBorder="1" applyAlignment="1"/>
    <xf numFmtId="49" fontId="21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0</xdr:row>
          <xdr:rowOff>28575</xdr:rowOff>
        </xdr:from>
        <xdr:to>
          <xdr:col>22</xdr:col>
          <xdr:colOff>390525</xdr:colOff>
          <xdr:row>1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件號編修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itHub\_Misc\&#35330;&#21934;\&#35029;&#38534;&#20214;&#34399;&#23565;&#29031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規格-裕隆"/>
      <sheetName val="料號對照表"/>
      <sheetName val="料號對照表0"/>
      <sheetName val="SQL"/>
    </sheetNames>
    <sheetDataSet>
      <sheetData sheetId="0"/>
      <sheetData sheetId="1">
        <row r="1">
          <cell r="B1" t="str">
            <v>日產件號</v>
          </cell>
          <cell r="C1" t="str">
            <v xml:space="preserve">   客戶代號</v>
          </cell>
        </row>
        <row r="2">
          <cell r="B2" t="str">
            <v>24010-KN100</v>
          </cell>
          <cell r="C2" t="str">
            <v>A554E</v>
          </cell>
        </row>
        <row r="3">
          <cell r="B3" t="str">
            <v>24010-KN10C</v>
          </cell>
          <cell r="C3" t="str">
            <v>A554E</v>
          </cell>
        </row>
        <row r="4">
          <cell r="B4" t="str">
            <v>24010-KN10D</v>
          </cell>
          <cell r="C4" t="str">
            <v>A554FW16</v>
          </cell>
        </row>
        <row r="5">
          <cell r="B5" t="str">
            <v>24010-KN101</v>
          </cell>
          <cell r="C5" t="str">
            <v>A554E</v>
          </cell>
        </row>
        <row r="6">
          <cell r="B6" t="str">
            <v>24010-KN103</v>
          </cell>
          <cell r="C6" t="str">
            <v>A554E</v>
          </cell>
        </row>
        <row r="7">
          <cell r="B7" t="str">
            <v>24010-KN104</v>
          </cell>
          <cell r="C7" t="str">
            <v>A554E</v>
          </cell>
        </row>
        <row r="8">
          <cell r="B8" t="str">
            <v>24010-KN105</v>
          </cell>
          <cell r="C8" t="str">
            <v>A554E</v>
          </cell>
        </row>
        <row r="9">
          <cell r="B9" t="str">
            <v>24010-KN106</v>
          </cell>
          <cell r="C9" t="str">
            <v>A554E</v>
          </cell>
        </row>
        <row r="10">
          <cell r="B10" t="str">
            <v>24010-KN107</v>
          </cell>
          <cell r="C10" t="str">
            <v>A554FW16</v>
          </cell>
        </row>
        <row r="11">
          <cell r="B11" t="str">
            <v>24010-KN108</v>
          </cell>
          <cell r="C11" t="str">
            <v>A554FW16</v>
          </cell>
        </row>
        <row r="12">
          <cell r="B12" t="str">
            <v>24010-KN109</v>
          </cell>
          <cell r="C12" t="str">
            <v>A554FW16</v>
          </cell>
        </row>
        <row r="13">
          <cell r="B13" t="str">
            <v>24010-KN117</v>
          </cell>
          <cell r="C13" t="str">
            <v>A554FW16</v>
          </cell>
        </row>
        <row r="14">
          <cell r="B14"/>
        </row>
        <row r="15">
          <cell r="B15"/>
        </row>
        <row r="16">
          <cell r="B16" t="str">
            <v>24010-KN576</v>
          </cell>
          <cell r="C16" t="str">
            <v>A554FW16</v>
          </cell>
        </row>
        <row r="17">
          <cell r="B17" t="str">
            <v>24010-KN575</v>
          </cell>
          <cell r="C17" t="str">
            <v>A554FW16</v>
          </cell>
        </row>
        <row r="18">
          <cell r="B18" t="str">
            <v>24010-KN574</v>
          </cell>
          <cell r="C18" t="str">
            <v>A554FW16</v>
          </cell>
        </row>
        <row r="19">
          <cell r="B19" t="str">
            <v>24010-KN570</v>
          </cell>
          <cell r="C19" t="str">
            <v>A554FW16</v>
          </cell>
        </row>
        <row r="20">
          <cell r="B20" t="str">
            <v>24010-KN571</v>
          </cell>
          <cell r="C20" t="str">
            <v>A554FW16</v>
          </cell>
        </row>
        <row r="21">
          <cell r="B21"/>
        </row>
        <row r="22">
          <cell r="B22" t="str">
            <v>24010-KN573</v>
          </cell>
          <cell r="C22" t="str">
            <v>A554FW16</v>
          </cell>
        </row>
        <row r="23">
          <cell r="B23"/>
        </row>
        <row r="24">
          <cell r="B24" t="str">
            <v>2804A-KN102</v>
          </cell>
          <cell r="C24" t="str">
            <v>A554EE16</v>
          </cell>
        </row>
        <row r="25">
          <cell r="B25" t="str">
            <v>2804A-KN103</v>
          </cell>
          <cell r="C25" t="str">
            <v>A554EE16</v>
          </cell>
        </row>
        <row r="26">
          <cell r="B26" t="str">
            <v>28216-KN211</v>
          </cell>
          <cell r="C26" t="str">
            <v>A554EE16</v>
          </cell>
        </row>
        <row r="27">
          <cell r="B27" t="str">
            <v>28216-KN216</v>
          </cell>
          <cell r="C27" t="str">
            <v>A554EE16</v>
          </cell>
        </row>
        <row r="28">
          <cell r="B28" t="str">
            <v>28216-KN214</v>
          </cell>
          <cell r="C28" t="str">
            <v>A554EE16</v>
          </cell>
        </row>
        <row r="29">
          <cell r="B29" t="str">
            <v>28216-KN205</v>
          </cell>
          <cell r="C29" t="str">
            <v>A554EE16</v>
          </cell>
        </row>
        <row r="30">
          <cell r="B30" t="str">
            <v>28216-KN215</v>
          </cell>
          <cell r="C30" t="str">
            <v>A554EE16</v>
          </cell>
        </row>
        <row r="31">
          <cell r="B31" t="str">
            <v>28216-KN224</v>
          </cell>
          <cell r="C31" t="str">
            <v>A554EE16</v>
          </cell>
        </row>
        <row r="32">
          <cell r="B32" t="str">
            <v>28216-KN225</v>
          </cell>
          <cell r="C32" t="str">
            <v>A554F</v>
          </cell>
        </row>
        <row r="33">
          <cell r="B33"/>
        </row>
        <row r="34">
          <cell r="B34" t="str">
            <v>28216-KN316</v>
          </cell>
          <cell r="C34" t="str">
            <v>A554EE16</v>
          </cell>
        </row>
        <row r="35">
          <cell r="B35" t="str">
            <v>28216-KN318</v>
          </cell>
          <cell r="C35" t="str">
            <v>A554EE16</v>
          </cell>
        </row>
        <row r="36">
          <cell r="B36"/>
        </row>
        <row r="37">
          <cell r="B37"/>
        </row>
        <row r="38">
          <cell r="B38" t="str">
            <v>25327-MA121</v>
          </cell>
          <cell r="C38" t="str">
            <v>A554F</v>
          </cell>
        </row>
        <row r="39">
          <cell r="B39" t="str">
            <v>28216-MA100</v>
          </cell>
          <cell r="C39" t="str">
            <v>A554F</v>
          </cell>
        </row>
        <row r="40">
          <cell r="B40"/>
        </row>
        <row r="41">
          <cell r="B41" t="str">
            <v>28216-MA112</v>
          </cell>
          <cell r="C41" t="str">
            <v>A554F</v>
          </cell>
        </row>
        <row r="42">
          <cell r="B42"/>
        </row>
        <row r="43">
          <cell r="B43" t="str">
            <v>28216-MA104</v>
          </cell>
          <cell r="C43" t="str">
            <v>A554F</v>
          </cell>
        </row>
        <row r="44">
          <cell r="B44" t="str">
            <v>25327-SA300</v>
          </cell>
          <cell r="C44" t="str">
            <v>A554F</v>
          </cell>
        </row>
        <row r="45">
          <cell r="B45"/>
        </row>
        <row r="46">
          <cell r="B46"/>
        </row>
        <row r="47">
          <cell r="B47" t="str">
            <v>28216-SA122</v>
          </cell>
          <cell r="C47" t="str">
            <v>A554EE16</v>
          </cell>
        </row>
        <row r="48">
          <cell r="B48" t="str">
            <v>28216-SA322</v>
          </cell>
          <cell r="C48" t="str">
            <v>A554EE16</v>
          </cell>
        </row>
        <row r="49">
          <cell r="B49" t="str">
            <v>28216-SA206</v>
          </cell>
          <cell r="C49" t="str">
            <v>A554EE16</v>
          </cell>
        </row>
        <row r="50">
          <cell r="B50" t="str">
            <v>28216-SA324</v>
          </cell>
          <cell r="C50" t="str">
            <v>A554EE16</v>
          </cell>
        </row>
        <row r="51">
          <cell r="B51" t="str">
            <v>24010-SN100</v>
          </cell>
          <cell r="C51" t="str">
            <v>A554E</v>
          </cell>
        </row>
        <row r="52">
          <cell r="B52" t="str">
            <v>24010-SN101</v>
          </cell>
          <cell r="C52" t="str">
            <v>A554E</v>
          </cell>
        </row>
        <row r="53">
          <cell r="B53" t="str">
            <v>24010-SN102</v>
          </cell>
          <cell r="C53" t="str">
            <v>A554E</v>
          </cell>
        </row>
        <row r="54">
          <cell r="B54" t="str">
            <v>24010-SN103</v>
          </cell>
          <cell r="C54" t="str">
            <v>A554E</v>
          </cell>
        </row>
        <row r="55">
          <cell r="B55" t="str">
            <v>24010-SN104</v>
          </cell>
          <cell r="C55" t="str">
            <v>A554F</v>
          </cell>
        </row>
        <row r="56">
          <cell r="B56" t="str">
            <v>24010-SN112</v>
          </cell>
          <cell r="C56" t="str">
            <v>A554E</v>
          </cell>
        </row>
        <row r="57">
          <cell r="B57" t="str">
            <v>24010-SN113</v>
          </cell>
          <cell r="C57" t="str">
            <v>A554E</v>
          </cell>
        </row>
        <row r="58">
          <cell r="B58" t="str">
            <v>24010-SN122</v>
          </cell>
          <cell r="C58" t="str">
            <v>A554FW16</v>
          </cell>
        </row>
        <row r="59">
          <cell r="B59" t="str">
            <v>24010-SN115</v>
          </cell>
          <cell r="C59" t="str">
            <v>A554E</v>
          </cell>
        </row>
        <row r="60">
          <cell r="B60" t="str">
            <v>24010-SN116</v>
          </cell>
          <cell r="C60" t="str">
            <v>A554FW16</v>
          </cell>
        </row>
        <row r="61">
          <cell r="B61" t="str">
            <v>24010-SN117</v>
          </cell>
          <cell r="C61" t="str">
            <v>A554FW16</v>
          </cell>
        </row>
        <row r="62">
          <cell r="B62" t="str">
            <v>24010-SN126</v>
          </cell>
          <cell r="C62" t="str">
            <v>A554FW16</v>
          </cell>
        </row>
        <row r="63">
          <cell r="B63" t="str">
            <v>24010-SN127</v>
          </cell>
          <cell r="C63" t="str">
            <v>A554FW16</v>
          </cell>
        </row>
        <row r="64">
          <cell r="B64" t="str">
            <v>24010-SN260</v>
          </cell>
          <cell r="C64" t="str">
            <v>A554FW16</v>
          </cell>
        </row>
        <row r="65">
          <cell r="B65" t="str">
            <v>24010-SN261</v>
          </cell>
          <cell r="C65" t="str">
            <v>A554FW16</v>
          </cell>
        </row>
        <row r="66">
          <cell r="B66" t="str">
            <v>24010-SN262</v>
          </cell>
          <cell r="C66" t="str">
            <v>A554FW16</v>
          </cell>
        </row>
        <row r="67">
          <cell r="B67" t="str">
            <v>24010-SN263</v>
          </cell>
          <cell r="C67" t="str">
            <v>A554FW16</v>
          </cell>
        </row>
        <row r="68">
          <cell r="B68" t="str">
            <v>24010-SN264</v>
          </cell>
          <cell r="C68" t="str">
            <v>A554FW16</v>
          </cell>
        </row>
        <row r="69">
          <cell r="B69" t="str">
            <v>24010-SN265</v>
          </cell>
          <cell r="C69" t="str">
            <v>A554FW16</v>
          </cell>
        </row>
        <row r="70">
          <cell r="B70" t="str">
            <v>24010-SN266</v>
          </cell>
          <cell r="C70" t="str">
            <v>A554FW16</v>
          </cell>
        </row>
        <row r="71">
          <cell r="B71" t="str">
            <v>24010-SN26F</v>
          </cell>
          <cell r="C71" t="str">
            <v>A554FW16</v>
          </cell>
        </row>
        <row r="72">
          <cell r="B72"/>
        </row>
        <row r="73">
          <cell r="B73" t="str">
            <v>24010-SN269</v>
          </cell>
          <cell r="C73" t="str">
            <v>A554FW16</v>
          </cell>
        </row>
        <row r="74">
          <cell r="B74" t="str">
            <v>24010-SN256</v>
          </cell>
          <cell r="C74" t="str">
            <v>A554FW16</v>
          </cell>
        </row>
        <row r="75">
          <cell r="B75" t="str">
            <v>24010-SN257</v>
          </cell>
          <cell r="C75" t="str">
            <v>A554FW16</v>
          </cell>
        </row>
        <row r="76">
          <cell r="B76" t="str">
            <v>24010-SN259</v>
          </cell>
          <cell r="C76" t="str">
            <v>A554FW16</v>
          </cell>
        </row>
        <row r="77">
          <cell r="B77" t="str">
            <v>2804A-SN101</v>
          </cell>
          <cell r="C77" t="str">
            <v>A554E</v>
          </cell>
        </row>
        <row r="78">
          <cell r="B78" t="str">
            <v>2804A-SN102</v>
          </cell>
          <cell r="C78" t="str">
            <v>A554F</v>
          </cell>
        </row>
        <row r="79">
          <cell r="B79" t="str">
            <v>2804A-SN104</v>
          </cell>
          <cell r="C79" t="str">
            <v>A554EE16</v>
          </cell>
        </row>
        <row r="80">
          <cell r="B80" t="str">
            <v>2804A-SN103</v>
          </cell>
          <cell r="C80" t="str">
            <v>A554EE16</v>
          </cell>
        </row>
        <row r="81">
          <cell r="B81"/>
        </row>
        <row r="82">
          <cell r="B82" t="str">
            <v>28216-SN204</v>
          </cell>
          <cell r="C82" t="str">
            <v>A554EE16</v>
          </cell>
        </row>
        <row r="83">
          <cell r="B83"/>
        </row>
        <row r="84">
          <cell r="B84" t="str">
            <v>28216-SN205</v>
          </cell>
          <cell r="C84" t="str">
            <v>A554EE16</v>
          </cell>
        </row>
        <row r="85">
          <cell r="B85" t="str">
            <v>28216-SN201</v>
          </cell>
          <cell r="C85" t="str">
            <v>A554E</v>
          </cell>
        </row>
        <row r="86">
          <cell r="B86" t="str">
            <v>28216-SN207</v>
          </cell>
          <cell r="C86" t="str">
            <v>A554F</v>
          </cell>
        </row>
        <row r="87">
          <cell r="B87"/>
        </row>
        <row r="88">
          <cell r="B88" t="str">
            <v>28216-SN202</v>
          </cell>
          <cell r="C88" t="str">
            <v>A554E</v>
          </cell>
        </row>
        <row r="89">
          <cell r="B89"/>
        </row>
        <row r="90">
          <cell r="B90" t="str">
            <v>28216-SN206</v>
          </cell>
          <cell r="C90" t="str">
            <v>A554EE16</v>
          </cell>
        </row>
        <row r="91">
          <cell r="B91" t="str">
            <v>28216-SN211</v>
          </cell>
          <cell r="C91" t="str">
            <v>A554EE16</v>
          </cell>
        </row>
        <row r="92">
          <cell r="B92" t="str">
            <v>28216-SN305</v>
          </cell>
          <cell r="C92" t="str">
            <v>A554F</v>
          </cell>
        </row>
        <row r="93">
          <cell r="B93"/>
        </row>
        <row r="94">
          <cell r="B94" t="str">
            <v>24010-KN551</v>
          </cell>
          <cell r="C94" t="str">
            <v>A554E</v>
          </cell>
        </row>
        <row r="95">
          <cell r="B95" t="str">
            <v>24010-KN552</v>
          </cell>
          <cell r="C95" t="str">
            <v>A554E</v>
          </cell>
        </row>
        <row r="96">
          <cell r="B96" t="str">
            <v>24010-KN554</v>
          </cell>
          <cell r="C96" t="str">
            <v>A554E</v>
          </cell>
        </row>
        <row r="97">
          <cell r="B97" t="str">
            <v>24012-KN100</v>
          </cell>
          <cell r="C97" t="str">
            <v>A554E</v>
          </cell>
        </row>
        <row r="98">
          <cell r="B98" t="str">
            <v>24012-KN102</v>
          </cell>
          <cell r="C98" t="str">
            <v>A554E</v>
          </cell>
        </row>
        <row r="99">
          <cell r="B99" t="str">
            <v>24012-KN103</v>
          </cell>
          <cell r="C99" t="str">
            <v>A554E</v>
          </cell>
        </row>
        <row r="100">
          <cell r="B100" t="str">
            <v>24012-KN105</v>
          </cell>
          <cell r="C100" t="str">
            <v>A554E</v>
          </cell>
        </row>
        <row r="101">
          <cell r="B101" t="str">
            <v>24012-KN108</v>
          </cell>
          <cell r="C101" t="str">
            <v>A554E</v>
          </cell>
        </row>
        <row r="102">
          <cell r="B102" t="str">
            <v>24012-KN109</v>
          </cell>
          <cell r="C102" t="str">
            <v>A554E</v>
          </cell>
        </row>
        <row r="103">
          <cell r="B103" t="str">
            <v>24012-KN117</v>
          </cell>
          <cell r="C103" t="str">
            <v>A554E</v>
          </cell>
        </row>
        <row r="104">
          <cell r="B104" t="str">
            <v>24012-KN550</v>
          </cell>
          <cell r="C104" t="str">
            <v>A554E</v>
          </cell>
        </row>
        <row r="105">
          <cell r="B105" t="str">
            <v>24012-KN551</v>
          </cell>
          <cell r="C105" t="str">
            <v>A554E</v>
          </cell>
        </row>
        <row r="106">
          <cell r="B106" t="str">
            <v>24012-KN552</v>
          </cell>
          <cell r="C106" t="str">
            <v>A554E</v>
          </cell>
        </row>
        <row r="107">
          <cell r="B107" t="str">
            <v>24012-KN572</v>
          </cell>
          <cell r="C107" t="str">
            <v>A554E</v>
          </cell>
        </row>
        <row r="108">
          <cell r="B108" t="str">
            <v>24012-KN573</v>
          </cell>
          <cell r="C108" t="str">
            <v>A554E</v>
          </cell>
        </row>
        <row r="109">
          <cell r="B109" t="str">
            <v>24012-SN100</v>
          </cell>
          <cell r="C109" t="str">
            <v>A554E</v>
          </cell>
        </row>
        <row r="110">
          <cell r="B110" t="str">
            <v>24012-SN101</v>
          </cell>
          <cell r="C110" t="str">
            <v>A554E</v>
          </cell>
        </row>
        <row r="111">
          <cell r="B111" t="str">
            <v>24012-SN102</v>
          </cell>
          <cell r="C111" t="str">
            <v>A554E</v>
          </cell>
        </row>
        <row r="112">
          <cell r="B112" t="str">
            <v>24012-SN103</v>
          </cell>
          <cell r="C112" t="str">
            <v>A554E</v>
          </cell>
        </row>
        <row r="113">
          <cell r="B113" t="str">
            <v>24012-SN104</v>
          </cell>
          <cell r="C113" t="str">
            <v>A554E</v>
          </cell>
        </row>
        <row r="114">
          <cell r="B114" t="str">
            <v>24012-SN105</v>
          </cell>
          <cell r="C114" t="str">
            <v>A554E</v>
          </cell>
        </row>
        <row r="115">
          <cell r="B115" t="str">
            <v>24012-SN107</v>
          </cell>
          <cell r="C115" t="str">
            <v>A554E</v>
          </cell>
        </row>
        <row r="116">
          <cell r="B116" t="str">
            <v>24012-SN113</v>
          </cell>
          <cell r="C116" t="str">
            <v>A554E</v>
          </cell>
        </row>
        <row r="117">
          <cell r="B117" t="str">
            <v>24012-SN122</v>
          </cell>
          <cell r="C117" t="str">
            <v>A554E</v>
          </cell>
        </row>
        <row r="118">
          <cell r="B118" t="str">
            <v>24012-SN151</v>
          </cell>
          <cell r="C118" t="str">
            <v>A554E</v>
          </cell>
        </row>
        <row r="119">
          <cell r="B119" t="str">
            <v>24012-SN256</v>
          </cell>
          <cell r="C119" t="str">
            <v>A554E</v>
          </cell>
        </row>
        <row r="120">
          <cell r="B120" t="str">
            <v>24012-SN257</v>
          </cell>
          <cell r="C120" t="str">
            <v>A554E</v>
          </cell>
        </row>
        <row r="121">
          <cell r="B121" t="str">
            <v>24012-SN258</v>
          </cell>
          <cell r="C121" t="str">
            <v>A554E</v>
          </cell>
        </row>
        <row r="122">
          <cell r="B122" t="str">
            <v>24012-SN261</v>
          </cell>
          <cell r="C122" t="str">
            <v>A554E</v>
          </cell>
        </row>
        <row r="123">
          <cell r="B123" t="str">
            <v>24012-SN262</v>
          </cell>
          <cell r="C123" t="str">
            <v>A554E</v>
          </cell>
        </row>
        <row r="124">
          <cell r="B124" t="str">
            <v>24012-SN263</v>
          </cell>
          <cell r="C124" t="str">
            <v>A554E</v>
          </cell>
        </row>
        <row r="125">
          <cell r="B125" t="str">
            <v>24012-SN264</v>
          </cell>
          <cell r="C125" t="str">
            <v>A554E</v>
          </cell>
        </row>
        <row r="126">
          <cell r="B126" t="str">
            <v>24012-SN266</v>
          </cell>
          <cell r="C126" t="str">
            <v>A554E</v>
          </cell>
        </row>
        <row r="127">
          <cell r="B127" t="str">
            <v>24012-SN267</v>
          </cell>
          <cell r="C127" t="str">
            <v>A554E</v>
          </cell>
        </row>
        <row r="128">
          <cell r="B128" t="str">
            <v>24012-SN269</v>
          </cell>
          <cell r="C128" t="str">
            <v>A554E</v>
          </cell>
        </row>
        <row r="129">
          <cell r="B129" t="str">
            <v>24068-KN100</v>
          </cell>
          <cell r="C129" t="str">
            <v>A554E</v>
          </cell>
        </row>
        <row r="130">
          <cell r="B130" t="str">
            <v>24068-KN101</v>
          </cell>
          <cell r="C130" t="str">
            <v>A554E</v>
          </cell>
        </row>
        <row r="131">
          <cell r="B131" t="str">
            <v>24068-KN102</v>
          </cell>
          <cell r="C131" t="str">
            <v>A554E</v>
          </cell>
        </row>
        <row r="132">
          <cell r="B132" t="str">
            <v>24068-KN103</v>
          </cell>
          <cell r="C132" t="str">
            <v>A554E</v>
          </cell>
        </row>
        <row r="133">
          <cell r="B133" t="str">
            <v>24068-KN106</v>
          </cell>
          <cell r="C133" t="str">
            <v>A554E</v>
          </cell>
        </row>
        <row r="134">
          <cell r="B134" t="str">
            <v>24068-SN100</v>
          </cell>
          <cell r="C134" t="str">
            <v>A554E</v>
          </cell>
        </row>
        <row r="135">
          <cell r="B135" t="str">
            <v>24068-SN101</v>
          </cell>
          <cell r="C135" t="str">
            <v>A554E</v>
          </cell>
        </row>
        <row r="136">
          <cell r="B136" t="str">
            <v>24068-SN104</v>
          </cell>
          <cell r="C136" t="str">
            <v>A554E</v>
          </cell>
        </row>
        <row r="137">
          <cell r="B137" t="str">
            <v>24068-SN107</v>
          </cell>
          <cell r="C137" t="str">
            <v>A554E</v>
          </cell>
        </row>
        <row r="138">
          <cell r="B138" t="str">
            <v>24080-SN100</v>
          </cell>
          <cell r="C138" t="str">
            <v>A554E</v>
          </cell>
        </row>
        <row r="139">
          <cell r="B139" t="str">
            <v>24080-SN101</v>
          </cell>
          <cell r="C139" t="str">
            <v>A554E</v>
          </cell>
        </row>
        <row r="140">
          <cell r="B140" t="str">
            <v>24080-SN102</v>
          </cell>
          <cell r="C140" t="str">
            <v>A554E</v>
          </cell>
        </row>
        <row r="141">
          <cell r="B141" t="str">
            <v>24080-SN103</v>
          </cell>
          <cell r="C141" t="str">
            <v>A554E</v>
          </cell>
        </row>
        <row r="142">
          <cell r="B142" t="str">
            <v>24080-SN105</v>
          </cell>
          <cell r="C142" t="str">
            <v>A554E</v>
          </cell>
        </row>
        <row r="143">
          <cell r="B143" t="str">
            <v>25327-MA111</v>
          </cell>
          <cell r="C143" t="str">
            <v>A554F</v>
          </cell>
        </row>
        <row r="144">
          <cell r="B144" t="str">
            <v>2590A-KN200</v>
          </cell>
          <cell r="C144" t="str">
            <v>A554EE16</v>
          </cell>
        </row>
        <row r="145">
          <cell r="B145" t="str">
            <v>2590A-KN300</v>
          </cell>
          <cell r="C145" t="str">
            <v>A554EE16</v>
          </cell>
        </row>
        <row r="146">
          <cell r="B146" t="str">
            <v>2590A-KN330</v>
          </cell>
          <cell r="C146" t="str">
            <v>A554EE16</v>
          </cell>
        </row>
        <row r="147">
          <cell r="B147" t="str">
            <v>2590A-MA200</v>
          </cell>
          <cell r="C147" t="str">
            <v>A554EE16</v>
          </cell>
        </row>
        <row r="148">
          <cell r="B148" t="str">
            <v>2590A-SA200</v>
          </cell>
          <cell r="C148" t="str">
            <v>A554EE16</v>
          </cell>
        </row>
        <row r="149">
          <cell r="B149" t="str">
            <v>2590A-SN200</v>
          </cell>
          <cell r="C149" t="str">
            <v>A554E</v>
          </cell>
        </row>
        <row r="150">
          <cell r="B150" t="str">
            <v>2590A-SN200</v>
          </cell>
          <cell r="C150" t="str">
            <v>A554EE16</v>
          </cell>
        </row>
        <row r="151">
          <cell r="B151" t="str">
            <v>2590A-SN300</v>
          </cell>
          <cell r="C151" t="str">
            <v>A554EE16</v>
          </cell>
        </row>
        <row r="152">
          <cell r="B152" t="str">
            <v>2804A-SN201</v>
          </cell>
          <cell r="C152" t="str">
            <v>A554EE16</v>
          </cell>
        </row>
        <row r="153">
          <cell r="B153" t="str">
            <v>28216-KN203</v>
          </cell>
          <cell r="C153" t="str">
            <v>A554F</v>
          </cell>
        </row>
        <row r="154">
          <cell r="B154" t="str">
            <v>28216-MA105</v>
          </cell>
          <cell r="C154" t="str">
            <v>A554EE16</v>
          </cell>
        </row>
        <row r="155">
          <cell r="B155" t="str">
            <v>28216-MA113</v>
          </cell>
          <cell r="C155" t="str">
            <v>A554EE16</v>
          </cell>
        </row>
        <row r="156">
          <cell r="B156" t="str">
            <v>28216-MA123</v>
          </cell>
          <cell r="C156" t="str">
            <v>A554EE16</v>
          </cell>
        </row>
        <row r="157">
          <cell r="B157" t="str">
            <v>28216-MA312</v>
          </cell>
          <cell r="C157" t="str">
            <v>A554F</v>
          </cell>
        </row>
        <row r="158">
          <cell r="B158" t="str">
            <v>28216-MA313</v>
          </cell>
          <cell r="C158" t="str">
            <v>A554EE16</v>
          </cell>
        </row>
        <row r="159">
          <cell r="B159" t="str">
            <v>28216-SA112</v>
          </cell>
          <cell r="C159" t="str">
            <v>A554F</v>
          </cell>
        </row>
        <row r="160">
          <cell r="B160" t="str">
            <v>28216-SA113</v>
          </cell>
          <cell r="C160" t="str">
            <v>A554EE16</v>
          </cell>
        </row>
        <row r="161">
          <cell r="B161" t="str">
            <v>28216-SA114</v>
          </cell>
          <cell r="C161" t="str">
            <v>A554EE16</v>
          </cell>
        </row>
        <row r="162">
          <cell r="B162" t="str">
            <v>28216-SA123</v>
          </cell>
          <cell r="C162" t="str">
            <v>A554EE16</v>
          </cell>
        </row>
        <row r="163">
          <cell r="B163" t="str">
            <v>28216-SA124</v>
          </cell>
          <cell r="C163" t="str">
            <v>A554EE16</v>
          </cell>
        </row>
        <row r="164">
          <cell r="B164" t="str">
            <v>28216-SA323</v>
          </cell>
          <cell r="C164" t="str">
            <v>A554EE16</v>
          </cell>
        </row>
        <row r="165">
          <cell r="B165" t="str">
            <v>28216-SN200</v>
          </cell>
          <cell r="C165" t="str">
            <v>A554E</v>
          </cell>
        </row>
        <row r="166">
          <cell r="B166" t="str">
            <v>28216-SN203</v>
          </cell>
          <cell r="C166" t="str">
            <v>A554E</v>
          </cell>
        </row>
        <row r="167">
          <cell r="B167" t="str">
            <v>28216-SN304</v>
          </cell>
          <cell r="C167" t="str">
            <v>A554EE16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omments" Target="../comments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3" tint="0.39997558519241921"/>
    <pageSetUpPr fitToPage="1"/>
  </sheetPr>
  <dimension ref="A1:M35"/>
  <sheetViews>
    <sheetView topLeftCell="A7" workbookViewId="0">
      <selection activeCell="F20" sqref="F20"/>
    </sheetView>
  </sheetViews>
  <sheetFormatPr defaultRowHeight="16.5" x14ac:dyDescent="0.25"/>
  <cols>
    <col min="1" max="1" width="8.75" style="16" customWidth="1"/>
    <col min="2" max="2" width="5.875" style="16" hidden="1" customWidth="1"/>
    <col min="3" max="3" width="16.125" style="16" bestFit="1" customWidth="1"/>
    <col min="4" max="6" width="9" style="16"/>
    <col min="7" max="7" width="9" style="17"/>
    <col min="8" max="8" width="7.125" style="17" customWidth="1"/>
    <col min="9" max="9" width="7.5" style="18" customWidth="1"/>
    <col min="10" max="10" width="7" style="16" hidden="1" customWidth="1"/>
    <col min="11" max="11" width="7.125" style="16" hidden="1" customWidth="1"/>
    <col min="12" max="12" width="27.625" style="16" customWidth="1"/>
    <col min="13" max="13" width="29.125" style="16" customWidth="1"/>
    <col min="14" max="16384" width="9" style="16"/>
  </cols>
  <sheetData>
    <row r="1" spans="1:13" x14ac:dyDescent="0.25">
      <c r="C1" s="16" t="s">
        <v>0</v>
      </c>
      <c r="D1" s="16" t="s">
        <v>1</v>
      </c>
      <c r="E1" s="16" t="s">
        <v>2</v>
      </c>
      <c r="F1" s="16" t="s">
        <v>3</v>
      </c>
      <c r="G1" s="17" t="s">
        <v>4</v>
      </c>
      <c r="H1" s="17" t="s">
        <v>17</v>
      </c>
      <c r="I1" s="18" t="s">
        <v>18</v>
      </c>
    </row>
    <row r="2" spans="1:13" x14ac:dyDescent="0.25">
      <c r="A2" s="19"/>
      <c r="B2" s="20" t="s">
        <v>7</v>
      </c>
      <c r="C2" s="19" t="s">
        <v>44</v>
      </c>
      <c r="D2" s="16">
        <v>1</v>
      </c>
      <c r="E2" s="16">
        <v>1</v>
      </c>
      <c r="F2" s="16">
        <f>E2-D2+1</f>
        <v>1</v>
      </c>
      <c r="G2" s="21">
        <v>1</v>
      </c>
      <c r="H2" s="18">
        <v>1</v>
      </c>
      <c r="I2" s="25">
        <v>1</v>
      </c>
      <c r="J2" s="16" t="str">
        <f>"Dim " &amp; B2 &amp; " as string"</f>
        <v>Dim tag as string</v>
      </c>
      <c r="K2" s="16" t="str">
        <f>B2 &amp; " = " &amp; "Mid(InputStr, " &amp; D2 &amp; ", " &amp; F2 &amp; ")"</f>
        <v>tag = Mid(InputStr, 1, 1)</v>
      </c>
      <c r="L2" s="16" t="str">
        <f>"strAry(" &amp; I2 &amp; ") = " &amp; "Mid(pStr, " &amp; D2 &amp; ", " &amp; F2 &amp; ")"</f>
        <v>strAry(1) = Mid(pStr, 1, 1)</v>
      </c>
      <c r="M2" s="16" t="str">
        <f>"Cells(pPos, " &amp; H2 &amp; ")=strAry(" &amp; I2 &amp; ")"</f>
        <v>Cells(pPos, 1)=strAry(1)</v>
      </c>
    </row>
    <row r="3" spans="1:13" x14ac:dyDescent="0.25">
      <c r="A3" s="19"/>
      <c r="B3" s="20" t="s">
        <v>8</v>
      </c>
      <c r="C3" s="19" t="s">
        <v>42</v>
      </c>
      <c r="D3" s="16">
        <v>2</v>
      </c>
      <c r="E3" s="16">
        <v>7</v>
      </c>
      <c r="F3" s="16">
        <f t="shared" ref="F3:F33" si="0">E3-D3+1</f>
        <v>6</v>
      </c>
      <c r="H3" s="18">
        <v>2</v>
      </c>
      <c r="I3" s="25">
        <v>2</v>
      </c>
      <c r="J3" s="16" t="str">
        <f t="shared" ref="J3:J32" si="1">"Dim " &amp; B3 &amp; " as string"</f>
        <v>Dim CuNo as string</v>
      </c>
      <c r="K3" s="16" t="str">
        <f t="shared" ref="K3:K32" si="2">B3 &amp; " = " &amp; "Mid(InputStr, " &amp; D3 &amp; ", " &amp; F3 &amp; ")"</f>
        <v>CuNo = Mid(InputStr, 2, 6)</v>
      </c>
      <c r="L3" s="16" t="str">
        <f t="shared" ref="L3:L22" si="3">"strAry(" &amp; I3 &amp; ") = " &amp; "Mid(pStr, " &amp; D3 &amp; ", " &amp; F3 &amp; ")"</f>
        <v>strAry(2) = Mid(pStr, 2, 6)</v>
      </c>
      <c r="M3" s="16" t="str">
        <f t="shared" ref="M3:M22" si="4">"Cells(pPos, " &amp; H3 &amp; ")=strAry(" &amp; I3 &amp; ")"</f>
        <v>Cells(pPos, 2)=strAry(2)</v>
      </c>
    </row>
    <row r="4" spans="1:13" x14ac:dyDescent="0.25">
      <c r="A4" s="19"/>
      <c r="B4" s="20" t="s">
        <v>9</v>
      </c>
      <c r="C4" s="19" t="s">
        <v>19</v>
      </c>
      <c r="D4" s="16">
        <v>8</v>
      </c>
      <c r="E4" s="16">
        <v>10</v>
      </c>
      <c r="F4" s="16">
        <f t="shared" si="0"/>
        <v>3</v>
      </c>
      <c r="H4" s="18">
        <v>3</v>
      </c>
      <c r="I4" s="25">
        <v>3</v>
      </c>
      <c r="J4" s="16" t="str">
        <f t="shared" si="1"/>
        <v>Dim AccBd as string</v>
      </c>
      <c r="K4" s="16" t="str">
        <f t="shared" si="2"/>
        <v>AccBd = Mid(InputStr, 8, 3)</v>
      </c>
      <c r="L4" s="16" t="str">
        <f t="shared" si="3"/>
        <v>strAry(3) = Mid(pStr, 8, 3)</v>
      </c>
      <c r="M4" s="16" t="str">
        <f t="shared" si="4"/>
        <v>Cells(pPos, 3)=strAry(3)</v>
      </c>
    </row>
    <row r="5" spans="1:13" x14ac:dyDescent="0.25">
      <c r="A5" s="19"/>
      <c r="B5" s="20" t="s">
        <v>10</v>
      </c>
      <c r="C5" s="19" t="s">
        <v>20</v>
      </c>
      <c r="D5" s="16">
        <v>11</v>
      </c>
      <c r="E5" s="16">
        <v>14</v>
      </c>
      <c r="F5" s="16">
        <f t="shared" si="0"/>
        <v>4</v>
      </c>
      <c r="H5" s="18">
        <v>4</v>
      </c>
      <c r="I5" s="25">
        <v>4</v>
      </c>
      <c r="J5" s="16" t="str">
        <f t="shared" si="1"/>
        <v>Dim AccEd as string</v>
      </c>
      <c r="K5" s="16" t="str">
        <f t="shared" si="2"/>
        <v>AccEd = Mid(InputStr, 11, 4)</v>
      </c>
      <c r="L5" s="16" t="str">
        <f t="shared" si="3"/>
        <v>strAry(4) = Mid(pStr, 11, 4)</v>
      </c>
      <c r="M5" s="16" t="str">
        <f t="shared" si="4"/>
        <v>Cells(pPos, 4)=strAry(4)</v>
      </c>
    </row>
    <row r="6" spans="1:13" x14ac:dyDescent="0.25">
      <c r="A6" s="19"/>
      <c r="B6" s="20" t="s">
        <v>7</v>
      </c>
      <c r="C6" s="19" t="s">
        <v>21</v>
      </c>
      <c r="D6" s="16">
        <v>15</v>
      </c>
      <c r="E6" s="16">
        <v>15</v>
      </c>
      <c r="F6" s="16">
        <f t="shared" si="0"/>
        <v>1</v>
      </c>
      <c r="H6" s="18">
        <v>5</v>
      </c>
      <c r="I6" s="25">
        <v>5</v>
      </c>
      <c r="J6" s="16" t="str">
        <f t="shared" si="1"/>
        <v>Dim tag as string</v>
      </c>
      <c r="K6" s="16" t="str">
        <f t="shared" si="2"/>
        <v>tag = Mid(InputStr, 15, 1)</v>
      </c>
      <c r="L6" s="16" t="str">
        <f t="shared" si="3"/>
        <v>strAry(5) = Mid(pStr, 15, 1)</v>
      </c>
      <c r="M6" s="16" t="str">
        <f t="shared" si="4"/>
        <v>Cells(pPos, 5)=strAry(5)</v>
      </c>
    </row>
    <row r="7" spans="1:13" x14ac:dyDescent="0.25">
      <c r="A7" s="19"/>
      <c r="B7" s="20" t="s">
        <v>11</v>
      </c>
      <c r="C7" s="19" t="s">
        <v>22</v>
      </c>
      <c r="D7" s="16">
        <v>16</v>
      </c>
      <c r="E7" s="16">
        <v>17</v>
      </c>
      <c r="F7" s="16">
        <f t="shared" si="0"/>
        <v>2</v>
      </c>
      <c r="H7" s="18">
        <v>6</v>
      </c>
      <c r="I7" s="25">
        <v>6</v>
      </c>
      <c r="J7" s="16" t="str">
        <f t="shared" si="1"/>
        <v>Dim ListNo as string</v>
      </c>
      <c r="K7" s="16" t="str">
        <f t="shared" si="2"/>
        <v>ListNo = Mid(InputStr, 16, 2)</v>
      </c>
      <c r="L7" s="16" t="str">
        <f t="shared" si="3"/>
        <v>strAry(6) = Mid(pStr, 16, 2)</v>
      </c>
      <c r="M7" s="16" t="str">
        <f t="shared" si="4"/>
        <v>Cells(pPos, 6)=strAry(6)</v>
      </c>
    </row>
    <row r="8" spans="1:13" x14ac:dyDescent="0.25">
      <c r="A8" s="19"/>
      <c r="B8" s="20" t="s">
        <v>12</v>
      </c>
      <c r="C8" s="19" t="s">
        <v>23</v>
      </c>
      <c r="D8" s="16">
        <v>18</v>
      </c>
      <c r="E8" s="16">
        <v>34</v>
      </c>
      <c r="F8" s="16">
        <f t="shared" si="0"/>
        <v>17</v>
      </c>
      <c r="H8" s="18">
        <v>7</v>
      </c>
      <c r="I8" s="25">
        <v>7</v>
      </c>
      <c r="J8" s="16" t="str">
        <f t="shared" si="1"/>
        <v>Dim ListSeq as string</v>
      </c>
      <c r="K8" s="16" t="str">
        <f t="shared" si="2"/>
        <v>ListSeq = Mid(InputStr, 18, 17)</v>
      </c>
      <c r="L8" s="16" t="str">
        <f t="shared" si="3"/>
        <v>strAry(7) = Mid(pStr, 18, 17)</v>
      </c>
      <c r="M8" s="16" t="str">
        <f t="shared" si="4"/>
        <v>Cells(pPos, 7)=strAry(7)</v>
      </c>
    </row>
    <row r="9" spans="1:13" x14ac:dyDescent="0.25">
      <c r="A9" s="19"/>
      <c r="B9" s="20" t="s">
        <v>13</v>
      </c>
      <c r="C9" s="19" t="s">
        <v>20</v>
      </c>
      <c r="D9" s="16">
        <v>35</v>
      </c>
      <c r="E9" s="16">
        <v>38</v>
      </c>
      <c r="F9" s="16">
        <f t="shared" si="0"/>
        <v>4</v>
      </c>
      <c r="H9" s="18">
        <v>8</v>
      </c>
      <c r="I9" s="25">
        <v>8</v>
      </c>
      <c r="J9" s="16" t="str">
        <f t="shared" si="1"/>
        <v>Dim ListType as string</v>
      </c>
      <c r="K9" s="16" t="str">
        <f t="shared" si="2"/>
        <v>ListType = Mid(InputStr, 35, 4)</v>
      </c>
      <c r="L9" s="16" t="str">
        <f t="shared" si="3"/>
        <v>strAry(8) = Mid(pStr, 35, 4)</v>
      </c>
      <c r="M9" s="16" t="str">
        <f t="shared" si="4"/>
        <v>Cells(pPos, 8)=strAry(8)</v>
      </c>
    </row>
    <row r="10" spans="1:13" ht="33" x14ac:dyDescent="0.25">
      <c r="A10" s="19"/>
      <c r="B10" s="20" t="s">
        <v>14</v>
      </c>
      <c r="C10" s="19" t="s">
        <v>24</v>
      </c>
      <c r="D10" s="16">
        <v>56</v>
      </c>
      <c r="E10" s="16">
        <v>63</v>
      </c>
      <c r="F10" s="16">
        <f t="shared" si="0"/>
        <v>8</v>
      </c>
      <c r="H10" s="18">
        <v>9</v>
      </c>
      <c r="I10" s="25">
        <v>9</v>
      </c>
      <c r="J10" s="16" t="str">
        <f t="shared" si="1"/>
        <v>Dim Contract as string</v>
      </c>
      <c r="K10" s="16" t="str">
        <f t="shared" si="2"/>
        <v>Contract = Mid(InputStr, 56, 8)</v>
      </c>
      <c r="L10" s="16" t="str">
        <f t="shared" si="3"/>
        <v>strAry(9) = Mid(pStr, 56, 8)</v>
      </c>
      <c r="M10" s="16" t="str">
        <f t="shared" si="4"/>
        <v>Cells(pPos, 9)=strAry(9)</v>
      </c>
    </row>
    <row r="11" spans="1:13" x14ac:dyDescent="0.25">
      <c r="A11" s="19"/>
      <c r="B11" s="20" t="s">
        <v>15</v>
      </c>
      <c r="C11" s="19" t="s">
        <v>43</v>
      </c>
      <c r="D11" s="16">
        <v>64</v>
      </c>
      <c r="E11" s="16">
        <v>78</v>
      </c>
      <c r="F11" s="16">
        <f t="shared" si="0"/>
        <v>15</v>
      </c>
      <c r="H11" s="18">
        <v>10</v>
      </c>
      <c r="I11" s="25">
        <v>10</v>
      </c>
      <c r="J11" s="16" t="str">
        <f t="shared" si="1"/>
        <v>Dim ShipNote as string</v>
      </c>
      <c r="K11" s="16" t="str">
        <f t="shared" si="2"/>
        <v>ShipNote = Mid(InputStr, 64, 15)</v>
      </c>
      <c r="L11" s="16" t="str">
        <f t="shared" si="3"/>
        <v>strAry(10) = Mid(pStr, 64, 15)</v>
      </c>
      <c r="M11" s="16" t="str">
        <f t="shared" si="4"/>
        <v>Cells(pPos, 10)=strAry(10)</v>
      </c>
    </row>
    <row r="12" spans="1:13" x14ac:dyDescent="0.25">
      <c r="A12" s="19"/>
      <c r="B12" s="20" t="s">
        <v>16</v>
      </c>
      <c r="C12" s="19" t="s">
        <v>25</v>
      </c>
      <c r="D12" s="16">
        <v>79</v>
      </c>
      <c r="E12" s="16">
        <v>82</v>
      </c>
      <c r="F12" s="16">
        <f t="shared" si="0"/>
        <v>4</v>
      </c>
      <c r="H12" s="18">
        <v>11</v>
      </c>
      <c r="I12" s="25">
        <v>11</v>
      </c>
      <c r="J12" s="16" t="str">
        <f t="shared" si="1"/>
        <v>Dim Class as string</v>
      </c>
      <c r="K12" s="16" t="str">
        <f t="shared" si="2"/>
        <v>Class = Mid(InputStr, 79, 4)</v>
      </c>
      <c r="L12" s="16" t="str">
        <f t="shared" si="3"/>
        <v>strAry(11) = Mid(pStr, 79, 4)</v>
      </c>
      <c r="M12" s="16" t="str">
        <f t="shared" si="4"/>
        <v>Cells(pPos, 11)=strAry(11)</v>
      </c>
    </row>
    <row r="13" spans="1:13" x14ac:dyDescent="0.25">
      <c r="A13" s="19"/>
      <c r="B13" s="20"/>
      <c r="C13" s="19" t="s">
        <v>45</v>
      </c>
      <c r="D13" s="16">
        <v>1</v>
      </c>
      <c r="E13" s="16">
        <v>1</v>
      </c>
      <c r="F13" s="16">
        <f t="shared" si="0"/>
        <v>1</v>
      </c>
      <c r="G13" s="21">
        <v>2</v>
      </c>
      <c r="H13" s="18">
        <v>12</v>
      </c>
      <c r="I13" s="18">
        <v>1</v>
      </c>
      <c r="J13" s="16" t="str">
        <f t="shared" si="1"/>
        <v>Dim  as string</v>
      </c>
      <c r="K13" s="16" t="str">
        <f t="shared" si="2"/>
        <v xml:space="preserve"> = Mid(InputStr, 1, 1)</v>
      </c>
      <c r="L13" s="16" t="str">
        <f t="shared" si="3"/>
        <v>strAry(1) = Mid(pStr, 1, 1)</v>
      </c>
      <c r="M13" s="16" t="str">
        <f t="shared" si="4"/>
        <v>Cells(pPos, 12)=strAry(1)</v>
      </c>
    </row>
    <row r="14" spans="1:13" x14ac:dyDescent="0.25">
      <c r="A14" s="19"/>
      <c r="B14" s="20"/>
      <c r="C14" s="19" t="s">
        <v>40</v>
      </c>
      <c r="D14" s="16">
        <v>2</v>
      </c>
      <c r="E14" s="16">
        <v>2</v>
      </c>
      <c r="F14" s="16">
        <f>E14-D14+1</f>
        <v>1</v>
      </c>
      <c r="H14" s="18">
        <v>13</v>
      </c>
      <c r="I14" s="18">
        <v>2</v>
      </c>
      <c r="J14" s="16" t="str">
        <f t="shared" si="1"/>
        <v>Dim  as string</v>
      </c>
      <c r="K14" s="16" t="str">
        <f t="shared" si="2"/>
        <v xml:space="preserve"> = Mid(InputStr, 2, 1)</v>
      </c>
      <c r="L14" s="16" t="str">
        <f t="shared" si="3"/>
        <v>strAry(2) = Mid(pStr, 2, 1)</v>
      </c>
      <c r="M14" s="16" t="str">
        <f t="shared" si="4"/>
        <v>Cells(pPos, 13)=strAry(2)</v>
      </c>
    </row>
    <row r="15" spans="1:13" x14ac:dyDescent="0.25">
      <c r="A15" s="19"/>
      <c r="B15" s="20"/>
      <c r="C15" s="19" t="s">
        <v>26</v>
      </c>
      <c r="D15" s="16">
        <v>3</v>
      </c>
      <c r="E15" s="16">
        <v>11</v>
      </c>
      <c r="F15" s="16">
        <f t="shared" si="0"/>
        <v>9</v>
      </c>
      <c r="H15" s="18">
        <v>14</v>
      </c>
      <c r="I15" s="18">
        <v>3</v>
      </c>
      <c r="J15" s="16" t="str">
        <f t="shared" si="1"/>
        <v>Dim  as string</v>
      </c>
      <c r="K15" s="16" t="str">
        <f t="shared" si="2"/>
        <v xml:space="preserve"> = Mid(InputStr, 3, 9)</v>
      </c>
      <c r="L15" s="16" t="str">
        <f t="shared" si="3"/>
        <v>strAry(3) = Mid(pStr, 3, 9)</v>
      </c>
      <c r="M15" s="16" t="str">
        <f t="shared" si="4"/>
        <v>Cells(pPos, 14)=strAry(3)</v>
      </c>
    </row>
    <row r="16" spans="1:13" x14ac:dyDescent="0.25">
      <c r="A16" s="19"/>
      <c r="B16" s="22"/>
      <c r="C16" s="19" t="s">
        <v>27</v>
      </c>
      <c r="D16" s="16">
        <v>12</v>
      </c>
      <c r="E16" s="16">
        <v>14</v>
      </c>
      <c r="F16" s="16">
        <f t="shared" si="0"/>
        <v>3</v>
      </c>
      <c r="H16" s="18">
        <v>15</v>
      </c>
      <c r="I16" s="18">
        <v>4</v>
      </c>
      <c r="J16" s="16" t="str">
        <f t="shared" si="1"/>
        <v>Dim  as string</v>
      </c>
      <c r="K16" s="16" t="str">
        <f t="shared" si="2"/>
        <v xml:space="preserve"> = Mid(InputStr, 12, 3)</v>
      </c>
      <c r="L16" s="16" t="str">
        <f t="shared" si="3"/>
        <v>strAry(4) = Mid(pStr, 12, 3)</v>
      </c>
      <c r="M16" s="16" t="str">
        <f t="shared" si="4"/>
        <v>Cells(pPos, 15)=strAry(4)</v>
      </c>
    </row>
    <row r="17" spans="1:13" x14ac:dyDescent="0.25">
      <c r="A17" s="19"/>
      <c r="B17" s="20"/>
      <c r="C17" s="19" t="s">
        <v>28</v>
      </c>
      <c r="D17" s="16">
        <v>15</v>
      </c>
      <c r="E17" s="16">
        <v>22</v>
      </c>
      <c r="F17" s="16">
        <f t="shared" si="0"/>
        <v>8</v>
      </c>
      <c r="H17" s="18">
        <v>16</v>
      </c>
      <c r="I17" s="18">
        <v>5</v>
      </c>
      <c r="J17" s="16" t="str">
        <f t="shared" si="1"/>
        <v>Dim  as string</v>
      </c>
      <c r="K17" s="16" t="str">
        <f t="shared" si="2"/>
        <v xml:space="preserve"> = Mid(InputStr, 15, 8)</v>
      </c>
      <c r="L17" s="16" t="str">
        <f t="shared" si="3"/>
        <v>strAry(5) = Mid(pStr, 15, 8)</v>
      </c>
      <c r="M17" s="16" t="str">
        <f t="shared" si="4"/>
        <v>Cells(pPos, 16)=strAry(5)</v>
      </c>
    </row>
    <row r="18" spans="1:13" x14ac:dyDescent="0.25">
      <c r="A18" s="19"/>
      <c r="B18" s="20"/>
      <c r="C18" s="19" t="s">
        <v>29</v>
      </c>
      <c r="D18" s="16">
        <v>23</v>
      </c>
      <c r="E18" s="16">
        <v>27</v>
      </c>
      <c r="F18" s="16">
        <f t="shared" si="0"/>
        <v>5</v>
      </c>
      <c r="H18" s="18">
        <v>17</v>
      </c>
      <c r="I18" s="18">
        <v>6</v>
      </c>
      <c r="J18" s="16" t="str">
        <f t="shared" si="1"/>
        <v>Dim  as string</v>
      </c>
      <c r="K18" s="16" t="str">
        <f t="shared" si="2"/>
        <v xml:space="preserve"> = Mid(InputStr, 23, 5)</v>
      </c>
      <c r="L18" s="16" t="str">
        <f t="shared" si="3"/>
        <v>strAry(6) = Mid(pStr, 23, 5)</v>
      </c>
      <c r="M18" s="16" t="str">
        <f t="shared" si="4"/>
        <v>Cells(pPos, 17)=strAry(6)</v>
      </c>
    </row>
    <row r="19" spans="1:13" x14ac:dyDescent="0.25">
      <c r="A19" s="19"/>
      <c r="B19" s="20"/>
      <c r="C19" s="19" t="s">
        <v>30</v>
      </c>
      <c r="D19" s="16">
        <v>28</v>
      </c>
      <c r="E19" s="16">
        <v>31</v>
      </c>
      <c r="F19" s="16">
        <f t="shared" si="0"/>
        <v>4</v>
      </c>
      <c r="H19" s="18">
        <v>18</v>
      </c>
      <c r="I19" s="18">
        <v>7</v>
      </c>
      <c r="J19" s="16" t="str">
        <f t="shared" si="1"/>
        <v>Dim  as string</v>
      </c>
      <c r="K19" s="16" t="str">
        <f t="shared" si="2"/>
        <v xml:space="preserve"> = Mid(InputStr, 28, 4)</v>
      </c>
      <c r="L19" s="16" t="str">
        <f t="shared" si="3"/>
        <v>strAry(7) = Mid(pStr, 28, 4)</v>
      </c>
      <c r="M19" s="16" t="str">
        <f t="shared" si="4"/>
        <v>Cells(pPos, 18)=strAry(7)</v>
      </c>
    </row>
    <row r="20" spans="1:13" ht="33" x14ac:dyDescent="0.25">
      <c r="A20" s="19"/>
      <c r="B20" s="20"/>
      <c r="C20" s="19" t="s">
        <v>48</v>
      </c>
      <c r="D20" s="16">
        <v>32</v>
      </c>
      <c r="E20" s="16">
        <v>32</v>
      </c>
      <c r="F20" s="16">
        <f t="shared" si="0"/>
        <v>1</v>
      </c>
      <c r="H20" s="18">
        <v>19</v>
      </c>
      <c r="I20" s="18">
        <v>8</v>
      </c>
      <c r="J20" s="16" t="str">
        <f t="shared" si="1"/>
        <v>Dim  as string</v>
      </c>
      <c r="K20" s="16" t="str">
        <f t="shared" si="2"/>
        <v xml:space="preserve"> = Mid(InputStr, 32, 1)</v>
      </c>
      <c r="L20" s="16" t="str">
        <f t="shared" si="3"/>
        <v>strAry(8) = Mid(pStr, 32, 1)</v>
      </c>
      <c r="M20" s="16" t="str">
        <f t="shared" si="4"/>
        <v>Cells(pPos, 19)=strAry(8)</v>
      </c>
    </row>
    <row r="21" spans="1:13" x14ac:dyDescent="0.25">
      <c r="A21" s="19"/>
      <c r="B21" s="23"/>
      <c r="C21" s="19" t="s">
        <v>31</v>
      </c>
      <c r="D21" s="16">
        <v>33</v>
      </c>
      <c r="E21" s="16">
        <v>38</v>
      </c>
      <c r="F21" s="16">
        <f t="shared" si="0"/>
        <v>6</v>
      </c>
      <c r="H21" s="18">
        <v>20</v>
      </c>
      <c r="I21" s="18">
        <v>9</v>
      </c>
      <c r="J21" s="16" t="str">
        <f t="shared" si="1"/>
        <v>Dim  as string</v>
      </c>
      <c r="K21" s="16" t="str">
        <f t="shared" si="2"/>
        <v xml:space="preserve"> = Mid(InputStr, 33, 6)</v>
      </c>
      <c r="L21" s="16" t="str">
        <f t="shared" si="3"/>
        <v>strAry(9) = Mid(pStr, 33, 6)</v>
      </c>
      <c r="M21" s="16" t="str">
        <f t="shared" si="4"/>
        <v>Cells(pPos, 20)=strAry(9)</v>
      </c>
    </row>
    <row r="22" spans="1:13" x14ac:dyDescent="0.25">
      <c r="A22" s="19"/>
      <c r="B22" s="20"/>
      <c r="C22" s="19" t="s">
        <v>32</v>
      </c>
      <c r="D22" s="16">
        <v>39</v>
      </c>
      <c r="E22" s="16">
        <v>49</v>
      </c>
      <c r="F22" s="16">
        <f t="shared" si="0"/>
        <v>11</v>
      </c>
      <c r="H22" s="18">
        <v>21</v>
      </c>
      <c r="I22" s="18">
        <v>10</v>
      </c>
      <c r="J22" s="16" t="str">
        <f t="shared" si="1"/>
        <v>Dim  as string</v>
      </c>
      <c r="K22" s="16" t="str">
        <f t="shared" si="2"/>
        <v xml:space="preserve"> = Mid(InputStr, 39, 11)</v>
      </c>
      <c r="L22" s="16" t="str">
        <f t="shared" si="3"/>
        <v>strAry(10) = Mid(pStr, 39, 11)</v>
      </c>
      <c r="M22" s="16" t="str">
        <f t="shared" si="4"/>
        <v>Cells(pPos, 21)=strAry(10)</v>
      </c>
    </row>
    <row r="23" spans="1:13" x14ac:dyDescent="0.25">
      <c r="A23" s="19"/>
      <c r="B23" s="20"/>
      <c r="C23" s="19" t="s">
        <v>41</v>
      </c>
      <c r="D23" s="29">
        <v>50</v>
      </c>
      <c r="E23" s="29">
        <v>50</v>
      </c>
      <c r="F23" s="29">
        <f t="shared" si="0"/>
        <v>1</v>
      </c>
      <c r="H23" s="18">
        <v>22</v>
      </c>
      <c r="I23" s="18">
        <v>11</v>
      </c>
      <c r="K23" s="29" t="str">
        <f t="shared" si="2"/>
        <v xml:space="preserve"> = Mid(InputStr, 50, 1)</v>
      </c>
      <c r="L23" s="16" t="str">
        <f t="shared" ref="L23:L25" si="5">"strAry(" &amp; I23 &amp; ") = " &amp; "Mid(pStr, " &amp; D23 &amp; ", " &amp; F23 &amp; ")"</f>
        <v>strAry(11) = Mid(pStr, 50, 1)</v>
      </c>
      <c r="M23" s="16" t="str">
        <f t="shared" ref="M23:M25" si="6">"Cells(pPos, " &amp; H23 &amp; ")=strAry(" &amp; I23 &amp; ")"</f>
        <v>Cells(pPos, 22)=strAry(11)</v>
      </c>
    </row>
    <row r="24" spans="1:13" x14ac:dyDescent="0.25">
      <c r="A24" s="19"/>
      <c r="B24" s="20"/>
      <c r="C24" s="19" t="s">
        <v>50</v>
      </c>
      <c r="D24" s="29">
        <v>51</v>
      </c>
      <c r="E24" s="29">
        <v>52</v>
      </c>
      <c r="F24" s="29">
        <f t="shared" si="0"/>
        <v>2</v>
      </c>
      <c r="H24" s="18">
        <v>23</v>
      </c>
      <c r="I24" s="18">
        <v>12</v>
      </c>
      <c r="K24" s="29" t="str">
        <f t="shared" si="2"/>
        <v xml:space="preserve"> = Mid(InputStr, 51, 2)</v>
      </c>
      <c r="L24" s="16" t="str">
        <f t="shared" si="5"/>
        <v>strAry(12) = Mid(pStr, 51, 2)</v>
      </c>
      <c r="M24" s="16" t="str">
        <f t="shared" si="6"/>
        <v>Cells(pPos, 23)=strAry(12)</v>
      </c>
    </row>
    <row r="25" spans="1:13" x14ac:dyDescent="0.25">
      <c r="A25" s="19"/>
      <c r="B25" s="20"/>
      <c r="C25" s="19" t="s">
        <v>51</v>
      </c>
      <c r="D25" s="16">
        <v>53</v>
      </c>
      <c r="E25" s="16">
        <v>54</v>
      </c>
      <c r="F25" s="16">
        <f t="shared" si="0"/>
        <v>2</v>
      </c>
      <c r="H25" s="18">
        <v>24</v>
      </c>
      <c r="I25" s="18">
        <v>13</v>
      </c>
      <c r="J25" s="16" t="str">
        <f t="shared" si="1"/>
        <v>Dim  as string</v>
      </c>
      <c r="K25" s="16" t="str">
        <f t="shared" si="2"/>
        <v xml:space="preserve"> = Mid(InputStr, 53, 2)</v>
      </c>
      <c r="L25" s="16" t="str">
        <f t="shared" si="5"/>
        <v>strAry(13) = Mid(pStr, 53, 2)</v>
      </c>
      <c r="M25" s="16" t="str">
        <f t="shared" si="6"/>
        <v>Cells(pPos, 24)=strAry(13)</v>
      </c>
    </row>
    <row r="26" spans="1:13" x14ac:dyDescent="0.25">
      <c r="A26" s="19"/>
      <c r="B26" s="20"/>
      <c r="C26" s="19" t="s">
        <v>33</v>
      </c>
      <c r="D26" s="16">
        <v>55</v>
      </c>
      <c r="E26" s="16">
        <v>69</v>
      </c>
      <c r="F26" s="16">
        <f t="shared" si="0"/>
        <v>15</v>
      </c>
      <c r="H26" s="18">
        <v>25</v>
      </c>
      <c r="I26" s="18">
        <v>14</v>
      </c>
      <c r="J26" s="16" t="str">
        <f t="shared" si="1"/>
        <v>Dim  as string</v>
      </c>
      <c r="K26" s="16" t="str">
        <f t="shared" si="2"/>
        <v xml:space="preserve"> = Mid(InputStr, 55, 15)</v>
      </c>
      <c r="L26" s="16" t="str">
        <f t="shared" ref="L26:L33" si="7">"strAry(" &amp; I26 &amp; ") = " &amp; "Mid(pStr, " &amp; D26 &amp; ", " &amp; F26 &amp; ")"</f>
        <v>strAry(14) = Mid(pStr, 55, 15)</v>
      </c>
      <c r="M26" s="16" t="str">
        <f t="shared" ref="M26:M33" si="8">"Cells(pPos, " &amp; H26 &amp; ")=strAry(" &amp; I26 &amp; ")"</f>
        <v>Cells(pPos, 25)=strAry(14)</v>
      </c>
    </row>
    <row r="27" spans="1:13" x14ac:dyDescent="0.25">
      <c r="A27" s="19"/>
      <c r="B27" s="20"/>
      <c r="C27" s="19" t="s">
        <v>34</v>
      </c>
      <c r="D27" s="16">
        <v>70</v>
      </c>
      <c r="E27" s="16">
        <v>75</v>
      </c>
      <c r="F27" s="16">
        <f t="shared" si="0"/>
        <v>6</v>
      </c>
      <c r="H27" s="18">
        <v>26</v>
      </c>
      <c r="I27" s="18">
        <v>15</v>
      </c>
      <c r="J27" s="16" t="str">
        <f t="shared" si="1"/>
        <v>Dim  as string</v>
      </c>
      <c r="K27" s="16" t="str">
        <f t="shared" si="2"/>
        <v xml:space="preserve"> = Mid(InputStr, 70, 6)</v>
      </c>
      <c r="L27" s="16" t="str">
        <f t="shared" si="7"/>
        <v>strAry(15) = Mid(pStr, 70, 6)</v>
      </c>
      <c r="M27" s="16" t="str">
        <f t="shared" si="8"/>
        <v>Cells(pPos, 26)=strAry(15)</v>
      </c>
    </row>
    <row r="28" spans="1:13" x14ac:dyDescent="0.25">
      <c r="A28" s="19"/>
      <c r="B28" s="20"/>
      <c r="C28" s="19" t="s">
        <v>35</v>
      </c>
      <c r="D28" s="16">
        <v>76</v>
      </c>
      <c r="E28" s="16">
        <v>80</v>
      </c>
      <c r="F28" s="16">
        <f t="shared" si="0"/>
        <v>5</v>
      </c>
      <c r="H28" s="18">
        <v>27</v>
      </c>
      <c r="I28" s="18">
        <v>16</v>
      </c>
      <c r="J28" s="16" t="str">
        <f t="shared" si="1"/>
        <v>Dim  as string</v>
      </c>
      <c r="K28" s="16" t="str">
        <f t="shared" si="2"/>
        <v xml:space="preserve"> = Mid(InputStr, 76, 5)</v>
      </c>
      <c r="L28" s="16" t="str">
        <f t="shared" si="7"/>
        <v>strAry(16) = Mid(pStr, 76, 5)</v>
      </c>
      <c r="M28" s="16" t="str">
        <f t="shared" si="8"/>
        <v>Cells(pPos, 27)=strAry(16)</v>
      </c>
    </row>
    <row r="29" spans="1:13" x14ac:dyDescent="0.25">
      <c r="A29" s="19"/>
      <c r="B29" s="20"/>
      <c r="C29" s="19" t="s">
        <v>36</v>
      </c>
      <c r="D29" s="16">
        <v>81</v>
      </c>
      <c r="E29" s="16">
        <v>86</v>
      </c>
      <c r="F29" s="16">
        <f t="shared" si="0"/>
        <v>6</v>
      </c>
      <c r="H29" s="18">
        <v>28</v>
      </c>
      <c r="I29" s="18">
        <v>17</v>
      </c>
      <c r="J29" s="16" t="str">
        <f t="shared" si="1"/>
        <v>Dim  as string</v>
      </c>
      <c r="K29" s="16" t="str">
        <f t="shared" si="2"/>
        <v xml:space="preserve"> = Mid(InputStr, 81, 6)</v>
      </c>
      <c r="L29" s="16" t="str">
        <f t="shared" si="7"/>
        <v>strAry(17) = Mid(pStr, 81, 6)</v>
      </c>
      <c r="M29" s="16" t="str">
        <f t="shared" si="8"/>
        <v>Cells(pPos, 28)=strAry(17)</v>
      </c>
    </row>
    <row r="30" spans="1:13" x14ac:dyDescent="0.25">
      <c r="A30" s="24"/>
      <c r="B30" s="23"/>
      <c r="C30" s="24" t="s">
        <v>37</v>
      </c>
      <c r="D30" s="16">
        <v>87</v>
      </c>
      <c r="E30" s="30">
        <v>90</v>
      </c>
      <c r="F30" s="16">
        <f t="shared" si="0"/>
        <v>4</v>
      </c>
      <c r="H30" s="18">
        <v>29</v>
      </c>
      <c r="I30" s="18">
        <v>18</v>
      </c>
      <c r="J30" s="16" t="str">
        <f t="shared" si="1"/>
        <v>Dim  as string</v>
      </c>
      <c r="K30" s="16" t="str">
        <f t="shared" si="2"/>
        <v xml:space="preserve"> = Mid(InputStr, 87, 4)</v>
      </c>
      <c r="L30" s="16" t="str">
        <f t="shared" si="7"/>
        <v>strAry(18) = Mid(pStr, 87, 4)</v>
      </c>
      <c r="M30" s="16" t="str">
        <f t="shared" si="8"/>
        <v>Cells(pPos, 29)=strAry(18)</v>
      </c>
    </row>
    <row r="31" spans="1:13" x14ac:dyDescent="0.25">
      <c r="A31" s="19"/>
      <c r="B31" s="20"/>
      <c r="C31" s="19" t="s">
        <v>38</v>
      </c>
      <c r="D31" s="30">
        <v>91</v>
      </c>
      <c r="E31" s="16">
        <v>93</v>
      </c>
      <c r="F31" s="16">
        <f t="shared" si="0"/>
        <v>3</v>
      </c>
      <c r="H31" s="18">
        <v>30</v>
      </c>
      <c r="I31" s="18">
        <v>19</v>
      </c>
      <c r="J31" s="16" t="str">
        <f t="shared" si="1"/>
        <v>Dim  as string</v>
      </c>
      <c r="K31" s="16" t="str">
        <f t="shared" si="2"/>
        <v xml:space="preserve"> = Mid(InputStr, 91, 3)</v>
      </c>
      <c r="L31" s="16" t="str">
        <f t="shared" si="7"/>
        <v>strAry(19) = Mid(pStr, 91, 3)</v>
      </c>
      <c r="M31" s="16" t="str">
        <f t="shared" si="8"/>
        <v>Cells(pPos, 30)=strAry(19)</v>
      </c>
    </row>
    <row r="32" spans="1:13" x14ac:dyDescent="0.25">
      <c r="A32" s="19"/>
      <c r="B32" s="20"/>
      <c r="C32" s="19" t="s">
        <v>52</v>
      </c>
      <c r="D32" s="16">
        <v>94</v>
      </c>
      <c r="E32" s="16">
        <v>107</v>
      </c>
      <c r="F32" s="16">
        <f t="shared" si="0"/>
        <v>14</v>
      </c>
      <c r="H32" s="18">
        <v>31</v>
      </c>
      <c r="I32" s="18">
        <v>20</v>
      </c>
      <c r="J32" s="16" t="str">
        <f t="shared" si="1"/>
        <v>Dim  as string</v>
      </c>
      <c r="K32" s="16" t="str">
        <f t="shared" si="2"/>
        <v xml:space="preserve"> = Mid(InputStr, 94, 14)</v>
      </c>
      <c r="L32" s="16" t="str">
        <f t="shared" si="7"/>
        <v>strAry(20) = Mid(pStr, 94, 14)</v>
      </c>
      <c r="M32" s="16" t="str">
        <f t="shared" si="8"/>
        <v>Cells(pPos, 31)=strAry(20)</v>
      </c>
    </row>
    <row r="33" spans="1:13" x14ac:dyDescent="0.25">
      <c r="A33" s="24"/>
      <c r="C33" s="24" t="s">
        <v>39</v>
      </c>
      <c r="D33" s="16">
        <v>108</v>
      </c>
      <c r="E33" s="16">
        <v>110</v>
      </c>
      <c r="F33" s="16">
        <f t="shared" si="0"/>
        <v>3</v>
      </c>
      <c r="H33" s="18">
        <v>32</v>
      </c>
      <c r="I33" s="18">
        <v>21</v>
      </c>
      <c r="J33" s="16" t="str">
        <f t="shared" ref="J33" si="9">"Dim " &amp; B33 &amp; " as string"</f>
        <v>Dim  as string</v>
      </c>
      <c r="K33" s="16" t="str">
        <f t="shared" ref="K33" si="10">B33 &amp; " = " &amp; "Mid(InputStr, " &amp; D33 &amp; ", " &amp; F33 &amp; ")"</f>
        <v xml:space="preserve"> = Mid(InputStr, 108, 3)</v>
      </c>
      <c r="L33" s="16" t="str">
        <f t="shared" si="7"/>
        <v>strAry(21) = Mid(pStr, 108, 3)</v>
      </c>
      <c r="M33" s="16" t="str">
        <f t="shared" si="8"/>
        <v>Cells(pPos, 32)=strAry(21)</v>
      </c>
    </row>
    <row r="34" spans="1:13" x14ac:dyDescent="0.25">
      <c r="C34" s="32" t="s">
        <v>55</v>
      </c>
    </row>
    <row r="35" spans="1:13" x14ac:dyDescent="0.25">
      <c r="C35" s="32" t="s">
        <v>56</v>
      </c>
    </row>
  </sheetData>
  <phoneticPr fontId="1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FFFF00"/>
  </sheetPr>
  <dimension ref="B1:R38"/>
  <sheetViews>
    <sheetView topLeftCell="B1" workbookViewId="0">
      <selection activeCell="M10" sqref="M10"/>
    </sheetView>
  </sheetViews>
  <sheetFormatPr defaultRowHeight="16.5" x14ac:dyDescent="0.25"/>
  <cols>
    <col min="1" max="1" width="9" style="2"/>
    <col min="2" max="2" width="16.125" style="16" bestFit="1" customWidth="1"/>
    <col min="3" max="5" width="9" style="16"/>
    <col min="6" max="6" width="9" style="17"/>
    <col min="7" max="7" width="7.125" style="17" customWidth="1"/>
    <col min="8" max="8" width="9" style="2"/>
    <col min="9" max="9" width="2.125" style="73" customWidth="1"/>
    <col min="10" max="10" width="16.125" style="16" bestFit="1" customWidth="1"/>
    <col min="11" max="13" width="9" style="16"/>
    <col min="14" max="14" width="9" style="17"/>
    <col min="15" max="15" width="7.125" style="17" customWidth="1"/>
    <col min="16" max="16" width="9" style="2"/>
    <col min="17" max="17" width="53.875" style="2" customWidth="1"/>
    <col min="18" max="16384" width="9" style="2"/>
  </cols>
  <sheetData>
    <row r="1" spans="2:18" x14ac:dyDescent="0.25">
      <c r="B1" s="82" t="s">
        <v>128</v>
      </c>
      <c r="C1" s="82"/>
      <c r="D1" s="82"/>
      <c r="E1" s="82"/>
      <c r="F1" s="82"/>
      <c r="G1" s="82"/>
      <c r="J1" s="82" t="s">
        <v>129</v>
      </c>
      <c r="K1" s="82"/>
      <c r="L1" s="82"/>
      <c r="M1" s="82"/>
      <c r="N1" s="82"/>
      <c r="O1" s="82"/>
    </row>
    <row r="2" spans="2:18" x14ac:dyDescent="0.25">
      <c r="B2" s="16" t="s">
        <v>0</v>
      </c>
      <c r="C2" s="16" t="s">
        <v>1</v>
      </c>
      <c r="D2" s="16" t="s">
        <v>2</v>
      </c>
      <c r="E2" s="16" t="s">
        <v>3</v>
      </c>
      <c r="F2" s="17" t="s">
        <v>4</v>
      </c>
      <c r="G2" s="17" t="s">
        <v>17</v>
      </c>
      <c r="J2" s="16" t="s">
        <v>0</v>
      </c>
      <c r="K2" s="16" t="s">
        <v>1</v>
      </c>
      <c r="L2" s="16" t="s">
        <v>2</v>
      </c>
      <c r="M2" s="16" t="s">
        <v>3</v>
      </c>
      <c r="N2" s="17" t="s">
        <v>4</v>
      </c>
      <c r="O2" s="17" t="s">
        <v>17</v>
      </c>
    </row>
    <row r="3" spans="2:18" x14ac:dyDescent="0.25">
      <c r="B3" s="19" t="s">
        <v>95</v>
      </c>
      <c r="E3" s="16">
        <f>D3-C3+1</f>
        <v>1</v>
      </c>
      <c r="G3" s="18">
        <v>1</v>
      </c>
      <c r="J3" s="16" t="s">
        <v>149</v>
      </c>
      <c r="K3" s="16">
        <v>1</v>
      </c>
      <c r="L3" s="16">
        <v>4</v>
      </c>
      <c r="M3" s="16">
        <f>L3-K3+1</f>
        <v>4</v>
      </c>
      <c r="O3" s="18">
        <v>1</v>
      </c>
      <c r="Q3" s="2" t="str">
        <f>"Cells(gBaseLines + intRow, " &amp; O3 &amp; ")=Mid(InputStr," &amp; K3 &amp; ", " &amp; M3 &amp; ")"</f>
        <v>Cells(gBaseLines + intRow, 1)=Mid(InputStr,1, 4)</v>
      </c>
    </row>
    <row r="4" spans="2:18" x14ac:dyDescent="0.25">
      <c r="B4" s="19" t="s">
        <v>96</v>
      </c>
      <c r="E4" s="16">
        <f t="shared" ref="E4:E21" si="0">D4-C4+1</f>
        <v>1</v>
      </c>
      <c r="G4" s="18">
        <v>2</v>
      </c>
      <c r="J4" s="63" t="s">
        <v>132</v>
      </c>
      <c r="K4" s="16">
        <v>5</v>
      </c>
      <c r="L4" s="16">
        <v>5</v>
      </c>
      <c r="M4" s="16">
        <f>L4-K4+1</f>
        <v>1</v>
      </c>
      <c r="O4" s="18">
        <v>2</v>
      </c>
      <c r="P4" s="19" t="s">
        <v>159</v>
      </c>
      <c r="Q4" s="2" t="str">
        <f t="shared" ref="Q4:Q18" si="1">"Cells(gBaseLines + intRow, " &amp; O4 &amp; ")=Mid(InputStr," &amp; K4 &amp; ", " &amp; M4 &amp; ")"</f>
        <v>Cells(gBaseLines + intRow, 2)=Mid(InputStr,5, 1)</v>
      </c>
      <c r="R4" s="2" t="s">
        <v>151</v>
      </c>
    </row>
    <row r="5" spans="2:18" x14ac:dyDescent="0.25">
      <c r="B5" s="19" t="s">
        <v>97</v>
      </c>
      <c r="E5" s="16">
        <f t="shared" si="0"/>
        <v>1</v>
      </c>
      <c r="G5" s="18">
        <v>3</v>
      </c>
      <c r="J5" s="63" t="s">
        <v>133</v>
      </c>
      <c r="K5" s="16">
        <v>6</v>
      </c>
      <c r="L5" s="16">
        <v>10</v>
      </c>
      <c r="M5" s="16">
        <f t="shared" ref="M5:M14" si="2">L5-K5+1</f>
        <v>5</v>
      </c>
      <c r="O5" s="18">
        <v>3</v>
      </c>
      <c r="P5" s="19"/>
      <c r="Q5" s="2" t="str">
        <f t="shared" si="1"/>
        <v>Cells(gBaseLines + intRow, 3)=Mid(InputStr,6, 5)</v>
      </c>
    </row>
    <row r="6" spans="2:18" x14ac:dyDescent="0.25">
      <c r="B6" s="19" t="s">
        <v>98</v>
      </c>
      <c r="E6" s="16">
        <f t="shared" si="0"/>
        <v>1</v>
      </c>
      <c r="G6" s="18">
        <v>4</v>
      </c>
      <c r="J6" s="63" t="s">
        <v>134</v>
      </c>
      <c r="K6" s="16">
        <v>11</v>
      </c>
      <c r="L6" s="16">
        <v>26</v>
      </c>
      <c r="M6" s="16">
        <f t="shared" si="2"/>
        <v>16</v>
      </c>
      <c r="N6" s="17" t="s">
        <v>127</v>
      </c>
      <c r="O6" s="18">
        <v>4</v>
      </c>
      <c r="Q6" s="2" t="str">
        <f t="shared" si="1"/>
        <v>Cells(gBaseLines + intRow, 4)=Mid(InputStr,11, 16)</v>
      </c>
    </row>
    <row r="7" spans="2:18" x14ac:dyDescent="0.25">
      <c r="B7" s="19" t="s">
        <v>99</v>
      </c>
      <c r="E7" s="16">
        <f t="shared" si="0"/>
        <v>1</v>
      </c>
      <c r="G7" s="18">
        <v>5</v>
      </c>
      <c r="J7" s="74" t="s">
        <v>135</v>
      </c>
      <c r="K7" s="16">
        <v>27</v>
      </c>
      <c r="L7" s="16">
        <v>34</v>
      </c>
      <c r="M7" s="16">
        <f t="shared" si="2"/>
        <v>8</v>
      </c>
      <c r="O7" s="18">
        <v>5</v>
      </c>
      <c r="Q7" s="2" t="str">
        <f t="shared" si="1"/>
        <v>Cells(gBaseLines + intRow, 5)=Mid(InputStr,27, 8)</v>
      </c>
    </row>
    <row r="8" spans="2:18" x14ac:dyDescent="0.25">
      <c r="B8" s="19" t="s">
        <v>100</v>
      </c>
      <c r="E8" s="16">
        <f t="shared" si="0"/>
        <v>1</v>
      </c>
      <c r="G8" s="18">
        <v>6</v>
      </c>
      <c r="J8" s="63" t="s">
        <v>136</v>
      </c>
      <c r="K8" s="16">
        <v>35</v>
      </c>
      <c r="L8" s="16">
        <v>49</v>
      </c>
      <c r="M8" s="16">
        <f t="shared" si="2"/>
        <v>15</v>
      </c>
      <c r="O8" s="18">
        <v>6</v>
      </c>
      <c r="Q8" s="2" t="str">
        <f t="shared" si="1"/>
        <v>Cells(gBaseLines + intRow, 6)=Mid(InputStr,35, 15)</v>
      </c>
    </row>
    <row r="9" spans="2:18" x14ac:dyDescent="0.25">
      <c r="B9" s="19" t="s">
        <v>101</v>
      </c>
      <c r="E9" s="16">
        <f t="shared" si="0"/>
        <v>1</v>
      </c>
      <c r="G9" s="18">
        <v>7</v>
      </c>
      <c r="J9" s="63" t="s">
        <v>137</v>
      </c>
      <c r="K9" s="16">
        <v>50</v>
      </c>
      <c r="L9" s="16">
        <v>79</v>
      </c>
      <c r="M9" s="16">
        <f t="shared" si="2"/>
        <v>30</v>
      </c>
      <c r="O9" s="18">
        <v>7</v>
      </c>
      <c r="Q9" s="2" t="str">
        <f t="shared" si="1"/>
        <v>Cells(gBaseLines + intRow, 7)=Mid(InputStr,50, 30)</v>
      </c>
    </row>
    <row r="10" spans="2:18" x14ac:dyDescent="0.25">
      <c r="B10" s="19" t="s">
        <v>102</v>
      </c>
      <c r="E10" s="16">
        <f t="shared" si="0"/>
        <v>1</v>
      </c>
      <c r="G10" s="18">
        <v>8</v>
      </c>
      <c r="J10" s="63" t="s">
        <v>138</v>
      </c>
      <c r="K10" s="16">
        <v>80</v>
      </c>
      <c r="L10" s="16">
        <v>87</v>
      </c>
      <c r="M10" s="81">
        <f t="shared" si="2"/>
        <v>8</v>
      </c>
      <c r="O10" s="18">
        <v>8</v>
      </c>
      <c r="P10" s="19"/>
      <c r="Q10" s="2" t="str">
        <f t="shared" si="1"/>
        <v>Cells(gBaseLines + intRow, 8)=Mid(InputStr,80, 8)</v>
      </c>
    </row>
    <row r="11" spans="2:18" x14ac:dyDescent="0.25">
      <c r="B11" s="19" t="s">
        <v>103</v>
      </c>
      <c r="E11" s="16">
        <f t="shared" si="0"/>
        <v>1</v>
      </c>
      <c r="G11" s="18">
        <v>9</v>
      </c>
      <c r="J11" s="63" t="s">
        <v>139</v>
      </c>
      <c r="K11" s="16">
        <v>89</v>
      </c>
      <c r="L11" s="16">
        <v>96</v>
      </c>
      <c r="M11" s="16">
        <f t="shared" si="2"/>
        <v>8</v>
      </c>
      <c r="O11" s="18">
        <v>9</v>
      </c>
      <c r="Q11" s="2" t="str">
        <f t="shared" si="1"/>
        <v>Cells(gBaseLines + intRow, 9)=Mid(InputStr,89, 8)</v>
      </c>
    </row>
    <row r="12" spans="2:18" x14ac:dyDescent="0.25">
      <c r="B12" s="19" t="s">
        <v>104</v>
      </c>
      <c r="E12" s="16">
        <f t="shared" si="0"/>
        <v>1</v>
      </c>
      <c r="G12" s="18">
        <v>10</v>
      </c>
      <c r="H12" s="74"/>
      <c r="J12" s="64" t="s">
        <v>144</v>
      </c>
      <c r="K12" s="16">
        <v>97</v>
      </c>
      <c r="L12" s="16">
        <v>99</v>
      </c>
      <c r="M12" s="16">
        <f>L12-K12+1</f>
        <v>3</v>
      </c>
      <c r="O12" s="18">
        <v>10</v>
      </c>
      <c r="P12" s="19"/>
      <c r="Q12" s="2" t="str">
        <f t="shared" si="1"/>
        <v>Cells(gBaseLines + intRow, 10)=Mid(InputStr,97, 3)</v>
      </c>
    </row>
    <row r="13" spans="2:18" x14ac:dyDescent="0.25">
      <c r="B13" s="19" t="s">
        <v>105</v>
      </c>
      <c r="E13" s="16">
        <f t="shared" si="0"/>
        <v>1</v>
      </c>
      <c r="G13" s="18">
        <v>11</v>
      </c>
      <c r="J13" s="63" t="s">
        <v>140</v>
      </c>
      <c r="K13" s="16">
        <v>100</v>
      </c>
      <c r="L13" s="16">
        <v>107</v>
      </c>
      <c r="M13" s="16">
        <f t="shared" si="2"/>
        <v>8</v>
      </c>
      <c r="O13" s="18">
        <v>11</v>
      </c>
      <c r="P13" s="19"/>
      <c r="Q13" s="2" t="str">
        <f t="shared" si="1"/>
        <v>Cells(gBaseLines + intRow, 11)=Mid(InputStr,100, 8)</v>
      </c>
    </row>
    <row r="14" spans="2:18" x14ac:dyDescent="0.25">
      <c r="B14" s="19" t="s">
        <v>106</v>
      </c>
      <c r="E14" s="16">
        <f t="shared" si="0"/>
        <v>1</v>
      </c>
      <c r="G14" s="18">
        <v>12</v>
      </c>
      <c r="J14" s="63" t="s">
        <v>141</v>
      </c>
      <c r="K14" s="16">
        <v>108</v>
      </c>
      <c r="L14" s="16">
        <v>115</v>
      </c>
      <c r="M14" s="16">
        <f t="shared" si="2"/>
        <v>8</v>
      </c>
      <c r="O14" s="18">
        <v>12</v>
      </c>
      <c r="P14" s="19"/>
      <c r="Q14" s="2" t="str">
        <f t="shared" si="1"/>
        <v>Cells(gBaseLines + intRow, 12)=Mid(InputStr,108, 8)</v>
      </c>
    </row>
    <row r="15" spans="2:18" x14ac:dyDescent="0.25">
      <c r="B15" s="19" t="s">
        <v>107</v>
      </c>
      <c r="E15" s="16">
        <f>D15-C15+1</f>
        <v>1</v>
      </c>
      <c r="G15" s="18">
        <v>13</v>
      </c>
      <c r="H15" s="74"/>
      <c r="J15" s="64" t="s">
        <v>145</v>
      </c>
      <c r="K15" s="16">
        <v>116</v>
      </c>
      <c r="L15" s="16">
        <v>121</v>
      </c>
      <c r="M15" s="16">
        <f>L15-K15+1</f>
        <v>6</v>
      </c>
      <c r="O15" s="18">
        <v>13</v>
      </c>
      <c r="P15" s="19"/>
      <c r="Q15" s="2" t="str">
        <f t="shared" si="1"/>
        <v>Cells(gBaseLines + intRow, 13)=Mid(InputStr,116, 6)</v>
      </c>
    </row>
    <row r="16" spans="2:18" x14ac:dyDescent="0.25">
      <c r="B16" s="19" t="s">
        <v>108</v>
      </c>
      <c r="E16" s="16">
        <f t="shared" si="0"/>
        <v>1</v>
      </c>
      <c r="G16" s="18">
        <v>14</v>
      </c>
      <c r="H16" s="74"/>
      <c r="J16" s="65" t="s">
        <v>146</v>
      </c>
      <c r="K16" s="16">
        <v>122</v>
      </c>
      <c r="L16" s="16">
        <v>127</v>
      </c>
      <c r="M16" s="16">
        <f t="shared" ref="M16:M21" si="3">L16-K16+1</f>
        <v>6</v>
      </c>
      <c r="O16" s="18">
        <v>14</v>
      </c>
      <c r="P16" s="19"/>
      <c r="Q16" s="2" t="str">
        <f t="shared" si="1"/>
        <v>Cells(gBaseLines + intRow, 14)=Mid(InputStr,122, 6)</v>
      </c>
    </row>
    <row r="17" spans="2:17" x14ac:dyDescent="0.25">
      <c r="B17" s="19" t="s">
        <v>109</v>
      </c>
      <c r="E17" s="16">
        <f t="shared" si="0"/>
        <v>1</v>
      </c>
      <c r="G17" s="18">
        <v>15</v>
      </c>
      <c r="J17" s="63" t="s">
        <v>142</v>
      </c>
      <c r="K17" s="16">
        <v>128</v>
      </c>
      <c r="L17" s="16">
        <v>133</v>
      </c>
      <c r="M17" s="16">
        <f t="shared" si="3"/>
        <v>6</v>
      </c>
      <c r="O17" s="18">
        <v>15</v>
      </c>
      <c r="P17" s="19"/>
      <c r="Q17" s="2" t="str">
        <f t="shared" si="1"/>
        <v>Cells(gBaseLines + intRow, 15)=Mid(InputStr,128, 6)</v>
      </c>
    </row>
    <row r="18" spans="2:17" x14ac:dyDescent="0.25">
      <c r="B18" s="19" t="s">
        <v>110</v>
      </c>
      <c r="E18" s="16">
        <f t="shared" si="0"/>
        <v>1</v>
      </c>
      <c r="G18" s="18">
        <v>16</v>
      </c>
      <c r="H18" s="74"/>
      <c r="J18" s="19" t="s">
        <v>147</v>
      </c>
      <c r="K18" s="16">
        <v>134</v>
      </c>
      <c r="L18" s="16">
        <v>141</v>
      </c>
      <c r="M18" s="16">
        <f t="shared" si="3"/>
        <v>8</v>
      </c>
      <c r="O18" s="18">
        <v>16</v>
      </c>
      <c r="P18" s="19"/>
      <c r="Q18" s="2" t="str">
        <f t="shared" si="1"/>
        <v>Cells(gBaseLines + intRow, 16)=Mid(InputStr,134, 8)</v>
      </c>
    </row>
    <row r="19" spans="2:17" x14ac:dyDescent="0.25">
      <c r="B19" s="19" t="s">
        <v>111</v>
      </c>
      <c r="E19" s="16">
        <f t="shared" si="0"/>
        <v>1</v>
      </c>
      <c r="G19" s="18">
        <v>17</v>
      </c>
      <c r="H19" s="74"/>
      <c r="J19" s="64" t="s">
        <v>148</v>
      </c>
      <c r="K19" s="79">
        <v>151</v>
      </c>
      <c r="L19" s="16">
        <v>155</v>
      </c>
      <c r="M19" s="16">
        <f t="shared" si="3"/>
        <v>5</v>
      </c>
      <c r="O19" s="18">
        <v>17</v>
      </c>
      <c r="Q19" s="80" t="str">
        <f>"Cells(gBaseLines + intRow, " &amp; O19 &amp; ")=MidMbcs(InputStr," &amp; K19 &amp; ", " &amp; M19 &amp; ")"</f>
        <v>Cells(gBaseLines + intRow, 17)=MidMbcs(InputStr,151, 5)</v>
      </c>
    </row>
    <row r="20" spans="2:17" x14ac:dyDescent="0.25">
      <c r="B20" s="32" t="s">
        <v>55</v>
      </c>
      <c r="E20" s="16">
        <f t="shared" si="0"/>
        <v>1</v>
      </c>
      <c r="G20" s="18">
        <v>18</v>
      </c>
      <c r="H20" s="74"/>
      <c r="J20" s="16" t="s">
        <v>130</v>
      </c>
      <c r="K20" s="79">
        <v>156</v>
      </c>
      <c r="L20" s="16">
        <v>161</v>
      </c>
      <c r="M20" s="16">
        <f t="shared" si="3"/>
        <v>6</v>
      </c>
      <c r="O20" s="18">
        <v>18</v>
      </c>
      <c r="Q20" s="80" t="str">
        <f t="shared" ref="Q20:Q22" si="4">"Cells(gBaseLines + intRow, " &amp; O20 &amp; ")=MidMbcs(InputStr," &amp; K20 &amp; ", " &amp; M20 &amp; ")"</f>
        <v>Cells(gBaseLines + intRow, 18)=MidMbcs(InputStr,156, 6)</v>
      </c>
    </row>
    <row r="21" spans="2:17" x14ac:dyDescent="0.25">
      <c r="B21" s="34" t="s">
        <v>56</v>
      </c>
      <c r="E21" s="16">
        <f t="shared" si="0"/>
        <v>1</v>
      </c>
      <c r="G21" s="18">
        <v>19</v>
      </c>
      <c r="H21" s="74"/>
      <c r="J21" s="63" t="s">
        <v>152</v>
      </c>
      <c r="K21" s="79">
        <v>162</v>
      </c>
      <c r="L21" s="16">
        <v>166</v>
      </c>
      <c r="M21" s="16">
        <f t="shared" si="3"/>
        <v>5</v>
      </c>
      <c r="O21" s="18">
        <v>19</v>
      </c>
      <c r="Q21" s="80" t="str">
        <f t="shared" si="4"/>
        <v>Cells(gBaseLines + intRow, 19)=MidMbcs(InputStr,162, 5)</v>
      </c>
    </row>
    <row r="22" spans="2:17" x14ac:dyDescent="0.25">
      <c r="B22" s="19"/>
      <c r="C22" s="16" t="s">
        <v>131</v>
      </c>
      <c r="G22" s="18"/>
      <c r="J22" s="63" t="s">
        <v>143</v>
      </c>
      <c r="K22" s="79">
        <v>167</v>
      </c>
      <c r="L22" s="16">
        <v>177</v>
      </c>
      <c r="M22" s="16">
        <f t="shared" ref="M22:M23" si="5">L22-K22+1</f>
        <v>11</v>
      </c>
      <c r="O22" s="18">
        <v>20</v>
      </c>
      <c r="Q22" s="80" t="str">
        <f t="shared" si="4"/>
        <v>Cells(gBaseLines + intRow, 20)=MidMbcs(InputStr,167, 11)</v>
      </c>
    </row>
    <row r="23" spans="2:17" x14ac:dyDescent="0.25">
      <c r="B23" s="19"/>
      <c r="G23" s="18"/>
      <c r="J23" s="64" t="s">
        <v>156</v>
      </c>
      <c r="K23" s="29">
        <v>170</v>
      </c>
      <c r="L23" s="29">
        <v>180</v>
      </c>
      <c r="M23" s="29">
        <f t="shared" si="5"/>
        <v>11</v>
      </c>
      <c r="O23" s="17" t="s">
        <v>157</v>
      </c>
    </row>
    <row r="24" spans="2:17" x14ac:dyDescent="0.25">
      <c r="B24" s="19"/>
      <c r="C24" s="29"/>
      <c r="D24" s="29"/>
      <c r="E24" s="29"/>
      <c r="G24" s="18"/>
      <c r="J24" s="32" t="s">
        <v>55</v>
      </c>
      <c r="O24" s="18">
        <v>22</v>
      </c>
    </row>
    <row r="25" spans="2:17" x14ac:dyDescent="0.25">
      <c r="B25" s="19"/>
      <c r="C25" s="29"/>
      <c r="D25" s="29"/>
      <c r="E25" s="29"/>
      <c r="G25" s="18"/>
      <c r="J25" s="34" t="s">
        <v>56</v>
      </c>
      <c r="O25" s="18">
        <v>23</v>
      </c>
    </row>
    <row r="26" spans="2:17" x14ac:dyDescent="0.25">
      <c r="B26" s="19"/>
      <c r="G26" s="18"/>
      <c r="J26" s="19"/>
      <c r="K26" s="29"/>
      <c r="L26" s="29"/>
      <c r="M26" s="29"/>
      <c r="O26" s="18"/>
    </row>
    <row r="27" spans="2:17" x14ac:dyDescent="0.25">
      <c r="B27" s="19"/>
      <c r="G27" s="18"/>
      <c r="J27" s="19"/>
      <c r="K27" s="29"/>
      <c r="L27" s="29"/>
      <c r="M27" s="29"/>
      <c r="O27" s="18"/>
    </row>
    <row r="28" spans="2:17" x14ac:dyDescent="0.25">
      <c r="B28" s="19"/>
      <c r="G28" s="18"/>
      <c r="J28" s="19"/>
      <c r="O28" s="18"/>
    </row>
    <row r="29" spans="2:17" x14ac:dyDescent="0.25">
      <c r="B29" s="19"/>
      <c r="G29" s="18"/>
      <c r="J29" s="19"/>
      <c r="O29" s="18"/>
    </row>
    <row r="30" spans="2:17" x14ac:dyDescent="0.25">
      <c r="B30" s="19"/>
      <c r="G30" s="18"/>
      <c r="J30" s="19"/>
      <c r="O30" s="18"/>
    </row>
    <row r="31" spans="2:17" x14ac:dyDescent="0.25">
      <c r="B31" s="24"/>
      <c r="D31" s="30"/>
      <c r="G31" s="18"/>
      <c r="J31" s="19"/>
      <c r="O31" s="18"/>
    </row>
    <row r="32" spans="2:17" x14ac:dyDescent="0.25">
      <c r="B32" s="19"/>
      <c r="C32" s="30"/>
      <c r="G32" s="18"/>
      <c r="J32" s="19"/>
      <c r="O32" s="18"/>
    </row>
    <row r="33" spans="2:15" x14ac:dyDescent="0.25">
      <c r="B33" s="19"/>
      <c r="G33" s="18"/>
      <c r="J33" s="24"/>
      <c r="L33" s="30"/>
      <c r="O33" s="18"/>
    </row>
    <row r="34" spans="2:15" x14ac:dyDescent="0.25">
      <c r="B34" s="24"/>
      <c r="G34" s="18"/>
      <c r="J34" s="19"/>
      <c r="K34" s="30"/>
      <c r="O34" s="18"/>
    </row>
    <row r="35" spans="2:15" x14ac:dyDescent="0.25">
      <c r="B35" s="32"/>
      <c r="J35" s="19"/>
      <c r="O35" s="18"/>
    </row>
    <row r="36" spans="2:15" x14ac:dyDescent="0.25">
      <c r="B36" s="32"/>
      <c r="J36" s="24"/>
      <c r="O36" s="18"/>
    </row>
    <row r="37" spans="2:15" x14ac:dyDescent="0.25">
      <c r="J37" s="32"/>
    </row>
    <row r="38" spans="2:15" x14ac:dyDescent="0.25">
      <c r="J38" s="32"/>
    </row>
  </sheetData>
  <mergeCells count="2">
    <mergeCell ref="B1:G1"/>
    <mergeCell ref="J1:O1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3" tint="0.39997558519241921"/>
  </sheetPr>
  <dimension ref="A1:AP509"/>
  <sheetViews>
    <sheetView topLeftCell="Q1" workbookViewId="0">
      <pane ySplit="3" topLeftCell="A4" activePane="bottomLeft" state="frozen"/>
      <selection pane="bottomLeft" activeCell="Z9" sqref="Z9"/>
    </sheetView>
  </sheetViews>
  <sheetFormatPr defaultRowHeight="16.5" x14ac:dyDescent="0.25"/>
  <cols>
    <col min="1" max="1" width="4.625" style="6" customWidth="1"/>
    <col min="2" max="2" width="8.75" style="6" bestFit="1" customWidth="1"/>
    <col min="3" max="3" width="7.625" style="6" customWidth="1"/>
    <col min="4" max="4" width="5.5" style="6" customWidth="1"/>
    <col min="5" max="5" width="4.125" style="6" customWidth="1"/>
    <col min="6" max="6" width="8.625" style="6" customWidth="1"/>
    <col min="7" max="7" width="19.5" bestFit="1" customWidth="1"/>
    <col min="8" max="8" width="6" customWidth="1"/>
    <col min="9" max="9" width="11.625" style="4" customWidth="1"/>
    <col min="10" max="10" width="6" style="4" customWidth="1"/>
    <col min="11" max="11" width="3.5" customWidth="1"/>
    <col min="12" max="12" width="4.125" customWidth="1"/>
    <col min="13" max="13" width="3.25" customWidth="1"/>
    <col min="14" max="14" width="11" customWidth="1"/>
    <col min="15" max="15" width="7.75" customWidth="1"/>
    <col min="16" max="16" width="11" customWidth="1"/>
    <col min="17" max="17" width="7.5" style="9" customWidth="1"/>
    <col min="19" max="20" width="9.125" customWidth="1"/>
    <col min="21" max="21" width="13.5" customWidth="1"/>
    <col min="22" max="22" width="3.5" bestFit="1" customWidth="1"/>
    <col min="23" max="23" width="4.75" customWidth="1"/>
    <col min="24" max="24" width="3.75" customWidth="1"/>
    <col min="25" max="25" width="19.75" customWidth="1"/>
    <col min="26" max="26" width="10.75" customWidth="1"/>
    <col min="27" max="27" width="4.625" customWidth="1"/>
    <col min="28" max="28" width="5.75" customWidth="1"/>
    <col min="29" max="29" width="4.625" customWidth="1"/>
    <col min="30" max="30" width="4.5" customWidth="1"/>
    <col min="31" max="31" width="5.875" style="6" customWidth="1"/>
    <col min="32" max="32" width="6.25" style="6" customWidth="1"/>
    <col min="33" max="33" width="10.625" style="60" bestFit="1" customWidth="1"/>
    <col min="34" max="34" width="5.625" style="31" customWidth="1"/>
    <col min="35" max="35" width="9" style="31"/>
    <col min="36" max="36" width="10.5" style="9" bestFit="1" customWidth="1"/>
    <col min="37" max="37" width="9" style="6"/>
    <col min="38" max="38" width="6.5" style="6" customWidth="1"/>
    <col min="39" max="39" width="7.375" style="6" customWidth="1"/>
    <col min="40" max="40" width="13.5" style="6" customWidth="1"/>
    <col min="41" max="41" width="11.375" style="6" customWidth="1"/>
    <col min="42" max="42" width="5.25" customWidth="1"/>
    <col min="43" max="43" width="9" customWidth="1"/>
  </cols>
  <sheetData>
    <row r="1" spans="1:42" s="2" customFormat="1" ht="21.75" customHeight="1" x14ac:dyDescent="0.25">
      <c r="A1" s="5" t="s">
        <v>5</v>
      </c>
      <c r="B1" s="5"/>
      <c r="C1" s="83" t="s">
        <v>172</v>
      </c>
      <c r="D1" s="83"/>
      <c r="E1" s="83"/>
      <c r="F1" s="83"/>
      <c r="G1" s="28" t="s">
        <v>6</v>
      </c>
      <c r="H1" s="84" t="s">
        <v>173</v>
      </c>
      <c r="I1" s="84"/>
      <c r="J1" s="84"/>
      <c r="K1" s="84"/>
      <c r="L1" s="84"/>
      <c r="M1" s="84"/>
      <c r="N1" s="84"/>
      <c r="O1" s="84"/>
      <c r="Q1" s="7"/>
      <c r="AE1" s="5"/>
      <c r="AF1" s="5"/>
      <c r="AG1" s="59"/>
      <c r="AH1" s="56"/>
      <c r="AI1" s="56"/>
      <c r="AJ1" s="7"/>
      <c r="AK1" s="5"/>
      <c r="AL1" s="5"/>
      <c r="AM1" s="5"/>
      <c r="AN1" s="5"/>
      <c r="AO1" s="5"/>
      <c r="AP1" s="1"/>
    </row>
    <row r="2" spans="1:42" x14ac:dyDescent="0.25">
      <c r="A2" s="25">
        <v>1</v>
      </c>
      <c r="B2" s="25">
        <v>2</v>
      </c>
      <c r="C2" s="25">
        <v>3</v>
      </c>
      <c r="D2" s="25">
        <v>4</v>
      </c>
      <c r="E2" s="25">
        <v>5</v>
      </c>
      <c r="F2" s="25">
        <v>6</v>
      </c>
      <c r="G2" s="25">
        <v>7</v>
      </c>
      <c r="H2" s="25">
        <v>8</v>
      </c>
      <c r="I2" s="25">
        <v>9</v>
      </c>
      <c r="J2" s="25">
        <v>10</v>
      </c>
      <c r="K2" s="25">
        <v>11</v>
      </c>
      <c r="L2" s="18">
        <v>1</v>
      </c>
      <c r="M2" s="18">
        <v>2</v>
      </c>
      <c r="N2" s="18">
        <v>3</v>
      </c>
      <c r="O2" s="18">
        <v>4</v>
      </c>
      <c r="P2" s="18">
        <v>5</v>
      </c>
      <c r="Q2" s="18">
        <v>6</v>
      </c>
      <c r="R2" s="18">
        <v>7</v>
      </c>
      <c r="S2" s="18">
        <v>8</v>
      </c>
      <c r="T2" s="18">
        <v>9</v>
      </c>
      <c r="U2" s="18">
        <v>10</v>
      </c>
      <c r="V2" s="18">
        <v>11</v>
      </c>
      <c r="W2" s="18">
        <v>12</v>
      </c>
      <c r="X2" s="18">
        <v>13</v>
      </c>
      <c r="Y2" s="18">
        <v>14</v>
      </c>
      <c r="Z2" s="18">
        <v>15</v>
      </c>
      <c r="AA2" s="18">
        <v>16</v>
      </c>
      <c r="AB2" s="18">
        <v>17</v>
      </c>
      <c r="AC2" s="18">
        <v>18</v>
      </c>
      <c r="AD2" s="18">
        <v>19</v>
      </c>
      <c r="AE2" s="31" t="s">
        <v>54</v>
      </c>
      <c r="AF2" s="31" t="s">
        <v>53</v>
      </c>
      <c r="AH2" s="31" t="s">
        <v>114</v>
      </c>
      <c r="AP2" s="15"/>
    </row>
    <row r="3" spans="1:42" s="1" customFormat="1" ht="57" x14ac:dyDescent="0.25">
      <c r="A3" s="26" t="s">
        <v>44</v>
      </c>
      <c r="B3" s="26" t="s">
        <v>42</v>
      </c>
      <c r="C3" s="26" t="s">
        <v>19</v>
      </c>
      <c r="D3" s="26" t="s">
        <v>47</v>
      </c>
      <c r="E3" s="26" t="s">
        <v>21</v>
      </c>
      <c r="F3" s="26" t="s">
        <v>22</v>
      </c>
      <c r="G3" s="26" t="s">
        <v>23</v>
      </c>
      <c r="H3" s="26" t="s">
        <v>47</v>
      </c>
      <c r="I3" s="26" t="s">
        <v>24</v>
      </c>
      <c r="J3" s="26" t="s">
        <v>43</v>
      </c>
      <c r="K3" s="26" t="s">
        <v>25</v>
      </c>
      <c r="L3" s="26" t="s">
        <v>45</v>
      </c>
      <c r="M3" s="26" t="s">
        <v>40</v>
      </c>
      <c r="N3" s="26" t="s">
        <v>26</v>
      </c>
      <c r="O3" s="26" t="s">
        <v>27</v>
      </c>
      <c r="P3" s="26" t="s">
        <v>28</v>
      </c>
      <c r="Q3" s="26" t="s">
        <v>29</v>
      </c>
      <c r="R3" s="26" t="s">
        <v>30</v>
      </c>
      <c r="S3" s="26" t="s">
        <v>49</v>
      </c>
      <c r="T3" s="26" t="s">
        <v>31</v>
      </c>
      <c r="U3" s="26" t="s">
        <v>32</v>
      </c>
      <c r="V3" s="26" t="s">
        <v>41</v>
      </c>
      <c r="W3" s="26" t="s">
        <v>50</v>
      </c>
      <c r="X3" s="26" t="s">
        <v>51</v>
      </c>
      <c r="Y3" s="26" t="s">
        <v>33</v>
      </c>
      <c r="Z3" s="26" t="s">
        <v>34</v>
      </c>
      <c r="AA3" s="26" t="s">
        <v>35</v>
      </c>
      <c r="AB3" s="26" t="s">
        <v>36</v>
      </c>
      <c r="AC3" s="27" t="s">
        <v>37</v>
      </c>
      <c r="AD3" s="26" t="s">
        <v>38</v>
      </c>
      <c r="AE3" s="26" t="s">
        <v>52</v>
      </c>
      <c r="AF3" s="27" t="s">
        <v>39</v>
      </c>
      <c r="AG3" s="61" t="s">
        <v>55</v>
      </c>
      <c r="AH3" s="57" t="s">
        <v>56</v>
      </c>
      <c r="AI3" s="89" t="s">
        <v>199</v>
      </c>
      <c r="AJ3" s="8"/>
      <c r="AK3" s="10"/>
      <c r="AL3" s="10"/>
      <c r="AM3" s="10"/>
      <c r="AN3" s="10"/>
      <c r="AO3" s="10"/>
      <c r="AP3" s="15"/>
    </row>
    <row r="4" spans="1:42" x14ac:dyDescent="0.25">
      <c r="A4" s="6" t="s">
        <v>174</v>
      </c>
      <c r="B4" s="6" t="s">
        <v>175</v>
      </c>
      <c r="C4" s="6" t="s">
        <v>58</v>
      </c>
      <c r="D4" s="6" t="s">
        <v>176</v>
      </c>
      <c r="E4" s="6" t="s">
        <v>177</v>
      </c>
      <c r="F4" s="6" t="s">
        <v>178</v>
      </c>
      <c r="G4" t="s">
        <v>179</v>
      </c>
      <c r="H4" t="s">
        <v>176</v>
      </c>
      <c r="I4" s="4">
        <v>20150413</v>
      </c>
      <c r="J4" s="4" t="s">
        <v>180</v>
      </c>
      <c r="K4">
        <v>2</v>
      </c>
      <c r="L4">
        <v>2</v>
      </c>
      <c r="M4" t="s">
        <v>181</v>
      </c>
      <c r="N4" t="s">
        <v>182</v>
      </c>
      <c r="O4" t="s">
        <v>183</v>
      </c>
      <c r="P4">
        <v>20150416</v>
      </c>
      <c r="Q4" s="9" t="s">
        <v>184</v>
      </c>
      <c r="R4" t="s">
        <v>185</v>
      </c>
      <c r="S4">
        <v>1</v>
      </c>
      <c r="T4" t="s">
        <v>186</v>
      </c>
      <c r="U4" t="s">
        <v>187</v>
      </c>
      <c r="V4" t="s">
        <v>188</v>
      </c>
      <c r="W4" t="s">
        <v>189</v>
      </c>
      <c r="X4" t="s">
        <v>190</v>
      </c>
      <c r="Y4" t="s">
        <v>191</v>
      </c>
      <c r="Z4" t="s">
        <v>186</v>
      </c>
      <c r="AA4">
        <v>1</v>
      </c>
      <c r="AB4">
        <v>5</v>
      </c>
      <c r="AC4">
        <v>5</v>
      </c>
      <c r="AD4" t="s">
        <v>183</v>
      </c>
      <c r="AE4" s="6" t="s">
        <v>192</v>
      </c>
      <c r="AF4" s="6" t="s">
        <v>183</v>
      </c>
      <c r="AG4" s="60" t="str">
        <f>VLOOKUP(U4, [1]料號對照表!$B:$C, 2, FALSE)</f>
        <v>A554EE16</v>
      </c>
      <c r="AH4" s="31" t="s">
        <v>197</v>
      </c>
      <c r="AI4" s="31" t="s">
        <v>197</v>
      </c>
      <c r="AP4" s="15"/>
    </row>
    <row r="5" spans="1:42" x14ac:dyDescent="0.25">
      <c r="L5">
        <v>2</v>
      </c>
      <c r="M5" t="s">
        <v>181</v>
      </c>
      <c r="N5" t="s">
        <v>193</v>
      </c>
      <c r="O5" t="s">
        <v>183</v>
      </c>
      <c r="P5">
        <v>20150416</v>
      </c>
      <c r="Q5" s="9" t="s">
        <v>184</v>
      </c>
      <c r="R5" t="s">
        <v>185</v>
      </c>
      <c r="S5">
        <v>1</v>
      </c>
      <c r="T5" t="s">
        <v>186</v>
      </c>
      <c r="U5" t="s">
        <v>194</v>
      </c>
      <c r="V5" t="s">
        <v>188</v>
      </c>
      <c r="W5" t="s">
        <v>189</v>
      </c>
      <c r="X5" t="s">
        <v>190</v>
      </c>
      <c r="Y5" t="s">
        <v>191</v>
      </c>
      <c r="Z5" t="s">
        <v>186</v>
      </c>
      <c r="AA5">
        <v>1</v>
      </c>
      <c r="AB5">
        <v>5</v>
      </c>
      <c r="AC5">
        <v>5</v>
      </c>
      <c r="AD5" t="s">
        <v>183</v>
      </c>
      <c r="AE5" s="6" t="s">
        <v>195</v>
      </c>
      <c r="AF5" s="6" t="s">
        <v>196</v>
      </c>
      <c r="AG5" s="60" t="str">
        <f>VLOOKUP(U4, [1]料號對照表!$B:$C, 2, FALSE)</f>
        <v>A554EE16</v>
      </c>
      <c r="AH5" s="31" t="s">
        <v>198</v>
      </c>
      <c r="AI5" s="31" t="s">
        <v>200</v>
      </c>
      <c r="AP5" s="15"/>
    </row>
    <row r="6" spans="1:42" x14ac:dyDescent="0.25">
      <c r="AP6" s="15"/>
    </row>
    <row r="7" spans="1:42" x14ac:dyDescent="0.25">
      <c r="AP7" s="15"/>
    </row>
    <row r="8" spans="1:42" x14ac:dyDescent="0.25">
      <c r="AP8" s="15"/>
    </row>
    <row r="9" spans="1:42" x14ac:dyDescent="0.25">
      <c r="Y9" s="3"/>
      <c r="Z9" s="3"/>
      <c r="AA9" s="3"/>
      <c r="AB9" s="3"/>
      <c r="AC9" s="3"/>
      <c r="AP9" s="15"/>
    </row>
    <row r="10" spans="1:42" x14ac:dyDescent="0.25">
      <c r="AP10" s="15"/>
    </row>
    <row r="11" spans="1:42" x14ac:dyDescent="0.25">
      <c r="A11" s="11"/>
      <c r="B11" s="11"/>
      <c r="C11" s="11"/>
      <c r="D11" s="11"/>
      <c r="AP11" s="15"/>
    </row>
    <row r="12" spans="1:42" x14ac:dyDescent="0.25">
      <c r="AP12" s="15"/>
    </row>
    <row r="13" spans="1:42" x14ac:dyDescent="0.25">
      <c r="AP13" s="15"/>
    </row>
    <row r="14" spans="1:42" x14ac:dyDescent="0.25">
      <c r="AP14" s="15"/>
    </row>
    <row r="15" spans="1:42" x14ac:dyDescent="0.25">
      <c r="AP15" s="15"/>
    </row>
    <row r="16" spans="1:42" x14ac:dyDescent="0.25">
      <c r="AP16" s="15"/>
    </row>
    <row r="17" spans="42:42" x14ac:dyDescent="0.25">
      <c r="AP17" s="15"/>
    </row>
    <row r="18" spans="42:42" x14ac:dyDescent="0.25">
      <c r="AP18" s="15"/>
    </row>
    <row r="19" spans="42:42" x14ac:dyDescent="0.25">
      <c r="AP19" s="15"/>
    </row>
    <row r="20" spans="42:42" x14ac:dyDescent="0.25">
      <c r="AP20" s="15"/>
    </row>
    <row r="21" spans="42:42" x14ac:dyDescent="0.25">
      <c r="AP21" s="15"/>
    </row>
    <row r="22" spans="42:42" x14ac:dyDescent="0.25">
      <c r="AP22" s="15"/>
    </row>
    <row r="23" spans="42:42" x14ac:dyDescent="0.25">
      <c r="AP23" s="15"/>
    </row>
    <row r="24" spans="42:42" x14ac:dyDescent="0.25">
      <c r="AP24" s="15"/>
    </row>
    <row r="25" spans="42:42" x14ac:dyDescent="0.25">
      <c r="AP25" s="15"/>
    </row>
    <row r="26" spans="42:42" x14ac:dyDescent="0.25">
      <c r="AP26" s="15"/>
    </row>
    <row r="27" spans="42:42" x14ac:dyDescent="0.25">
      <c r="AP27" s="15"/>
    </row>
    <row r="28" spans="42:42" x14ac:dyDescent="0.25">
      <c r="AP28" s="15"/>
    </row>
    <row r="29" spans="42:42" x14ac:dyDescent="0.25">
      <c r="AP29" s="15"/>
    </row>
    <row r="30" spans="42:42" x14ac:dyDescent="0.25">
      <c r="AP30" s="15"/>
    </row>
    <row r="31" spans="42:42" x14ac:dyDescent="0.25">
      <c r="AP31" s="15"/>
    </row>
    <row r="32" spans="42:42" x14ac:dyDescent="0.25">
      <c r="AP32" s="15"/>
    </row>
    <row r="33" spans="42:42" x14ac:dyDescent="0.25">
      <c r="AP33" s="15"/>
    </row>
    <row r="34" spans="42:42" x14ac:dyDescent="0.25">
      <c r="AP34" s="15"/>
    </row>
    <row r="35" spans="42:42" x14ac:dyDescent="0.25">
      <c r="AP35" s="15"/>
    </row>
    <row r="36" spans="42:42" x14ac:dyDescent="0.25">
      <c r="AP36" s="15"/>
    </row>
    <row r="37" spans="42:42" x14ac:dyDescent="0.25">
      <c r="AP37" s="15"/>
    </row>
    <row r="38" spans="42:42" x14ac:dyDescent="0.25">
      <c r="AP38" s="15"/>
    </row>
    <row r="39" spans="42:42" x14ac:dyDescent="0.25">
      <c r="AP39" s="15"/>
    </row>
    <row r="40" spans="42:42" x14ac:dyDescent="0.25">
      <c r="AP40" s="15"/>
    </row>
    <row r="41" spans="42:42" x14ac:dyDescent="0.25">
      <c r="AP41" s="15"/>
    </row>
    <row r="42" spans="42:42" x14ac:dyDescent="0.25">
      <c r="AP42" s="15"/>
    </row>
    <row r="43" spans="42:42" x14ac:dyDescent="0.25">
      <c r="AP43" s="15"/>
    </row>
    <row r="44" spans="42:42" x14ac:dyDescent="0.25">
      <c r="AP44" s="15"/>
    </row>
    <row r="45" spans="42:42" x14ac:dyDescent="0.25">
      <c r="AP45" s="15"/>
    </row>
    <row r="46" spans="42:42" x14ac:dyDescent="0.25">
      <c r="AP46" s="15"/>
    </row>
    <row r="47" spans="42:42" x14ac:dyDescent="0.25">
      <c r="AP47" s="15"/>
    </row>
    <row r="48" spans="42:42" x14ac:dyDescent="0.25">
      <c r="AP48" s="15"/>
    </row>
    <row r="49" spans="42:42" x14ac:dyDescent="0.25">
      <c r="AP49" s="15"/>
    </row>
    <row r="50" spans="42:42" x14ac:dyDescent="0.25">
      <c r="AP50" s="15"/>
    </row>
    <row r="51" spans="42:42" x14ac:dyDescent="0.25">
      <c r="AP51" s="15"/>
    </row>
    <row r="52" spans="42:42" x14ac:dyDescent="0.25">
      <c r="AP52" s="15"/>
    </row>
    <row r="53" spans="42:42" x14ac:dyDescent="0.25">
      <c r="AP53" s="15"/>
    </row>
    <row r="54" spans="42:42" x14ac:dyDescent="0.25">
      <c r="AP54" s="15"/>
    </row>
    <row r="55" spans="42:42" x14ac:dyDescent="0.25">
      <c r="AP55" s="15"/>
    </row>
    <row r="56" spans="42:42" x14ac:dyDescent="0.25">
      <c r="AP56" s="15"/>
    </row>
    <row r="57" spans="42:42" x14ac:dyDescent="0.25">
      <c r="AP57" s="15"/>
    </row>
    <row r="58" spans="42:42" x14ac:dyDescent="0.25">
      <c r="AP58" s="15"/>
    </row>
    <row r="59" spans="42:42" x14ac:dyDescent="0.25">
      <c r="AP59" s="15"/>
    </row>
    <row r="60" spans="42:42" x14ac:dyDescent="0.25">
      <c r="AP60" s="15"/>
    </row>
    <row r="61" spans="42:42" x14ac:dyDescent="0.25">
      <c r="AP61" s="15"/>
    </row>
    <row r="62" spans="42:42" x14ac:dyDescent="0.25">
      <c r="AP62" s="15"/>
    </row>
    <row r="63" spans="42:42" x14ac:dyDescent="0.25">
      <c r="AP63" s="15"/>
    </row>
    <row r="64" spans="42:42" x14ac:dyDescent="0.25">
      <c r="AP64" s="15"/>
    </row>
    <row r="65" spans="42:42" x14ac:dyDescent="0.25">
      <c r="AP65" s="15"/>
    </row>
    <row r="66" spans="42:42" x14ac:dyDescent="0.25">
      <c r="AP66" s="15"/>
    </row>
    <row r="67" spans="42:42" x14ac:dyDescent="0.25">
      <c r="AP67" s="15"/>
    </row>
    <row r="68" spans="42:42" x14ac:dyDescent="0.25">
      <c r="AP68" s="15"/>
    </row>
    <row r="69" spans="42:42" x14ac:dyDescent="0.25">
      <c r="AP69" s="15"/>
    </row>
    <row r="70" spans="42:42" x14ac:dyDescent="0.25">
      <c r="AP70" s="15"/>
    </row>
    <row r="71" spans="42:42" x14ac:dyDescent="0.25">
      <c r="AP71" s="15"/>
    </row>
    <row r="72" spans="42:42" x14ac:dyDescent="0.25">
      <c r="AP72" s="15"/>
    </row>
    <row r="73" spans="42:42" x14ac:dyDescent="0.25">
      <c r="AP73" s="15"/>
    </row>
    <row r="74" spans="42:42" x14ac:dyDescent="0.25">
      <c r="AP74" s="15"/>
    </row>
    <row r="75" spans="42:42" x14ac:dyDescent="0.25">
      <c r="AP75" s="15"/>
    </row>
    <row r="76" spans="42:42" x14ac:dyDescent="0.25">
      <c r="AP76" s="15"/>
    </row>
    <row r="77" spans="42:42" x14ac:dyDescent="0.25">
      <c r="AP77" s="15"/>
    </row>
    <row r="78" spans="42:42" x14ac:dyDescent="0.25">
      <c r="AP78" s="15"/>
    </row>
    <row r="79" spans="42:42" x14ac:dyDescent="0.25">
      <c r="AP79" s="15"/>
    </row>
    <row r="80" spans="42:42" x14ac:dyDescent="0.25">
      <c r="AP80" s="15"/>
    </row>
    <row r="81" spans="30:42" x14ac:dyDescent="0.25">
      <c r="AP81" s="15"/>
    </row>
    <row r="82" spans="30:42" x14ac:dyDescent="0.25">
      <c r="AP82" s="15"/>
    </row>
    <row r="83" spans="30:42" x14ac:dyDescent="0.25">
      <c r="AP83" s="15"/>
    </row>
    <row r="84" spans="30:42" x14ac:dyDescent="0.25">
      <c r="AP84" s="15"/>
    </row>
    <row r="85" spans="30:42" x14ac:dyDescent="0.25">
      <c r="AP85" s="15"/>
    </row>
    <row r="86" spans="30:42" x14ac:dyDescent="0.25">
      <c r="AP86" s="15"/>
    </row>
    <row r="87" spans="30:42" x14ac:dyDescent="0.25">
      <c r="AP87" s="15"/>
    </row>
    <row r="88" spans="30:42" x14ac:dyDescent="0.25">
      <c r="AP88" s="15"/>
    </row>
    <row r="89" spans="30:42" x14ac:dyDescent="0.25">
      <c r="AP89" s="15"/>
    </row>
    <row r="90" spans="30:42" x14ac:dyDescent="0.25">
      <c r="AP90" s="15"/>
    </row>
    <row r="91" spans="30:42" x14ac:dyDescent="0.25">
      <c r="AP91" s="15"/>
    </row>
    <row r="92" spans="30:42" x14ac:dyDescent="0.25">
      <c r="AP92" s="15"/>
    </row>
    <row r="93" spans="30:42" x14ac:dyDescent="0.25">
      <c r="AP93" s="15"/>
    </row>
    <row r="94" spans="30:42" x14ac:dyDescent="0.25">
      <c r="AP94" s="15"/>
    </row>
    <row r="95" spans="30:42" x14ac:dyDescent="0.25">
      <c r="AD95" s="3"/>
      <c r="AE95" s="11"/>
      <c r="AF95" s="11"/>
      <c r="AG95" s="62"/>
      <c r="AH95" s="58"/>
      <c r="AI95" s="58"/>
      <c r="AJ95" s="12"/>
      <c r="AK95" s="11"/>
      <c r="AL95" s="11"/>
      <c r="AM95" s="11"/>
      <c r="AN95" s="11"/>
      <c r="AO95" s="11"/>
      <c r="AP95" s="15"/>
    </row>
    <row r="96" spans="30:42" x14ac:dyDescent="0.25">
      <c r="AD96" s="3"/>
      <c r="AE96" s="11"/>
      <c r="AF96" s="11"/>
      <c r="AG96" s="62"/>
      <c r="AH96" s="58"/>
      <c r="AI96" s="58"/>
      <c r="AJ96" s="12"/>
      <c r="AK96" s="11"/>
      <c r="AL96" s="11"/>
      <c r="AM96" s="11"/>
      <c r="AN96" s="11"/>
      <c r="AO96" s="11"/>
      <c r="AP96" s="15"/>
    </row>
    <row r="97" spans="42:42" x14ac:dyDescent="0.25">
      <c r="AP97" s="15"/>
    </row>
    <row r="98" spans="42:42" x14ac:dyDescent="0.25">
      <c r="AP98" s="15"/>
    </row>
    <row r="99" spans="42:42" x14ac:dyDescent="0.25">
      <c r="AP99" s="15"/>
    </row>
    <row r="100" spans="42:42" x14ac:dyDescent="0.25">
      <c r="AP100" s="15"/>
    </row>
    <row r="101" spans="42:42" x14ac:dyDescent="0.25">
      <c r="AP101" s="15"/>
    </row>
    <row r="102" spans="42:42" x14ac:dyDescent="0.25">
      <c r="AP102" s="15"/>
    </row>
    <row r="103" spans="42:42" x14ac:dyDescent="0.25">
      <c r="AP103" s="15"/>
    </row>
    <row r="104" spans="42:42" x14ac:dyDescent="0.25">
      <c r="AP104" s="15"/>
    </row>
    <row r="105" spans="42:42" x14ac:dyDescent="0.25">
      <c r="AP105" s="15"/>
    </row>
    <row r="106" spans="42:42" x14ac:dyDescent="0.25">
      <c r="AP106" s="15"/>
    </row>
    <row r="107" spans="42:42" x14ac:dyDescent="0.25">
      <c r="AP107" s="15"/>
    </row>
    <row r="108" spans="42:42" x14ac:dyDescent="0.25">
      <c r="AP108" s="15"/>
    </row>
    <row r="109" spans="42:42" x14ac:dyDescent="0.25">
      <c r="AP109" s="15"/>
    </row>
    <row r="110" spans="42:42" x14ac:dyDescent="0.25">
      <c r="AP110" s="15"/>
    </row>
    <row r="111" spans="42:42" x14ac:dyDescent="0.25">
      <c r="AP111" s="15"/>
    </row>
    <row r="112" spans="42:42" x14ac:dyDescent="0.25">
      <c r="AP112" s="15"/>
    </row>
    <row r="113" spans="30:42" x14ac:dyDescent="0.25">
      <c r="AP113" s="15"/>
    </row>
    <row r="114" spans="30:42" x14ac:dyDescent="0.25">
      <c r="AP114" s="15"/>
    </row>
    <row r="115" spans="30:42" x14ac:dyDescent="0.25">
      <c r="AP115" s="15"/>
    </row>
    <row r="116" spans="30:42" x14ac:dyDescent="0.25">
      <c r="AP116" s="15"/>
    </row>
    <row r="117" spans="30:42" x14ac:dyDescent="0.25">
      <c r="AP117" s="15"/>
    </row>
    <row r="118" spans="30:42" x14ac:dyDescent="0.25">
      <c r="AP118" s="15"/>
    </row>
    <row r="119" spans="30:42" x14ac:dyDescent="0.25">
      <c r="AP119" s="15"/>
    </row>
    <row r="120" spans="30:42" x14ac:dyDescent="0.25">
      <c r="AP120" s="15"/>
    </row>
    <row r="121" spans="30:42" x14ac:dyDescent="0.25">
      <c r="AP121" s="15"/>
    </row>
    <row r="122" spans="30:42" x14ac:dyDescent="0.25">
      <c r="AP122" s="15"/>
    </row>
    <row r="123" spans="30:42" x14ac:dyDescent="0.25">
      <c r="AP123" s="15"/>
    </row>
    <row r="124" spans="30:42" x14ac:dyDescent="0.25">
      <c r="AD124" s="13"/>
      <c r="AP124" s="15"/>
    </row>
    <row r="125" spans="30:42" x14ac:dyDescent="0.25">
      <c r="AD125" s="13"/>
      <c r="AP125" s="15"/>
    </row>
    <row r="126" spans="30:42" x14ac:dyDescent="0.25">
      <c r="AD126" s="3"/>
      <c r="AP126" s="15"/>
    </row>
    <row r="127" spans="30:42" x14ac:dyDescent="0.25">
      <c r="AP127" s="15"/>
    </row>
    <row r="128" spans="30:42" x14ac:dyDescent="0.25">
      <c r="AP128" s="15"/>
    </row>
    <row r="129" spans="30:42" x14ac:dyDescent="0.25">
      <c r="AP129" s="15"/>
    </row>
    <row r="130" spans="30:42" x14ac:dyDescent="0.25">
      <c r="AD130" s="13"/>
      <c r="AP130" s="15"/>
    </row>
    <row r="131" spans="30:42" x14ac:dyDescent="0.25">
      <c r="AD131" s="13"/>
      <c r="AP131" s="15"/>
    </row>
    <row r="132" spans="30:42" x14ac:dyDescent="0.25">
      <c r="AD132" s="13"/>
      <c r="AP132" s="15"/>
    </row>
    <row r="133" spans="30:42" x14ac:dyDescent="0.25">
      <c r="AP133" s="15"/>
    </row>
    <row r="134" spans="30:42" x14ac:dyDescent="0.25">
      <c r="AP134" s="15"/>
    </row>
    <row r="135" spans="30:42" x14ac:dyDescent="0.25">
      <c r="AP135" s="15"/>
    </row>
    <row r="136" spans="30:42" x14ac:dyDescent="0.25">
      <c r="AP136" s="15"/>
    </row>
    <row r="137" spans="30:42" x14ac:dyDescent="0.25">
      <c r="AP137" s="15"/>
    </row>
    <row r="138" spans="30:42" x14ac:dyDescent="0.25">
      <c r="AD138" s="13"/>
      <c r="AP138" s="15"/>
    </row>
    <row r="139" spans="30:42" x14ac:dyDescent="0.25">
      <c r="AD139" s="13"/>
      <c r="AP139" s="15"/>
    </row>
    <row r="140" spans="30:42" x14ac:dyDescent="0.25">
      <c r="AP140" s="15"/>
    </row>
    <row r="141" spans="30:42" x14ac:dyDescent="0.25">
      <c r="AP141" s="15"/>
    </row>
    <row r="142" spans="30:42" x14ac:dyDescent="0.25">
      <c r="AP142" s="15"/>
    </row>
    <row r="143" spans="30:42" x14ac:dyDescent="0.25">
      <c r="AP143" s="15"/>
    </row>
    <row r="144" spans="30:42" x14ac:dyDescent="0.25">
      <c r="AP144" s="15"/>
    </row>
    <row r="145" spans="42:42" x14ac:dyDescent="0.25">
      <c r="AP145" s="15"/>
    </row>
    <row r="146" spans="42:42" x14ac:dyDescent="0.25">
      <c r="AP146" s="15"/>
    </row>
    <row r="147" spans="42:42" x14ac:dyDescent="0.25">
      <c r="AP147" s="15"/>
    </row>
    <row r="148" spans="42:42" x14ac:dyDescent="0.25">
      <c r="AP148" s="15"/>
    </row>
    <row r="149" spans="42:42" x14ac:dyDescent="0.25">
      <c r="AP149" s="15"/>
    </row>
    <row r="150" spans="42:42" x14ac:dyDescent="0.25">
      <c r="AP150" s="15"/>
    </row>
    <row r="151" spans="42:42" x14ac:dyDescent="0.25">
      <c r="AP151" s="15"/>
    </row>
    <row r="152" spans="42:42" x14ac:dyDescent="0.25">
      <c r="AP152" s="15"/>
    </row>
    <row r="153" spans="42:42" x14ac:dyDescent="0.25">
      <c r="AP153" s="15"/>
    </row>
    <row r="154" spans="42:42" x14ac:dyDescent="0.25">
      <c r="AP154" s="15"/>
    </row>
    <row r="155" spans="42:42" x14ac:dyDescent="0.25">
      <c r="AP155" s="15"/>
    </row>
    <row r="156" spans="42:42" x14ac:dyDescent="0.25">
      <c r="AP156" s="15"/>
    </row>
    <row r="157" spans="42:42" x14ac:dyDescent="0.25">
      <c r="AP157" s="15"/>
    </row>
    <row r="158" spans="42:42" x14ac:dyDescent="0.25">
      <c r="AP158" s="15"/>
    </row>
    <row r="159" spans="42:42" x14ac:dyDescent="0.25">
      <c r="AP159" s="15"/>
    </row>
    <row r="160" spans="42:42" x14ac:dyDescent="0.25">
      <c r="AP160" s="15"/>
    </row>
    <row r="161" spans="42:42" x14ac:dyDescent="0.25">
      <c r="AP161" s="15"/>
    </row>
    <row r="162" spans="42:42" x14ac:dyDescent="0.25">
      <c r="AP162" s="15"/>
    </row>
    <row r="163" spans="42:42" x14ac:dyDescent="0.25">
      <c r="AP163" s="15"/>
    </row>
    <row r="164" spans="42:42" x14ac:dyDescent="0.25">
      <c r="AP164" s="15"/>
    </row>
    <row r="508" spans="6:6" x14ac:dyDescent="0.25">
      <c r="F508" s="14"/>
    </row>
    <row r="509" spans="6:6" x14ac:dyDescent="0.25">
      <c r="F509" s="14"/>
    </row>
  </sheetData>
  <mergeCells count="2">
    <mergeCell ref="C1:F1"/>
    <mergeCell ref="H1:O1"/>
  </mergeCells>
  <phoneticPr fontId="1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訂單資料_utf8_裕隆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轉換成ERP訂單_裕隆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P15"/>
  <sheetViews>
    <sheetView tabSelected="1" topLeftCell="J1" workbookViewId="0">
      <pane ySplit="3" topLeftCell="A4" activePane="bottomLeft" state="frozen"/>
      <selection pane="bottomLeft" activeCell="O19" sqref="O19"/>
    </sheetView>
  </sheetViews>
  <sheetFormatPr defaultRowHeight="16.5" x14ac:dyDescent="0.25"/>
  <cols>
    <col min="1" max="1" width="9.5" style="54" customWidth="1"/>
    <col min="2" max="2" width="5.625" style="54" customWidth="1"/>
    <col min="3" max="3" width="13.875" style="54" customWidth="1"/>
    <col min="4" max="4" width="15.125" style="54" customWidth="1"/>
    <col min="5" max="5" width="23" style="54" customWidth="1"/>
    <col min="6" max="6" width="11.875" style="54" customWidth="1"/>
    <col min="7" max="7" width="9.75" style="54" customWidth="1"/>
    <col min="8" max="8" width="7.5" style="54" customWidth="1"/>
    <col min="9" max="9" width="5.625" style="54" customWidth="1"/>
    <col min="10" max="10" width="7.5" style="54" customWidth="1"/>
    <col min="11" max="11" width="5.25" style="54" customWidth="1"/>
    <col min="12" max="12" width="6.875" style="54" customWidth="1"/>
    <col min="13" max="13" width="7.875" style="54" customWidth="1"/>
    <col min="14" max="14" width="6.125" style="54" customWidth="1"/>
    <col min="15" max="15" width="5.375" style="54" customWidth="1"/>
    <col min="16" max="16" width="5.625" style="54" customWidth="1"/>
    <col min="17" max="17" width="12.25" style="54" customWidth="1"/>
    <col min="18" max="18" width="10.625" style="54" bestFit="1" customWidth="1"/>
    <col min="19" max="19" width="6.75" style="55" customWidth="1"/>
    <col min="20" max="20" width="10.625" style="54" customWidth="1"/>
    <col min="21" max="16384" width="9" style="54"/>
  </cols>
  <sheetData>
    <row r="1" spans="1:42" s="29" customFormat="1" ht="21.75" customHeight="1" x14ac:dyDescent="0.25">
      <c r="A1" s="35" t="s">
        <v>5</v>
      </c>
      <c r="B1" s="35"/>
      <c r="C1" s="85"/>
      <c r="D1" s="85"/>
      <c r="E1" s="85"/>
      <c r="F1" s="85"/>
      <c r="G1" s="36" t="s">
        <v>6</v>
      </c>
      <c r="H1" s="86"/>
      <c r="I1" s="86"/>
      <c r="J1" s="86"/>
      <c r="K1" s="86"/>
      <c r="L1" s="86"/>
      <c r="M1" s="86"/>
      <c r="N1" s="86"/>
      <c r="O1" s="86"/>
      <c r="Q1" s="37"/>
      <c r="AE1" s="35"/>
      <c r="AF1" s="35"/>
      <c r="AG1" s="35"/>
      <c r="AH1" s="35"/>
      <c r="AJ1" s="37"/>
      <c r="AK1" s="35"/>
      <c r="AL1" s="35"/>
      <c r="AM1" s="35"/>
      <c r="AN1" s="35"/>
      <c r="AO1" s="35"/>
      <c r="AP1" s="38"/>
    </row>
    <row r="2" spans="1:42" s="42" customFormat="1" x14ac:dyDescent="0.25">
      <c r="A2" s="39">
        <v>1</v>
      </c>
      <c r="B2" s="39">
        <v>2</v>
      </c>
      <c r="C2" s="39">
        <v>3</v>
      </c>
      <c r="D2" s="39">
        <v>4</v>
      </c>
      <c r="E2" s="39">
        <v>5</v>
      </c>
      <c r="F2" s="39">
        <v>6</v>
      </c>
      <c r="G2" s="39">
        <v>7</v>
      </c>
      <c r="H2" s="39">
        <v>8</v>
      </c>
      <c r="I2" s="39">
        <v>9</v>
      </c>
      <c r="J2" s="39">
        <v>10</v>
      </c>
      <c r="K2" s="39">
        <v>11</v>
      </c>
      <c r="L2" s="39">
        <v>12</v>
      </c>
      <c r="M2" s="39">
        <v>13</v>
      </c>
      <c r="N2" s="39">
        <v>14</v>
      </c>
      <c r="O2" s="39">
        <v>15</v>
      </c>
      <c r="P2" s="39">
        <v>16</v>
      </c>
      <c r="Q2" s="39">
        <v>17</v>
      </c>
      <c r="R2" s="39">
        <v>18</v>
      </c>
      <c r="S2" s="39">
        <v>19</v>
      </c>
      <c r="T2" s="40"/>
      <c r="U2" s="40"/>
      <c r="V2" s="41"/>
      <c r="W2" s="41"/>
      <c r="Y2" s="43"/>
      <c r="Z2" s="41"/>
      <c r="AA2" s="41"/>
      <c r="AB2" s="41"/>
      <c r="AC2" s="41"/>
      <c r="AD2" s="41"/>
      <c r="AE2" s="44"/>
    </row>
    <row r="3" spans="1:42" s="38" customFormat="1" ht="54" customHeight="1" x14ac:dyDescent="0.25">
      <c r="A3" s="45" t="s">
        <v>95</v>
      </c>
      <c r="B3" s="45" t="s">
        <v>96</v>
      </c>
      <c r="C3" s="45" t="s">
        <v>97</v>
      </c>
      <c r="D3" s="45" t="s">
        <v>98</v>
      </c>
      <c r="E3" s="45" t="s">
        <v>99</v>
      </c>
      <c r="F3" s="45" t="s">
        <v>100</v>
      </c>
      <c r="G3" s="45" t="s">
        <v>101</v>
      </c>
      <c r="H3" s="45" t="s">
        <v>102</v>
      </c>
      <c r="I3" s="45" t="s">
        <v>103</v>
      </c>
      <c r="J3" s="45" t="s">
        <v>104</v>
      </c>
      <c r="K3" s="45" t="s">
        <v>105</v>
      </c>
      <c r="L3" s="45" t="s">
        <v>106</v>
      </c>
      <c r="M3" s="45" t="s">
        <v>107</v>
      </c>
      <c r="N3" s="45" t="s">
        <v>108</v>
      </c>
      <c r="O3" s="45" t="s">
        <v>109</v>
      </c>
      <c r="P3" s="45" t="s">
        <v>110</v>
      </c>
      <c r="Q3" s="45" t="s">
        <v>111</v>
      </c>
      <c r="R3" s="32" t="s">
        <v>55</v>
      </c>
      <c r="S3" s="33" t="s">
        <v>56</v>
      </c>
      <c r="T3" s="45"/>
      <c r="U3" s="45"/>
      <c r="V3" s="45"/>
      <c r="W3" s="45"/>
      <c r="X3" s="45"/>
      <c r="Y3" s="45"/>
      <c r="Z3" s="45"/>
      <c r="AA3" s="45"/>
      <c r="AB3" s="45"/>
      <c r="AC3" s="46"/>
      <c r="AD3" s="45"/>
      <c r="AE3" s="45"/>
      <c r="AF3" s="46"/>
      <c r="AG3" s="32"/>
      <c r="AH3" s="32"/>
      <c r="AJ3" s="47"/>
      <c r="AK3" s="48"/>
      <c r="AL3" s="48"/>
      <c r="AM3" s="48"/>
      <c r="AN3" s="48"/>
      <c r="AO3" s="48"/>
      <c r="AP3" s="44"/>
    </row>
    <row r="4" spans="1:42" x14ac:dyDescent="0.25">
      <c r="A4" s="49" t="s">
        <v>57</v>
      </c>
      <c r="B4" s="50" t="s">
        <v>58</v>
      </c>
      <c r="C4" s="51" t="s">
        <v>115</v>
      </c>
      <c r="D4" s="51" t="s">
        <v>112</v>
      </c>
      <c r="E4" s="51" t="s">
        <v>59</v>
      </c>
      <c r="F4" s="51" t="s">
        <v>60</v>
      </c>
      <c r="G4" s="50" t="s">
        <v>61</v>
      </c>
      <c r="H4" s="50" t="s">
        <v>113</v>
      </c>
      <c r="I4" s="50">
        <v>1533</v>
      </c>
      <c r="J4" s="52">
        <v>9</v>
      </c>
      <c r="K4" s="52">
        <v>3</v>
      </c>
      <c r="L4" s="52">
        <v>3</v>
      </c>
      <c r="M4" s="50" t="s">
        <v>58</v>
      </c>
      <c r="N4" s="51" t="s">
        <v>63</v>
      </c>
      <c r="O4" s="52" t="s">
        <v>64</v>
      </c>
      <c r="P4" s="53"/>
      <c r="Q4" s="51" t="s">
        <v>65</v>
      </c>
      <c r="R4" s="54" t="str">
        <f>VLOOKUP(C4, [1]料號對照表!$B:$C, 2, FALSE)</f>
        <v>A554E</v>
      </c>
      <c r="S4" s="55" t="s">
        <v>93</v>
      </c>
    </row>
    <row r="5" spans="1:42" x14ac:dyDescent="0.25">
      <c r="A5" s="49" t="s">
        <v>57</v>
      </c>
      <c r="B5" s="50" t="s">
        <v>58</v>
      </c>
      <c r="C5" s="51" t="s">
        <v>116</v>
      </c>
      <c r="D5" s="51" t="s">
        <v>66</v>
      </c>
      <c r="E5" s="51" t="s">
        <v>59</v>
      </c>
      <c r="F5" s="51" t="s">
        <v>67</v>
      </c>
      <c r="G5" s="50" t="s">
        <v>61</v>
      </c>
      <c r="H5" s="50" t="s">
        <v>62</v>
      </c>
      <c r="I5" s="50">
        <v>1533</v>
      </c>
      <c r="J5" s="52">
        <v>12</v>
      </c>
      <c r="K5" s="52">
        <v>3</v>
      </c>
      <c r="L5" s="52">
        <v>4</v>
      </c>
      <c r="M5" s="50" t="s">
        <v>58</v>
      </c>
      <c r="N5" s="51" t="s">
        <v>63</v>
      </c>
      <c r="O5" s="52" t="s">
        <v>64</v>
      </c>
      <c r="P5" s="53"/>
      <c r="Q5" s="51" t="s">
        <v>65</v>
      </c>
      <c r="R5" s="54" t="str">
        <f>VLOOKUP(C5, [1]料號對照表!$B:$C, 2, FALSE)</f>
        <v>A554E</v>
      </c>
      <c r="S5" s="55" t="s">
        <v>94</v>
      </c>
    </row>
    <row r="6" spans="1:42" x14ac:dyDescent="0.25">
      <c r="A6" s="49"/>
      <c r="B6" s="50"/>
      <c r="C6" s="51"/>
      <c r="D6" s="51"/>
      <c r="E6" s="51"/>
      <c r="F6" s="51"/>
      <c r="G6" s="50"/>
      <c r="H6" s="50"/>
      <c r="I6" s="50"/>
      <c r="J6" s="52"/>
      <c r="K6" s="52"/>
      <c r="L6" s="52"/>
      <c r="M6" s="50"/>
      <c r="N6" s="51"/>
      <c r="O6" s="52"/>
      <c r="P6" s="53"/>
      <c r="Q6" s="51"/>
    </row>
    <row r="7" spans="1:42" x14ac:dyDescent="0.25">
      <c r="A7" s="49" t="s">
        <v>57</v>
      </c>
      <c r="B7" s="50" t="s">
        <v>58</v>
      </c>
      <c r="C7" s="51" t="s">
        <v>117</v>
      </c>
      <c r="D7" s="51" t="s">
        <v>68</v>
      </c>
      <c r="E7" s="51" t="s">
        <v>69</v>
      </c>
      <c r="F7" s="51" t="s">
        <v>70</v>
      </c>
      <c r="G7" s="50" t="s">
        <v>61</v>
      </c>
      <c r="H7" s="50" t="s">
        <v>62</v>
      </c>
      <c r="I7" s="50">
        <v>1533</v>
      </c>
      <c r="J7" s="52">
        <v>48</v>
      </c>
      <c r="K7" s="52">
        <v>48</v>
      </c>
      <c r="L7" s="52">
        <v>1</v>
      </c>
      <c r="M7" s="50" t="s">
        <v>58</v>
      </c>
      <c r="N7" s="51" t="s">
        <v>63</v>
      </c>
      <c r="O7" s="52" t="s">
        <v>64</v>
      </c>
      <c r="P7" s="53"/>
      <c r="Q7" s="51" t="s">
        <v>65</v>
      </c>
      <c r="R7" s="54" t="str">
        <f>VLOOKUP(C7, [1]料號對照表!$B:$C, 2, FALSE)</f>
        <v>A554EE16</v>
      </c>
      <c r="S7" s="55" t="s">
        <v>91</v>
      </c>
    </row>
    <row r="8" spans="1:42" x14ac:dyDescent="0.25">
      <c r="A8" s="49" t="s">
        <v>57</v>
      </c>
      <c r="B8" s="50" t="s">
        <v>58</v>
      </c>
      <c r="C8" s="51" t="s">
        <v>118</v>
      </c>
      <c r="D8" s="51" t="s">
        <v>71</v>
      </c>
      <c r="E8" s="51" t="s">
        <v>72</v>
      </c>
      <c r="F8" s="51" t="s">
        <v>73</v>
      </c>
      <c r="G8" s="50" t="s">
        <v>61</v>
      </c>
      <c r="H8" s="50" t="s">
        <v>62</v>
      </c>
      <c r="I8" s="50">
        <v>1533</v>
      </c>
      <c r="J8" s="52">
        <v>40</v>
      </c>
      <c r="K8" s="52">
        <v>40</v>
      </c>
      <c r="L8" s="52">
        <v>1</v>
      </c>
      <c r="M8" s="50" t="s">
        <v>58</v>
      </c>
      <c r="N8" s="51" t="s">
        <v>63</v>
      </c>
      <c r="O8" s="52" t="s">
        <v>64</v>
      </c>
      <c r="P8" s="53"/>
      <c r="Q8" s="51" t="s">
        <v>65</v>
      </c>
      <c r="R8" s="54" t="str">
        <f>VLOOKUP(C8, [1]料號對照表!$B:$C, 2, FALSE)</f>
        <v>A554EE16</v>
      </c>
      <c r="S8" s="55" t="s">
        <v>90</v>
      </c>
    </row>
    <row r="9" spans="1:42" x14ac:dyDescent="0.25">
      <c r="A9" s="49" t="s">
        <v>57</v>
      </c>
      <c r="B9" s="50" t="s">
        <v>58</v>
      </c>
      <c r="C9" s="51" t="s">
        <v>119</v>
      </c>
      <c r="D9" s="51" t="s">
        <v>74</v>
      </c>
      <c r="E9" s="51" t="s">
        <v>59</v>
      </c>
      <c r="F9" s="51" t="s">
        <v>75</v>
      </c>
      <c r="G9" s="50" t="s">
        <v>61</v>
      </c>
      <c r="H9" s="50" t="s">
        <v>62</v>
      </c>
      <c r="I9" s="50">
        <v>1534</v>
      </c>
      <c r="J9" s="52">
        <v>21</v>
      </c>
      <c r="K9" s="52">
        <v>3</v>
      </c>
      <c r="L9" s="52">
        <v>7</v>
      </c>
      <c r="M9" s="50" t="s">
        <v>58</v>
      </c>
      <c r="N9" s="51" t="s">
        <v>63</v>
      </c>
      <c r="O9" s="52" t="s">
        <v>64</v>
      </c>
      <c r="P9" s="53"/>
      <c r="Q9" s="51" t="s">
        <v>65</v>
      </c>
      <c r="R9" s="54" t="str">
        <f>VLOOKUP(C9, [1]料號對照表!$B:$C, 2, FALSE)</f>
        <v>A554FW16</v>
      </c>
      <c r="S9" s="55" t="s">
        <v>93</v>
      </c>
    </row>
    <row r="10" spans="1:42" x14ac:dyDescent="0.25">
      <c r="A10" s="49" t="s">
        <v>57</v>
      </c>
      <c r="B10" s="50" t="s">
        <v>58</v>
      </c>
      <c r="C10" s="51" t="s">
        <v>120</v>
      </c>
      <c r="D10" s="51" t="s">
        <v>76</v>
      </c>
      <c r="E10" s="51" t="s">
        <v>59</v>
      </c>
      <c r="F10" s="51" t="s">
        <v>77</v>
      </c>
      <c r="G10" s="50" t="s">
        <v>61</v>
      </c>
      <c r="H10" s="50" t="s">
        <v>62</v>
      </c>
      <c r="I10" s="50">
        <v>1534</v>
      </c>
      <c r="J10" s="52">
        <v>6</v>
      </c>
      <c r="K10" s="52">
        <v>3</v>
      </c>
      <c r="L10" s="52">
        <v>2</v>
      </c>
      <c r="M10" s="50" t="s">
        <v>58</v>
      </c>
      <c r="N10" s="51" t="s">
        <v>63</v>
      </c>
      <c r="O10" s="52" t="s">
        <v>64</v>
      </c>
      <c r="P10" s="53"/>
      <c r="Q10" s="51" t="s">
        <v>65</v>
      </c>
      <c r="R10" s="54" t="str">
        <f>VLOOKUP(C10, [1]料號對照表!$B:$C, 2, FALSE)</f>
        <v>A554E</v>
      </c>
      <c r="S10" s="55" t="s">
        <v>94</v>
      </c>
    </row>
    <row r="11" spans="1:42" x14ac:dyDescent="0.25">
      <c r="A11" s="49" t="s">
        <v>57</v>
      </c>
      <c r="B11" s="50" t="s">
        <v>58</v>
      </c>
      <c r="C11" s="51" t="s">
        <v>125</v>
      </c>
      <c r="D11" s="51" t="s">
        <v>126</v>
      </c>
      <c r="E11" s="51" t="s">
        <v>78</v>
      </c>
      <c r="F11" s="51" t="s">
        <v>79</v>
      </c>
      <c r="G11" s="50" t="s">
        <v>61</v>
      </c>
      <c r="H11" s="50" t="s">
        <v>62</v>
      </c>
      <c r="I11" s="50">
        <v>1534</v>
      </c>
      <c r="J11" s="52">
        <v>40</v>
      </c>
      <c r="K11" s="52">
        <v>40</v>
      </c>
      <c r="L11" s="52">
        <v>1</v>
      </c>
      <c r="M11" s="50" t="s">
        <v>58</v>
      </c>
      <c r="N11" s="51" t="s">
        <v>63</v>
      </c>
      <c r="O11" s="52" t="s">
        <v>64</v>
      </c>
      <c r="P11" s="53"/>
      <c r="Q11" s="51" t="s">
        <v>65</v>
      </c>
      <c r="R11" s="54" t="str">
        <f>VLOOKUP(C11, [1]料號對照表!$B:$C, 2, FALSE)</f>
        <v>A554E</v>
      </c>
      <c r="S11" s="55" t="s">
        <v>90</v>
      </c>
    </row>
    <row r="12" spans="1:42" x14ac:dyDescent="0.25">
      <c r="A12" s="49" t="s">
        <v>57</v>
      </c>
      <c r="B12" s="50" t="s">
        <v>58</v>
      </c>
      <c r="C12" s="51" t="s">
        <v>121</v>
      </c>
      <c r="D12" s="51" t="s">
        <v>80</v>
      </c>
      <c r="E12" s="51" t="s">
        <v>59</v>
      </c>
      <c r="F12" s="51" t="s">
        <v>81</v>
      </c>
      <c r="G12" s="50" t="s">
        <v>61</v>
      </c>
      <c r="H12" s="50" t="s">
        <v>62</v>
      </c>
      <c r="I12" s="50">
        <v>1534</v>
      </c>
      <c r="J12" s="52">
        <v>6</v>
      </c>
      <c r="K12" s="52">
        <v>3</v>
      </c>
      <c r="L12" s="52">
        <v>2</v>
      </c>
      <c r="M12" s="50" t="s">
        <v>58</v>
      </c>
      <c r="N12" s="51" t="s">
        <v>63</v>
      </c>
      <c r="O12" s="52" t="s">
        <v>64</v>
      </c>
      <c r="P12" s="53"/>
      <c r="Q12" s="51" t="s">
        <v>65</v>
      </c>
      <c r="R12" s="54" t="str">
        <f>VLOOKUP(C12, [1]料號對照表!$B:$C, 2, FALSE)</f>
        <v>A554FW16</v>
      </c>
      <c r="S12" s="55" t="s">
        <v>91</v>
      </c>
    </row>
    <row r="13" spans="1:42" x14ac:dyDescent="0.25">
      <c r="A13" s="49" t="s">
        <v>57</v>
      </c>
      <c r="B13" s="50" t="s">
        <v>58</v>
      </c>
      <c r="C13" s="51" t="s">
        <v>122</v>
      </c>
      <c r="D13" s="51" t="s">
        <v>82</v>
      </c>
      <c r="E13" s="51" t="s">
        <v>59</v>
      </c>
      <c r="F13" s="51" t="s">
        <v>83</v>
      </c>
      <c r="G13" s="50" t="s">
        <v>61</v>
      </c>
      <c r="H13" s="50" t="s">
        <v>62</v>
      </c>
      <c r="I13" s="50">
        <v>1534</v>
      </c>
      <c r="J13" s="52">
        <v>6</v>
      </c>
      <c r="K13" s="52">
        <v>3</v>
      </c>
      <c r="L13" s="52">
        <v>2</v>
      </c>
      <c r="M13" s="50" t="s">
        <v>58</v>
      </c>
      <c r="N13" s="51" t="s">
        <v>63</v>
      </c>
      <c r="O13" s="52" t="s">
        <v>64</v>
      </c>
      <c r="P13" s="53"/>
      <c r="Q13" s="51" t="s">
        <v>65</v>
      </c>
      <c r="R13" s="54" t="str">
        <f>VLOOKUP(C13, [1]料號對照表!$B:$C, 2, FALSE)</f>
        <v>A554FW16</v>
      </c>
      <c r="S13" s="55" t="s">
        <v>92</v>
      </c>
    </row>
    <row r="14" spans="1:42" x14ac:dyDescent="0.25">
      <c r="A14" s="49" t="s">
        <v>57</v>
      </c>
      <c r="B14" s="50" t="s">
        <v>58</v>
      </c>
      <c r="C14" s="51" t="s">
        <v>123</v>
      </c>
      <c r="D14" s="51" t="s">
        <v>84</v>
      </c>
      <c r="E14" s="51" t="s">
        <v>85</v>
      </c>
      <c r="F14" s="51" t="s">
        <v>86</v>
      </c>
      <c r="G14" s="50" t="s">
        <v>61</v>
      </c>
      <c r="H14" s="50" t="s">
        <v>62</v>
      </c>
      <c r="I14" s="50">
        <v>1534</v>
      </c>
      <c r="J14" s="52">
        <v>48</v>
      </c>
      <c r="K14" s="52">
        <v>48</v>
      </c>
      <c r="L14" s="52">
        <v>1</v>
      </c>
      <c r="M14" s="50" t="s">
        <v>58</v>
      </c>
      <c r="N14" s="51" t="s">
        <v>63</v>
      </c>
      <c r="O14" s="52" t="s">
        <v>64</v>
      </c>
      <c r="P14" s="53"/>
      <c r="Q14" s="51" t="s">
        <v>65</v>
      </c>
      <c r="R14" s="54" t="str">
        <f>VLOOKUP(C14, [1]料號對照表!$B:$C, 2, FALSE)</f>
        <v>A554E</v>
      </c>
      <c r="S14" s="55" t="s">
        <v>90</v>
      </c>
    </row>
    <row r="15" spans="1:42" x14ac:dyDescent="0.25">
      <c r="A15" s="49" t="s">
        <v>57</v>
      </c>
      <c r="B15" s="50" t="s">
        <v>58</v>
      </c>
      <c r="C15" s="51" t="s">
        <v>124</v>
      </c>
      <c r="D15" s="51" t="s">
        <v>87</v>
      </c>
      <c r="E15" s="51" t="s">
        <v>88</v>
      </c>
      <c r="F15" s="51" t="s">
        <v>89</v>
      </c>
      <c r="G15" s="50" t="s">
        <v>61</v>
      </c>
      <c r="H15" s="50" t="s">
        <v>62</v>
      </c>
      <c r="I15" s="50">
        <v>1534</v>
      </c>
      <c r="J15" s="52">
        <v>40</v>
      </c>
      <c r="K15" s="52">
        <v>40</v>
      </c>
      <c r="L15" s="52">
        <v>1</v>
      </c>
      <c r="M15" s="50" t="s">
        <v>58</v>
      </c>
      <c r="N15" s="51" t="s">
        <v>63</v>
      </c>
      <c r="O15" s="52" t="s">
        <v>64</v>
      </c>
      <c r="P15" s="53"/>
      <c r="Q15" s="51" t="s">
        <v>65</v>
      </c>
      <c r="R15" s="54" t="str">
        <f>VLOOKUP(C15, [1]料號對照表!$B:$C, 2, FALSE)</f>
        <v>A554EE16</v>
      </c>
      <c r="S15" s="55">
        <v>0</v>
      </c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轉換成ERP訂單_裕器_三義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件號編修_Click">
                <anchor moveWithCells="1" sizeWithCells="1">
                  <from>
                    <xdr:col>21</xdr:col>
                    <xdr:colOff>66675</xdr:colOff>
                    <xdr:row>0</xdr:row>
                    <xdr:rowOff>28575</xdr:rowOff>
                  </from>
                  <to>
                    <xdr:col>22</xdr:col>
                    <xdr:colOff>390525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rgb="FFFFFF00"/>
  </sheetPr>
  <dimension ref="A1:AQ21"/>
  <sheetViews>
    <sheetView topLeftCell="N1" workbookViewId="0">
      <pane ySplit="3" topLeftCell="A4" activePane="bottomLeft" state="frozen"/>
      <selection pane="bottomLeft" activeCell="U3" sqref="U3"/>
    </sheetView>
  </sheetViews>
  <sheetFormatPr defaultRowHeight="14.25" x14ac:dyDescent="0.25"/>
  <cols>
    <col min="1" max="2" width="5.625" style="76" customWidth="1"/>
    <col min="3" max="3" width="7.5" style="76" customWidth="1"/>
    <col min="4" max="4" width="9.75" style="76" customWidth="1"/>
    <col min="5" max="5" width="8.25" style="76" bestFit="1" customWidth="1"/>
    <col min="6" max="6" width="14.625" style="76" customWidth="1"/>
    <col min="7" max="7" width="22.625" style="76" customWidth="1"/>
    <col min="8" max="9" width="9.5" style="76" bestFit="1" customWidth="1"/>
    <col min="10" max="10" width="7.5" style="76" customWidth="1"/>
    <col min="11" max="12" width="8.5" style="76" bestFit="1" customWidth="1"/>
    <col min="13" max="13" width="7.875" style="76" customWidth="1"/>
    <col min="14" max="14" width="6.125" style="76" customWidth="1"/>
    <col min="15" max="15" width="5.375" style="76" customWidth="1"/>
    <col min="16" max="16" width="8.125" style="76" bestFit="1" customWidth="1"/>
    <col min="17" max="17" width="9.125" style="76" customWidth="1"/>
    <col min="18" max="18" width="10" style="76" customWidth="1"/>
    <col min="19" max="19" width="7.5" style="77" customWidth="1"/>
    <col min="20" max="20" width="17" style="76" customWidth="1"/>
    <col min="21" max="21" width="9" style="76"/>
    <col min="22" max="22" width="7.25" style="76" customWidth="1"/>
    <col min="23" max="23" width="10.5" style="76" bestFit="1" customWidth="1"/>
    <col min="24" max="16384" width="9" style="76"/>
  </cols>
  <sheetData>
    <row r="1" spans="1:43" s="38" customFormat="1" ht="21.75" customHeight="1" x14ac:dyDescent="0.25">
      <c r="A1" s="48" t="s">
        <v>5</v>
      </c>
      <c r="B1" s="48"/>
      <c r="C1" s="87" t="s">
        <v>46</v>
      </c>
      <c r="D1" s="87"/>
      <c r="E1" s="87"/>
      <c r="F1" s="87"/>
      <c r="G1" s="75" t="s">
        <v>6</v>
      </c>
      <c r="H1" s="88" t="s">
        <v>165</v>
      </c>
      <c r="I1" s="88"/>
      <c r="J1" s="88"/>
      <c r="K1" s="88"/>
      <c r="L1" s="88"/>
      <c r="M1" s="88"/>
      <c r="N1" s="88"/>
      <c r="O1" s="88"/>
      <c r="Q1" s="47"/>
      <c r="AE1" s="48"/>
      <c r="AF1" s="48"/>
      <c r="AG1" s="48"/>
      <c r="AH1" s="48"/>
      <c r="AJ1" s="47"/>
      <c r="AK1" s="48"/>
      <c r="AL1" s="48"/>
      <c r="AM1" s="48"/>
      <c r="AN1" s="48"/>
      <c r="AO1" s="48"/>
    </row>
    <row r="2" spans="1:43" s="38" customFormat="1" x14ac:dyDescent="0.25">
      <c r="A2" s="44">
        <v>1</v>
      </c>
      <c r="B2" s="44">
        <v>2</v>
      </c>
      <c r="C2" s="44">
        <v>3</v>
      </c>
      <c r="D2" s="44">
        <v>4</v>
      </c>
      <c r="E2" s="44">
        <v>5</v>
      </c>
      <c r="F2" s="44">
        <v>6</v>
      </c>
      <c r="G2" s="44">
        <v>7</v>
      </c>
      <c r="H2" s="44">
        <v>8</v>
      </c>
      <c r="I2" s="44">
        <v>9</v>
      </c>
      <c r="J2" s="44">
        <v>10</v>
      </c>
      <c r="K2" s="44">
        <v>11</v>
      </c>
      <c r="L2" s="44">
        <v>12</v>
      </c>
      <c r="M2" s="44">
        <v>13</v>
      </c>
      <c r="N2" s="44">
        <v>14</v>
      </c>
      <c r="O2" s="44">
        <v>15</v>
      </c>
      <c r="P2" s="44">
        <v>16</v>
      </c>
      <c r="Q2" s="44">
        <v>17</v>
      </c>
      <c r="R2" s="44">
        <v>18</v>
      </c>
      <c r="S2" s="44">
        <v>19</v>
      </c>
      <c r="T2" s="44">
        <v>20</v>
      </c>
      <c r="U2" s="44">
        <v>21</v>
      </c>
      <c r="V2" s="78" t="s">
        <v>155</v>
      </c>
      <c r="W2" s="48"/>
      <c r="Y2" s="47"/>
      <c r="Z2" s="48"/>
      <c r="AA2" s="48"/>
      <c r="AB2" s="48"/>
      <c r="AC2" s="48"/>
      <c r="AD2" s="48"/>
      <c r="AE2" s="44"/>
    </row>
    <row r="3" spans="1:43" s="38" customFormat="1" x14ac:dyDescent="0.25">
      <c r="A3" s="66" t="s">
        <v>149</v>
      </c>
      <c r="B3" s="67" t="s">
        <v>132</v>
      </c>
      <c r="C3" s="67" t="s">
        <v>133</v>
      </c>
      <c r="D3" s="67" t="s">
        <v>134</v>
      </c>
      <c r="E3" s="68" t="s">
        <v>135</v>
      </c>
      <c r="F3" s="67" t="s">
        <v>136</v>
      </c>
      <c r="G3" s="67" t="s">
        <v>137</v>
      </c>
      <c r="H3" s="67" t="s">
        <v>138</v>
      </c>
      <c r="I3" s="67" t="s">
        <v>139</v>
      </c>
      <c r="J3" s="69" t="s">
        <v>144</v>
      </c>
      <c r="K3" s="67" t="s">
        <v>140</v>
      </c>
      <c r="L3" s="67" t="s">
        <v>141</v>
      </c>
      <c r="M3" s="69" t="s">
        <v>145</v>
      </c>
      <c r="N3" s="70" t="s">
        <v>146</v>
      </c>
      <c r="O3" s="67" t="s">
        <v>142</v>
      </c>
      <c r="P3" s="26" t="s">
        <v>147</v>
      </c>
      <c r="Q3" s="69" t="s">
        <v>148</v>
      </c>
      <c r="R3" s="66" t="s">
        <v>130</v>
      </c>
      <c r="S3" s="66" t="s">
        <v>153</v>
      </c>
      <c r="T3" s="67" t="s">
        <v>143</v>
      </c>
      <c r="U3" s="71" t="s">
        <v>55</v>
      </c>
      <c r="V3" s="72" t="s">
        <v>56</v>
      </c>
      <c r="W3" s="45"/>
      <c r="X3" s="45"/>
      <c r="Y3" s="45"/>
      <c r="Z3" s="45"/>
      <c r="AA3" s="45"/>
      <c r="AB3" s="45"/>
      <c r="AC3" s="45"/>
      <c r="AD3" s="46"/>
      <c r="AE3" s="45"/>
      <c r="AF3" s="45"/>
      <c r="AG3" s="46"/>
      <c r="AH3" s="71"/>
      <c r="AI3" s="71"/>
      <c r="AK3" s="47"/>
      <c r="AL3" s="48"/>
      <c r="AM3" s="48"/>
      <c r="AN3" s="48"/>
      <c r="AO3" s="48"/>
      <c r="AP3" s="48"/>
      <c r="AQ3" s="44"/>
    </row>
    <row r="4" spans="1:43" x14ac:dyDescent="0.25">
      <c r="A4" s="76">
        <v>1</v>
      </c>
      <c r="B4" s="76" t="s">
        <v>160</v>
      </c>
      <c r="C4" s="76" t="s">
        <v>161</v>
      </c>
      <c r="D4" s="76" t="s">
        <v>162</v>
      </c>
      <c r="E4" s="76" t="s">
        <v>166</v>
      </c>
      <c r="F4" s="76" t="s">
        <v>167</v>
      </c>
      <c r="G4" s="76" t="s">
        <v>168</v>
      </c>
      <c r="H4" s="76" t="s">
        <v>171</v>
      </c>
      <c r="I4" s="76" t="s">
        <v>169</v>
      </c>
      <c r="J4" s="76" t="s">
        <v>163</v>
      </c>
      <c r="K4" s="76">
        <v>20150305</v>
      </c>
      <c r="L4" s="76">
        <v>20150311</v>
      </c>
      <c r="M4" s="76">
        <v>0</v>
      </c>
      <c r="N4" s="76">
        <v>0</v>
      </c>
      <c r="O4" s="76">
        <v>4</v>
      </c>
      <c r="P4" s="76" t="s">
        <v>150</v>
      </c>
      <c r="Q4" s="76" t="s">
        <v>158</v>
      </c>
      <c r="R4" s="76" t="s">
        <v>164</v>
      </c>
      <c r="S4" s="77" t="s">
        <v>154</v>
      </c>
      <c r="T4" s="76" t="s">
        <v>170</v>
      </c>
      <c r="W4" s="45"/>
    </row>
    <row r="5" spans="1:43" x14ac:dyDescent="0.25">
      <c r="W5" s="45"/>
    </row>
    <row r="6" spans="1:43" x14ac:dyDescent="0.25">
      <c r="W6" s="45"/>
    </row>
    <row r="7" spans="1:43" x14ac:dyDescent="0.25">
      <c r="W7" s="45"/>
    </row>
    <row r="8" spans="1:43" x14ac:dyDescent="0.25">
      <c r="W8" s="45"/>
    </row>
    <row r="9" spans="1:43" x14ac:dyDescent="0.25">
      <c r="W9" s="45"/>
    </row>
    <row r="10" spans="1:43" x14ac:dyDescent="0.25">
      <c r="W10" s="45"/>
    </row>
    <row r="11" spans="1:43" x14ac:dyDescent="0.25">
      <c r="W11" s="45"/>
    </row>
    <row r="12" spans="1:43" x14ac:dyDescent="0.25">
      <c r="W12" s="45"/>
    </row>
    <row r="13" spans="1:43" x14ac:dyDescent="0.25">
      <c r="W13" s="45"/>
    </row>
    <row r="14" spans="1:43" x14ac:dyDescent="0.25">
      <c r="W14" s="45"/>
    </row>
    <row r="15" spans="1:43" x14ac:dyDescent="0.25">
      <c r="W15" s="45"/>
    </row>
    <row r="16" spans="1:43" x14ac:dyDescent="0.25">
      <c r="W16" s="45"/>
    </row>
    <row r="17" spans="23:23" x14ac:dyDescent="0.25">
      <c r="W17" s="45"/>
    </row>
    <row r="18" spans="23:23" x14ac:dyDescent="0.25">
      <c r="W18" s="45"/>
    </row>
    <row r="19" spans="23:23" x14ac:dyDescent="0.25">
      <c r="W19" s="45"/>
    </row>
    <row r="20" spans="23:23" x14ac:dyDescent="0.25">
      <c r="W20" s="45"/>
    </row>
    <row r="21" spans="23:23" x14ac:dyDescent="0.25">
      <c r="W21" s="45"/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讀取訂單資料_ANSI_裕器_湖口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轉換成ERP訂單_裕器_湖口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規格-裕隆</vt:lpstr>
      <vt:lpstr>規格-裕器</vt:lpstr>
      <vt:lpstr>Data-裕隆</vt:lpstr>
      <vt:lpstr>Data-裕器(三義)</vt:lpstr>
      <vt:lpstr>Data-裕器(湖口)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2015-04-16T03:37:37Z</dcterms:modified>
</cp:coreProperties>
</file>