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規格-裕隆" sheetId="1" r:id="rId1"/>
    <sheet name="規格-裕器" sheetId="6" r:id="rId2"/>
    <sheet name="Data-裕隆" sheetId="3" r:id="rId3"/>
    <sheet name="Data-裕器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H17" i="5" l="1"/>
  <c r="G17" i="5"/>
  <c r="E20" i="6" l="1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sharedStrings.xml><?xml version="1.0" encoding="utf-8"?>
<sst xmlns="http://schemas.openxmlformats.org/spreadsheetml/2006/main" count="540" uniqueCount="211">
  <si>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</si>
  <si>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</si>
  <si>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</si>
  <si>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</si>
  <si>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</si>
  <si>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</si>
  <si>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</si>
  <si>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</si>
  <si>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</si>
  <si>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</si>
  <si>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</si>
  <si>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</si>
  <si>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</si>
  <si>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</si>
  <si>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</si>
  <si>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</si>
  <si>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</si>
  <si>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</si>
  <si>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</si>
  <si>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</si>
  <si>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</si>
  <si>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</si>
  <si>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</si>
  <si>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</si>
  <si>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</si>
  <si>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</si>
  <si>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</si>
  <si>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</si>
  <si>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</si>
  <si>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</si>
  <si>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</si>
  <si>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</si>
  <si>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</si>
  <si>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</si>
  <si>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</si>
  <si>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</si>
  <si>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</si>
  <si>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</si>
  <si>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</si>
  <si>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</si>
  <si>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</si>
  <si>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</si>
  <si>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</si>
  <si>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</si>
  <si>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</si>
  <si>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</si>
  <si>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</si>
  <si>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YL接單(一般件)_發行日期20150128_20150128.txt</t>
    <phoneticPr fontId="1" type="noConversion"/>
  </si>
  <si>
    <t>廠商
代號</t>
    <phoneticPr fontId="1" type="noConversion"/>
  </si>
  <si>
    <t>Y</t>
  </si>
  <si>
    <t>M10</t>
  </si>
  <si>
    <t>SHG33</t>
  </si>
  <si>
    <t>ND2121</t>
  </si>
  <si>
    <t xml:space="preserve">  </t>
  </si>
  <si>
    <t>SWITCHBOXOBU_SW</t>
  </si>
  <si>
    <t>BPB6**</t>
  </si>
  <si>
    <t xml:space="preserve">   </t>
  </si>
  <si>
    <t xml:space="preserve"> LNN          </t>
  </si>
  <si>
    <t>A31</t>
  </si>
  <si>
    <t>SHG34</t>
  </si>
  <si>
    <t xml:space="preserve">C28   </t>
  </si>
  <si>
    <t xml:space="preserve">HARN-FRONTASSY </t>
  </si>
  <si>
    <t>NJ0522</t>
  </si>
  <si>
    <t>HARN-BATTERY-AS</t>
  </si>
  <si>
    <t>BPB3**</t>
  </si>
  <si>
    <t>NXC411</t>
  </si>
  <si>
    <t xml:space="preserve">HARN-FRONT     </t>
  </si>
  <si>
    <t>WIRE-BONDING_RE</t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</si>
  <si>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</si>
  <si>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</si>
  <si>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</si>
  <si>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</si>
  <si>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</si>
  <si>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2590A-KN300</t>
  </si>
  <si>
    <t>-</t>
  </si>
  <si>
    <t>H3</t>
  </si>
  <si>
    <t>24012-KN103</t>
  </si>
  <si>
    <t>24080-SN100</t>
  </si>
  <si>
    <t>24012-KN108</t>
  </si>
  <si>
    <t>28360-SN100</t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</si>
  <si>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</si>
  <si>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</si>
  <si>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</si>
  <si>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</si>
  <si>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</si>
  <si>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</si>
  <si>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</si>
  <si>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</si>
  <si>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</si>
  <si>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</si>
  <si>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</si>
  <si>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</si>
  <si>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</si>
  <si>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24010-KN10122</t>
  </si>
  <si>
    <t>KKN-24010-1480</t>
  </si>
  <si>
    <t>PON15240039</t>
  </si>
  <si>
    <t>2804A-KN10322</t>
  </si>
  <si>
    <t>KKN-2804A-3480</t>
  </si>
  <si>
    <t>HMI MODULE</t>
  </si>
  <si>
    <t>PON15240041</t>
  </si>
  <si>
    <t>28216-KN21522</t>
  </si>
  <si>
    <t>KKN-28216-248A</t>
  </si>
  <si>
    <t>USB CABLEUSB CABLE-2 IN 1</t>
  </si>
  <si>
    <t>PON15240042</t>
  </si>
  <si>
    <t>24010-KN10D22</t>
  </si>
  <si>
    <t>KKN-24010-048D</t>
  </si>
  <si>
    <t>PON15240029</t>
  </si>
  <si>
    <t>KKN-24010-6480</t>
  </si>
  <si>
    <t>PON15240030</t>
  </si>
  <si>
    <t>KKN-28216-148A</t>
  </si>
  <si>
    <t>USB CABLEUSB CABLE-IP</t>
  </si>
  <si>
    <t>PON15240031</t>
  </si>
  <si>
    <t>24010-SN26222</t>
  </si>
  <si>
    <t>KSN-24010-G480</t>
  </si>
  <si>
    <t>PON15240012</t>
  </si>
  <si>
    <t>KSN-24010-I480</t>
  </si>
  <si>
    <t>PON15240013</t>
  </si>
  <si>
    <t>24010-SN26F22</t>
  </si>
  <si>
    <t>KSN-24010-K48A</t>
  </si>
  <si>
    <t>PON15240014</t>
  </si>
  <si>
    <t>KSN-2804A-0480</t>
  </si>
  <si>
    <t>mini HMI</t>
  </si>
  <si>
    <t>PON15240015</t>
  </si>
  <si>
    <t>KSN-28216-5480</t>
  </si>
  <si>
    <t>USB Cable-CD/MP3</t>
  </si>
  <si>
    <t>PON15240016</t>
  </si>
  <si>
    <t>A554FW16</t>
    <phoneticPr fontId="1" type="noConversion"/>
  </si>
  <si>
    <t>A554F</t>
    <phoneticPr fontId="1" type="noConversion"/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</si>
  <si>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</si>
  <si>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</si>
  <si>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</si>
  <si>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</si>
  <si>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</si>
  <si>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</si>
  <si>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</si>
  <si>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</si>
  <si>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</si>
  <si>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</si>
  <si>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</si>
  <si>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</si>
  <si>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</si>
  <si>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</si>
  <si>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</si>
  <si>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</si>
  <si>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</si>
  <si>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</si>
  <si>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</si>
  <si>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</si>
  <si>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</si>
  <si>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</si>
  <si>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</si>
  <si>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</si>
  <si>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T:\裕隆\每日訂單\YL SCM 系統訂單</t>
    <phoneticPr fontId="1" type="noConversion"/>
  </si>
  <si>
    <t>YL SCM 系統訂單2015.02.09.txt</t>
    <phoneticPr fontId="1" type="noConversion"/>
  </si>
  <si>
    <t>1</t>
  </si>
  <si>
    <t>DELFOR</t>
  </si>
  <si>
    <t>YLN</t>
  </si>
  <si>
    <t>C524</t>
  </si>
  <si>
    <t>A</t>
  </si>
  <si>
    <t>AL</t>
  </si>
  <si>
    <t>000000000000001ST</t>
  </si>
  <si>
    <t xml:space="preserve">               </t>
  </si>
  <si>
    <t>NG0813</t>
  </si>
  <si>
    <t>2590A-MA200</t>
  </si>
  <si>
    <t>24012-KN102</t>
  </si>
  <si>
    <t>BS5</t>
  </si>
  <si>
    <t>S5C023</t>
  </si>
  <si>
    <t>AS9</t>
  </si>
  <si>
    <t>S9A101</t>
  </si>
  <si>
    <t>24080-SN102</t>
  </si>
  <si>
    <t>NA0233</t>
  </si>
  <si>
    <t>28216-MA105</t>
  </si>
  <si>
    <t>USBCABLEUSBCabl</t>
  </si>
  <si>
    <t xml:space="preserve">      </t>
  </si>
  <si>
    <t>C</t>
    <phoneticPr fontId="1" type="noConversion"/>
  </si>
  <si>
    <t>G</t>
    <phoneticPr fontId="1" type="noConversion"/>
  </si>
  <si>
    <t>L</t>
    <phoneticPr fontId="1" type="noConversion"/>
  </si>
  <si>
    <t>S-1</t>
    <phoneticPr fontId="1" type="noConversion"/>
  </si>
  <si>
    <t>版本</t>
  </si>
  <si>
    <t>E</t>
    <phoneticPr fontId="1" type="noConversion"/>
  </si>
  <si>
    <t>A554EE16</t>
    <phoneticPr fontId="1" type="noConversion"/>
  </si>
  <si>
    <t>A554E</t>
    <phoneticPr fontId="1" type="noConversion"/>
  </si>
  <si>
    <t>PON152A0029</t>
  </si>
  <si>
    <t>2/10/2015</t>
  </si>
  <si>
    <t>2/11/2015</t>
  </si>
  <si>
    <t>PON152A0030</t>
  </si>
  <si>
    <t>28216-KN21122</t>
  </si>
  <si>
    <t>KKN-28216-048A</t>
  </si>
  <si>
    <t>USB CABLEUSB CABLE-CD/MP3</t>
  </si>
  <si>
    <t>PON152A0031</t>
  </si>
  <si>
    <t>PON152A0017</t>
  </si>
  <si>
    <t>2804A-KN10222</t>
  </si>
  <si>
    <t>KKN-2804A-2480</t>
  </si>
  <si>
    <t>PON152A0018</t>
  </si>
  <si>
    <t>PON152A0019</t>
  </si>
  <si>
    <t>28216-KN22522</t>
  </si>
  <si>
    <t>KKN-28216-5580</t>
  </si>
  <si>
    <t>USB CABLE</t>
  </si>
  <si>
    <t>PON152A0020</t>
  </si>
  <si>
    <t>PON152A0010</t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</si>
  <si>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</si>
  <si>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</si>
  <si>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</si>
  <si>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</si>
  <si>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</si>
  <si>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</si>
  <si>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28216-KN214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</si>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</sst>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8FA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12" fillId="4" borderId="0" xfId="0" applyFont="1" applyFill="1" applyAlignment="1">
      <alignment horizontal="left" vertical="center" wrapText="1"/>
    </xf>
    <xf numFmtId="0" fontId="13" fillId="4" borderId="0" xfId="0" applyFont="1" applyFill="1" applyAlignment="1">
      <alignment horizontal="center" vertical="center" wrapText="1"/>
    </xf>
    <xf numFmtId="0" fontId="13" fillId="4" borderId="0" xfId="0" applyFont="1" applyFill="1" applyAlignment="1">
      <alignment horizontal="left" vertical="center" wrapText="1"/>
    </xf>
    <xf numFmtId="0" fontId="13" fillId="4" borderId="0" xfId="0" applyFont="1" applyFill="1" applyAlignment="1">
      <alignment horizontal="right" vertical="center" wrapText="1"/>
    </xf>
    <xf numFmtId="0" fontId="12" fillId="5" borderId="0" xfId="0" applyFont="1" applyFill="1" applyAlignment="1">
      <alignment horizontal="left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left" vertical="center" wrapText="1"/>
    </xf>
    <xf numFmtId="0" fontId="13" fillId="5" borderId="0" xfId="0" applyFont="1" applyFill="1" applyAlignment="1">
      <alignment horizontal="right" vertical="center" wrapText="1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C1" sqref="C1:H1048576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68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70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71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72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82</v>
      </c>
    </row>
    <row r="35" spans="1:13" x14ac:dyDescent="0.25">
      <c r="C35" s="32" t="s">
        <v>83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B1:G35"/>
  <sheetViews>
    <sheetView workbookViewId="0">
      <selection activeCell="F10" sqref="F10"/>
    </sheetView>
  </sheetViews>
  <sheetFormatPr defaultRowHeight="16.5" x14ac:dyDescent="0.25"/>
  <cols>
    <col min="2" max="2" width="16.125" style="16" bestFit="1" customWidth="1"/>
    <col min="3" max="5" width="9" style="16"/>
    <col min="6" max="6" width="9" style="17"/>
    <col min="7" max="7" width="7.125" style="17" customWidth="1"/>
  </cols>
  <sheetData>
    <row r="1" spans="2:7" x14ac:dyDescent="0.25">
      <c r="B1" s="16" t="s">
        <v>0</v>
      </c>
      <c r="C1" s="16" t="s">
        <v>1</v>
      </c>
      <c r="D1" s="16" t="s">
        <v>2</v>
      </c>
      <c r="E1" s="16" t="s">
        <v>3</v>
      </c>
      <c r="F1" s="17" t="s">
        <v>4</v>
      </c>
      <c r="G1" s="17" t="s">
        <v>17</v>
      </c>
    </row>
    <row r="2" spans="2:7" x14ac:dyDescent="0.25">
      <c r="B2" s="26" t="s">
        <v>133</v>
      </c>
      <c r="C2" s="16">
        <v>1</v>
      </c>
      <c r="D2" s="16">
        <v>1</v>
      </c>
      <c r="E2" s="16">
        <f>D2-C2+1</f>
        <v>1</v>
      </c>
      <c r="G2" s="18">
        <v>1</v>
      </c>
    </row>
    <row r="3" spans="2:7" x14ac:dyDescent="0.25">
      <c r="B3" s="26" t="s">
        <v>134</v>
      </c>
      <c r="C3" s="16">
        <v>2</v>
      </c>
      <c r="D3" s="16">
        <v>7</v>
      </c>
      <c r="E3" s="16">
        <f t="shared" ref="E3:E20" si="0">D3-C3+1</f>
        <v>6</v>
      </c>
      <c r="G3" s="18">
        <v>2</v>
      </c>
    </row>
    <row r="4" spans="2:7" x14ac:dyDescent="0.25">
      <c r="B4" s="26" t="s">
        <v>135</v>
      </c>
      <c r="C4" s="16">
        <v>8</v>
      </c>
      <c r="D4" s="16">
        <v>10</v>
      </c>
      <c r="E4" s="16">
        <f t="shared" si="0"/>
        <v>3</v>
      </c>
      <c r="G4" s="18">
        <v>3</v>
      </c>
    </row>
    <row r="5" spans="2:7" x14ac:dyDescent="0.25">
      <c r="B5" s="26" t="s">
        <v>136</v>
      </c>
      <c r="C5" s="16">
        <v>11</v>
      </c>
      <c r="D5" s="16">
        <v>14</v>
      </c>
      <c r="E5" s="16">
        <f t="shared" si="0"/>
        <v>4</v>
      </c>
      <c r="G5" s="18">
        <v>4</v>
      </c>
    </row>
    <row r="6" spans="2:7" x14ac:dyDescent="0.25">
      <c r="B6" s="26" t="s">
        <v>137</v>
      </c>
      <c r="C6" s="16">
        <v>15</v>
      </c>
      <c r="D6" s="16">
        <v>15</v>
      </c>
      <c r="E6" s="16">
        <f t="shared" si="0"/>
        <v>1</v>
      </c>
      <c r="G6" s="18">
        <v>5</v>
      </c>
    </row>
    <row r="7" spans="2:7" x14ac:dyDescent="0.25">
      <c r="B7" s="26" t="s">
        <v>138</v>
      </c>
      <c r="C7" s="16">
        <v>16</v>
      </c>
      <c r="D7" s="16">
        <v>17</v>
      </c>
      <c r="E7" s="16">
        <f t="shared" si="0"/>
        <v>2</v>
      </c>
      <c r="G7" s="18">
        <v>6</v>
      </c>
    </row>
    <row r="8" spans="2:7" x14ac:dyDescent="0.25">
      <c r="B8" s="26" t="s">
        <v>139</v>
      </c>
      <c r="C8" s="16">
        <v>18</v>
      </c>
      <c r="D8" s="16">
        <v>34</v>
      </c>
      <c r="E8" s="16">
        <f t="shared" si="0"/>
        <v>17</v>
      </c>
      <c r="G8" s="18">
        <v>7</v>
      </c>
    </row>
    <row r="9" spans="2:7" x14ac:dyDescent="0.25">
      <c r="B9" s="26" t="s">
        <v>140</v>
      </c>
      <c r="C9" s="16">
        <v>35</v>
      </c>
      <c r="D9" s="16">
        <v>38</v>
      </c>
      <c r="E9" s="16">
        <f t="shared" si="0"/>
        <v>4</v>
      </c>
      <c r="G9" s="18">
        <v>8</v>
      </c>
    </row>
    <row r="10" spans="2:7" x14ac:dyDescent="0.25">
      <c r="B10" s="26" t="s">
        <v>141</v>
      </c>
      <c r="C10" s="16">
        <v>56</v>
      </c>
      <c r="D10" s="16">
        <v>63</v>
      </c>
      <c r="E10" s="16">
        <f t="shared" si="0"/>
        <v>8</v>
      </c>
      <c r="G10" s="18">
        <v>9</v>
      </c>
    </row>
    <row r="11" spans="2:7" x14ac:dyDescent="0.25">
      <c r="B11" s="26" t="s">
        <v>142</v>
      </c>
      <c r="C11" s="16">
        <v>64</v>
      </c>
      <c r="D11" s="16">
        <v>78</v>
      </c>
      <c r="E11" s="16">
        <f t="shared" si="0"/>
        <v>15</v>
      </c>
      <c r="G11" s="18">
        <v>10</v>
      </c>
    </row>
    <row r="12" spans="2:7" x14ac:dyDescent="0.25">
      <c r="B12" s="26" t="s">
        <v>143</v>
      </c>
      <c r="C12" s="16">
        <v>79</v>
      </c>
      <c r="D12" s="16">
        <v>82</v>
      </c>
      <c r="E12" s="16">
        <f t="shared" si="0"/>
        <v>4</v>
      </c>
      <c r="G12" s="18">
        <v>11</v>
      </c>
    </row>
    <row r="13" spans="2:7" x14ac:dyDescent="0.25">
      <c r="B13" s="26" t="s">
        <v>144</v>
      </c>
      <c r="C13" s="16">
        <v>1</v>
      </c>
      <c r="D13" s="16">
        <v>1</v>
      </c>
      <c r="E13" s="16">
        <f t="shared" si="0"/>
        <v>1</v>
      </c>
      <c r="G13" s="18">
        <v>12</v>
      </c>
    </row>
    <row r="14" spans="2:7" x14ac:dyDescent="0.25">
      <c r="B14" s="26" t="s">
        <v>145</v>
      </c>
      <c r="C14" s="16">
        <v>2</v>
      </c>
      <c r="D14" s="16">
        <v>2</v>
      </c>
      <c r="E14" s="16">
        <f>D14-C14+1</f>
        <v>1</v>
      </c>
      <c r="G14" s="18">
        <v>13</v>
      </c>
    </row>
    <row r="15" spans="2:7" x14ac:dyDescent="0.25">
      <c r="B15" s="26" t="s">
        <v>146</v>
      </c>
      <c r="C15" s="16">
        <v>3</v>
      </c>
      <c r="D15" s="16">
        <v>11</v>
      </c>
      <c r="E15" s="16">
        <f t="shared" si="0"/>
        <v>9</v>
      </c>
      <c r="G15" s="18">
        <v>14</v>
      </c>
    </row>
    <row r="16" spans="2:7" x14ac:dyDescent="0.25">
      <c r="B16" s="26" t="s">
        <v>147</v>
      </c>
      <c r="C16" s="16">
        <v>12</v>
      </c>
      <c r="D16" s="16">
        <v>14</v>
      </c>
      <c r="E16" s="16">
        <f t="shared" si="0"/>
        <v>3</v>
      </c>
      <c r="G16" s="18">
        <v>15</v>
      </c>
    </row>
    <row r="17" spans="2:7" x14ac:dyDescent="0.25">
      <c r="B17" s="26" t="s">
        <v>148</v>
      </c>
      <c r="C17" s="16">
        <v>15</v>
      </c>
      <c r="D17" s="16">
        <v>22</v>
      </c>
      <c r="E17" s="16">
        <f t="shared" si="0"/>
        <v>8</v>
      </c>
      <c r="G17" s="18">
        <v>16</v>
      </c>
    </row>
    <row r="18" spans="2:7" x14ac:dyDescent="0.25">
      <c r="B18" s="26" t="s">
        <v>149</v>
      </c>
      <c r="C18" s="16">
        <v>23</v>
      </c>
      <c r="D18" s="16">
        <v>27</v>
      </c>
      <c r="E18" s="16">
        <f t="shared" si="0"/>
        <v>5</v>
      </c>
      <c r="G18" s="18">
        <v>17</v>
      </c>
    </row>
    <row r="19" spans="2:7" x14ac:dyDescent="0.25">
      <c r="B19" s="32" t="s">
        <v>82</v>
      </c>
      <c r="C19" s="16">
        <v>28</v>
      </c>
      <c r="D19" s="16">
        <v>31</v>
      </c>
      <c r="E19" s="16">
        <f t="shared" si="0"/>
        <v>4</v>
      </c>
      <c r="G19" s="18">
        <v>18</v>
      </c>
    </row>
    <row r="20" spans="2:7" x14ac:dyDescent="0.25">
      <c r="B20" s="34" t="s">
        <v>83</v>
      </c>
      <c r="C20" s="16">
        <v>32</v>
      </c>
      <c r="D20" s="16">
        <v>32</v>
      </c>
      <c r="E20" s="16">
        <f t="shared" si="0"/>
        <v>1</v>
      </c>
      <c r="G20" s="18">
        <v>19</v>
      </c>
    </row>
    <row r="21" spans="2:7" x14ac:dyDescent="0.25">
      <c r="B21" s="19"/>
      <c r="G21" s="18"/>
    </row>
    <row r="22" spans="2:7" x14ac:dyDescent="0.25">
      <c r="B22" s="19"/>
      <c r="G22" s="18"/>
    </row>
    <row r="23" spans="2:7" x14ac:dyDescent="0.25">
      <c r="B23" s="19"/>
      <c r="C23" s="29"/>
      <c r="D23" s="29"/>
      <c r="E23" s="29"/>
      <c r="G23" s="18"/>
    </row>
    <row r="24" spans="2:7" x14ac:dyDescent="0.25">
      <c r="B24" s="19"/>
      <c r="C24" s="29"/>
      <c r="D24" s="29"/>
      <c r="E24" s="29"/>
      <c r="G24" s="18"/>
    </row>
    <row r="25" spans="2:7" x14ac:dyDescent="0.25">
      <c r="B25" s="19"/>
      <c r="G25" s="18"/>
    </row>
    <row r="26" spans="2:7" x14ac:dyDescent="0.25">
      <c r="B26" s="19"/>
      <c r="G26" s="18"/>
    </row>
    <row r="27" spans="2:7" x14ac:dyDescent="0.25">
      <c r="B27" s="19"/>
      <c r="G27" s="18"/>
    </row>
    <row r="28" spans="2:7" x14ac:dyDescent="0.25">
      <c r="B28" s="19"/>
      <c r="G28" s="18"/>
    </row>
    <row r="29" spans="2:7" x14ac:dyDescent="0.25">
      <c r="B29" s="19"/>
      <c r="G29" s="18"/>
    </row>
    <row r="30" spans="2:7" x14ac:dyDescent="0.25">
      <c r="B30" s="24"/>
      <c r="D30" s="30"/>
      <c r="G30" s="18"/>
    </row>
    <row r="31" spans="2:7" x14ac:dyDescent="0.25">
      <c r="B31" s="19"/>
      <c r="C31" s="30"/>
      <c r="G31" s="18"/>
    </row>
    <row r="32" spans="2:7" x14ac:dyDescent="0.25">
      <c r="B32" s="19"/>
      <c r="G32" s="18"/>
    </row>
    <row r="33" spans="2:7" x14ac:dyDescent="0.25">
      <c r="B33" s="24"/>
      <c r="G33" s="18"/>
    </row>
    <row r="34" spans="2:7" x14ac:dyDescent="0.25">
      <c r="B34" s="32"/>
    </row>
    <row r="35" spans="2:7" x14ac:dyDescent="0.25">
      <c r="B35" s="3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opLeftCell="P1" workbookViewId="0">
      <pane ySplit="1" topLeftCell="A2" activePane="bottomLeft" state="frozen"/>
      <selection activeCell="E37" sqref="E37"/>
      <selection pane="bottomLeft" activeCell="J17" sqref="J17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" bestFit="1" customWidth="1"/>
    <col min="34" max="34" width="5.625" style="31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67" t="s">
        <v>152</v>
      </c>
      <c r="D1" s="67"/>
      <c r="E1" s="67"/>
      <c r="F1" s="67"/>
      <c r="G1" s="28" t="s">
        <v>6</v>
      </c>
      <c r="H1" s="68" t="s">
        <v>153</v>
      </c>
      <c r="I1" s="68"/>
      <c r="J1" s="68"/>
      <c r="K1" s="68"/>
      <c r="L1" s="68"/>
      <c r="M1" s="68"/>
      <c r="N1" s="68"/>
      <c r="O1" s="68"/>
      <c r="Q1" s="7"/>
      <c r="AE1" s="5"/>
      <c r="AF1" s="5"/>
      <c r="AG1" s="5"/>
      <c r="AH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81</v>
      </c>
      <c r="AF2" s="31" t="s">
        <v>80</v>
      </c>
      <c r="AH2" s="31" t="s">
        <v>178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48</v>
      </c>
      <c r="E3" s="26" t="s">
        <v>21</v>
      </c>
      <c r="F3" s="26" t="s">
        <v>22</v>
      </c>
      <c r="G3" s="26" t="s">
        <v>23</v>
      </c>
      <c r="H3" s="26" t="s">
        <v>48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69</v>
      </c>
      <c r="T3" s="26" t="s">
        <v>31</v>
      </c>
      <c r="U3" s="26" t="s">
        <v>32</v>
      </c>
      <c r="V3" s="26" t="s">
        <v>41</v>
      </c>
      <c r="W3" s="26" t="s">
        <v>70</v>
      </c>
      <c r="X3" s="26" t="s">
        <v>71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72</v>
      </c>
      <c r="AF3" s="27" t="s">
        <v>39</v>
      </c>
      <c r="AG3" s="32" t="s">
        <v>82</v>
      </c>
      <c r="AH3" s="57" t="s">
        <v>83</v>
      </c>
      <c r="AJ3" s="8"/>
      <c r="AK3" s="10"/>
      <c r="AL3" s="10"/>
      <c r="AM3" s="10"/>
      <c r="AN3" s="10"/>
      <c r="AO3" s="10"/>
      <c r="AP3" s="15"/>
    </row>
    <row r="4" spans="1:42" x14ac:dyDescent="0.25">
      <c r="A4" s="6" t="s">
        <v>154</v>
      </c>
      <c r="B4" s="6" t="s">
        <v>155</v>
      </c>
      <c r="C4" s="6" t="s">
        <v>156</v>
      </c>
      <c r="D4" s="6" t="s">
        <v>157</v>
      </c>
      <c r="E4" s="6" t="s">
        <v>158</v>
      </c>
      <c r="F4" s="6" t="s">
        <v>159</v>
      </c>
      <c r="G4" t="s">
        <v>160</v>
      </c>
      <c r="H4" t="s">
        <v>157</v>
      </c>
      <c r="I4" s="4">
        <v>20150209</v>
      </c>
      <c r="J4" s="4" t="s">
        <v>161</v>
      </c>
      <c r="K4">
        <v>9</v>
      </c>
      <c r="L4">
        <v>2</v>
      </c>
      <c r="M4" t="s">
        <v>49</v>
      </c>
      <c r="N4">
        <v>108547790</v>
      </c>
      <c r="O4" t="s">
        <v>50</v>
      </c>
      <c r="P4">
        <v>20150210</v>
      </c>
      <c r="Q4" s="9" t="s">
        <v>51</v>
      </c>
      <c r="R4">
        <v>1000</v>
      </c>
      <c r="S4">
        <v>1</v>
      </c>
      <c r="T4" t="s">
        <v>52</v>
      </c>
      <c r="U4" t="s">
        <v>73</v>
      </c>
      <c r="V4" t="s">
        <v>74</v>
      </c>
      <c r="W4" t="s">
        <v>75</v>
      </c>
      <c r="X4" t="s">
        <v>53</v>
      </c>
      <c r="Y4" t="s">
        <v>54</v>
      </c>
      <c r="Z4" t="s">
        <v>55</v>
      </c>
      <c r="AA4">
        <v>12</v>
      </c>
      <c r="AB4">
        <v>12</v>
      </c>
      <c r="AC4">
        <v>1</v>
      </c>
      <c r="AD4" t="s">
        <v>56</v>
      </c>
      <c r="AE4" s="6" t="s">
        <v>57</v>
      </c>
      <c r="AF4" s="6" t="s">
        <v>56</v>
      </c>
      <c r="AG4" s="6" t="s">
        <v>180</v>
      </c>
      <c r="AH4" s="31" t="s">
        <v>175</v>
      </c>
      <c r="AP4" s="15"/>
    </row>
    <row r="5" spans="1:42" x14ac:dyDescent="0.25">
      <c r="L5">
        <v>2</v>
      </c>
      <c r="M5" t="s">
        <v>49</v>
      </c>
      <c r="N5">
        <v>108547780</v>
      </c>
      <c r="O5" t="s">
        <v>50</v>
      </c>
      <c r="P5">
        <v>20150210</v>
      </c>
      <c r="Q5" s="9" t="s">
        <v>51</v>
      </c>
      <c r="R5">
        <v>1000</v>
      </c>
      <c r="S5">
        <v>1</v>
      </c>
      <c r="T5" t="s">
        <v>162</v>
      </c>
      <c r="U5" t="s">
        <v>163</v>
      </c>
      <c r="V5" t="s">
        <v>74</v>
      </c>
      <c r="W5" t="s">
        <v>75</v>
      </c>
      <c r="X5" t="s">
        <v>53</v>
      </c>
      <c r="Y5" t="s">
        <v>54</v>
      </c>
      <c r="Z5" t="s">
        <v>55</v>
      </c>
      <c r="AA5">
        <v>16</v>
      </c>
      <c r="AB5">
        <v>16</v>
      </c>
      <c r="AC5">
        <v>1</v>
      </c>
      <c r="AD5" t="s">
        <v>56</v>
      </c>
      <c r="AE5" s="6" t="s">
        <v>57</v>
      </c>
      <c r="AF5" s="6" t="s">
        <v>56</v>
      </c>
      <c r="AG5" s="6" t="s">
        <v>180</v>
      </c>
      <c r="AH5" s="31" t="s">
        <v>176</v>
      </c>
      <c r="AP5" s="15"/>
    </row>
    <row r="6" spans="1:42" x14ac:dyDescent="0.25">
      <c r="L6">
        <v>2</v>
      </c>
      <c r="M6" t="s">
        <v>49</v>
      </c>
      <c r="N6">
        <v>108547720</v>
      </c>
      <c r="O6" t="s">
        <v>50</v>
      </c>
      <c r="P6">
        <v>20150210</v>
      </c>
      <c r="Q6" s="9" t="s">
        <v>51</v>
      </c>
      <c r="R6">
        <v>1000</v>
      </c>
      <c r="S6">
        <v>1</v>
      </c>
      <c r="T6" t="s">
        <v>65</v>
      </c>
      <c r="U6" t="s">
        <v>164</v>
      </c>
      <c r="V6" t="s">
        <v>74</v>
      </c>
      <c r="W6" t="s">
        <v>75</v>
      </c>
      <c r="X6" t="s">
        <v>53</v>
      </c>
      <c r="Y6" t="s">
        <v>61</v>
      </c>
      <c r="Z6" t="s">
        <v>55</v>
      </c>
      <c r="AA6">
        <v>2</v>
      </c>
      <c r="AB6">
        <v>2</v>
      </c>
      <c r="AC6">
        <v>1</v>
      </c>
      <c r="AD6" t="s">
        <v>56</v>
      </c>
      <c r="AE6" s="6" t="s">
        <v>57</v>
      </c>
      <c r="AF6" s="6" t="s">
        <v>56</v>
      </c>
      <c r="AG6" s="6" t="s">
        <v>181</v>
      </c>
      <c r="AH6" s="31" t="s">
        <v>177</v>
      </c>
      <c r="AP6" s="15"/>
    </row>
    <row r="7" spans="1:42" x14ac:dyDescent="0.25">
      <c r="L7">
        <v>2</v>
      </c>
      <c r="M7" t="s">
        <v>49</v>
      </c>
      <c r="N7">
        <v>108547770</v>
      </c>
      <c r="O7" t="s">
        <v>165</v>
      </c>
      <c r="P7">
        <v>20150210</v>
      </c>
      <c r="Q7" s="9" t="s">
        <v>59</v>
      </c>
      <c r="R7">
        <v>1000</v>
      </c>
      <c r="S7">
        <v>1</v>
      </c>
      <c r="T7" t="s">
        <v>166</v>
      </c>
      <c r="U7" t="s">
        <v>79</v>
      </c>
      <c r="V7" t="s">
        <v>74</v>
      </c>
      <c r="W7" t="s">
        <v>75</v>
      </c>
      <c r="X7" t="s">
        <v>53</v>
      </c>
      <c r="Y7" t="s">
        <v>67</v>
      </c>
      <c r="Z7" t="s">
        <v>64</v>
      </c>
      <c r="AA7">
        <v>100</v>
      </c>
      <c r="AB7">
        <v>100</v>
      </c>
      <c r="AC7">
        <v>1</v>
      </c>
      <c r="AD7" t="s">
        <v>56</v>
      </c>
      <c r="AE7" s="6" t="s">
        <v>57</v>
      </c>
      <c r="AF7" s="6" t="s">
        <v>56</v>
      </c>
      <c r="AG7" s="6" t="s">
        <v>181</v>
      </c>
      <c r="AH7" s="31" t="s">
        <v>179</v>
      </c>
      <c r="AP7" s="15"/>
    </row>
    <row r="8" spans="1:42" x14ac:dyDescent="0.25">
      <c r="L8">
        <v>2</v>
      </c>
      <c r="M8" t="s">
        <v>49</v>
      </c>
      <c r="N8">
        <v>108547750</v>
      </c>
      <c r="O8" t="s">
        <v>50</v>
      </c>
      <c r="P8">
        <v>20150210</v>
      </c>
      <c r="Q8" s="9" t="s">
        <v>51</v>
      </c>
      <c r="R8">
        <v>1000</v>
      </c>
      <c r="S8">
        <v>1</v>
      </c>
      <c r="T8" t="s">
        <v>62</v>
      </c>
      <c r="U8" t="s">
        <v>77</v>
      </c>
      <c r="V8" t="s">
        <v>74</v>
      </c>
      <c r="W8" t="s">
        <v>75</v>
      </c>
      <c r="X8" t="s">
        <v>53</v>
      </c>
      <c r="Y8" t="s">
        <v>63</v>
      </c>
      <c r="Z8" t="s">
        <v>64</v>
      </c>
      <c r="AA8">
        <v>32</v>
      </c>
      <c r="AB8">
        <v>32</v>
      </c>
      <c r="AC8">
        <v>1</v>
      </c>
      <c r="AD8" t="s">
        <v>56</v>
      </c>
      <c r="AE8" s="6" t="s">
        <v>57</v>
      </c>
      <c r="AF8" s="6" t="s">
        <v>56</v>
      </c>
      <c r="AG8" s="6" t="s">
        <v>181</v>
      </c>
      <c r="AH8" s="31" t="s">
        <v>176</v>
      </c>
      <c r="AP8" s="15"/>
    </row>
    <row r="9" spans="1:42" x14ac:dyDescent="0.25">
      <c r="L9">
        <v>2</v>
      </c>
      <c r="M9" t="s">
        <v>49</v>
      </c>
      <c r="N9">
        <v>108547730</v>
      </c>
      <c r="O9" t="s">
        <v>58</v>
      </c>
      <c r="P9">
        <v>20150210</v>
      </c>
      <c r="Q9" s="9" t="s">
        <v>59</v>
      </c>
      <c r="R9">
        <v>1000</v>
      </c>
      <c r="S9">
        <v>1</v>
      </c>
      <c r="T9" t="s">
        <v>60</v>
      </c>
      <c r="U9" t="s">
        <v>76</v>
      </c>
      <c r="V9" t="s">
        <v>74</v>
      </c>
      <c r="W9" t="s">
        <v>75</v>
      </c>
      <c r="X9" t="s">
        <v>53</v>
      </c>
      <c r="Y9" s="3" t="s">
        <v>61</v>
      </c>
      <c r="Z9" s="3" t="s">
        <v>55</v>
      </c>
      <c r="AA9" s="3">
        <v>2</v>
      </c>
      <c r="AB9" s="3">
        <v>42</v>
      </c>
      <c r="AC9" s="3">
        <v>21</v>
      </c>
      <c r="AD9" t="s">
        <v>56</v>
      </c>
      <c r="AE9" s="6" t="s">
        <v>57</v>
      </c>
      <c r="AF9" s="6" t="s">
        <v>56</v>
      </c>
      <c r="AG9" s="6" t="s">
        <v>181</v>
      </c>
      <c r="AH9" s="31" t="s">
        <v>177</v>
      </c>
      <c r="AP9" s="15"/>
    </row>
    <row r="10" spans="1:42" x14ac:dyDescent="0.25">
      <c r="L10">
        <v>2</v>
      </c>
      <c r="M10" t="s">
        <v>49</v>
      </c>
      <c r="N10">
        <v>108547740</v>
      </c>
      <c r="O10" t="s">
        <v>167</v>
      </c>
      <c r="P10">
        <v>20150210</v>
      </c>
      <c r="Q10" s="9" t="s">
        <v>59</v>
      </c>
      <c r="R10">
        <v>1000</v>
      </c>
      <c r="S10">
        <v>1</v>
      </c>
      <c r="T10" t="s">
        <v>168</v>
      </c>
      <c r="U10" t="s">
        <v>169</v>
      </c>
      <c r="V10" t="s">
        <v>74</v>
      </c>
      <c r="W10" t="s">
        <v>75</v>
      </c>
      <c r="X10" t="s">
        <v>53</v>
      </c>
      <c r="Y10" t="s">
        <v>63</v>
      </c>
      <c r="Z10" t="s">
        <v>64</v>
      </c>
      <c r="AA10">
        <v>32</v>
      </c>
      <c r="AB10">
        <v>32</v>
      </c>
      <c r="AC10">
        <v>1</v>
      </c>
      <c r="AD10" t="s">
        <v>56</v>
      </c>
      <c r="AE10" s="6" t="s">
        <v>57</v>
      </c>
      <c r="AF10" s="6" t="s">
        <v>56</v>
      </c>
      <c r="AG10" s="6" t="s">
        <v>181</v>
      </c>
      <c r="AH10" s="31" t="s">
        <v>176</v>
      </c>
      <c r="AP10" s="15"/>
    </row>
    <row r="11" spans="1:42" x14ac:dyDescent="0.25">
      <c r="A11" s="11"/>
      <c r="B11" s="11"/>
      <c r="C11" s="11"/>
      <c r="D11" s="11"/>
      <c r="L11">
        <v>2</v>
      </c>
      <c r="M11" t="s">
        <v>49</v>
      </c>
      <c r="N11">
        <v>108547760</v>
      </c>
      <c r="O11" t="s">
        <v>50</v>
      </c>
      <c r="P11">
        <v>20150210</v>
      </c>
      <c r="Q11" s="9" t="s">
        <v>51</v>
      </c>
      <c r="R11">
        <v>1000</v>
      </c>
      <c r="S11">
        <v>1</v>
      </c>
      <c r="T11" t="s">
        <v>170</v>
      </c>
      <c r="U11" t="s">
        <v>171</v>
      </c>
      <c r="V11" t="s">
        <v>74</v>
      </c>
      <c r="W11" t="s">
        <v>75</v>
      </c>
      <c r="X11" t="s">
        <v>53</v>
      </c>
      <c r="Y11" t="s">
        <v>172</v>
      </c>
      <c r="Z11" t="s">
        <v>173</v>
      </c>
      <c r="AA11">
        <v>52</v>
      </c>
      <c r="AB11">
        <v>52</v>
      </c>
      <c r="AC11">
        <v>1</v>
      </c>
      <c r="AD11" t="s">
        <v>56</v>
      </c>
      <c r="AE11" s="6" t="s">
        <v>57</v>
      </c>
      <c r="AF11" s="6" t="s">
        <v>56</v>
      </c>
      <c r="AG11" s="6" t="s">
        <v>180</v>
      </c>
      <c r="AH11" s="31" t="s">
        <v>174</v>
      </c>
      <c r="AP11" s="15"/>
    </row>
    <row r="12" spans="1:42" x14ac:dyDescent="0.25">
      <c r="L12">
        <v>2</v>
      </c>
      <c r="M12" t="s">
        <v>49</v>
      </c>
      <c r="N12">
        <v>108547710</v>
      </c>
      <c r="O12" t="s">
        <v>50</v>
      </c>
      <c r="P12">
        <v>20150210</v>
      </c>
      <c r="Q12" s="9" t="s">
        <v>51</v>
      </c>
      <c r="R12">
        <v>1000</v>
      </c>
      <c r="S12">
        <v>1</v>
      </c>
      <c r="T12" t="s">
        <v>65</v>
      </c>
      <c r="U12" t="s">
        <v>78</v>
      </c>
      <c r="V12" t="s">
        <v>74</v>
      </c>
      <c r="W12" t="s">
        <v>75</v>
      </c>
      <c r="X12" t="s">
        <v>53</v>
      </c>
      <c r="Y12" t="s">
        <v>66</v>
      </c>
      <c r="Z12" t="s">
        <v>55</v>
      </c>
      <c r="AA12">
        <v>2</v>
      </c>
      <c r="AB12">
        <v>14</v>
      </c>
      <c r="AC12">
        <v>7</v>
      </c>
      <c r="AD12" t="s">
        <v>56</v>
      </c>
      <c r="AE12" s="6" t="s">
        <v>57</v>
      </c>
      <c r="AF12" s="6" t="s">
        <v>56</v>
      </c>
      <c r="AG12" s="6" t="s">
        <v>181</v>
      </c>
      <c r="AH12" s="31" t="s">
        <v>177</v>
      </c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11"/>
      <c r="AH95" s="58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11"/>
      <c r="AH96" s="58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25"/>
  <sheetViews>
    <sheetView tabSelected="1" topLeftCell="I1" workbookViewId="0">
      <selection activeCell="X13" sqref="X13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16384" width="9" style="54"/>
  </cols>
  <sheetData>
    <row r="1" spans="1:42" s="29" customFormat="1" ht="21.75" customHeight="1" x14ac:dyDescent="0.25">
      <c r="A1" s="35" t="s">
        <v>5</v>
      </c>
      <c r="B1" s="35"/>
      <c r="C1" s="69" t="s">
        <v>46</v>
      </c>
      <c r="D1" s="69"/>
      <c r="E1" s="69"/>
      <c r="F1" s="69"/>
      <c r="G1" s="36" t="s">
        <v>6</v>
      </c>
      <c r="H1" s="70" t="s">
        <v>47</v>
      </c>
      <c r="I1" s="70"/>
      <c r="J1" s="70"/>
      <c r="K1" s="70"/>
      <c r="L1" s="70"/>
      <c r="M1" s="70"/>
      <c r="N1" s="70"/>
      <c r="O1" s="70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28.5" x14ac:dyDescent="0.25">
      <c r="A3" s="45" t="s">
        <v>133</v>
      </c>
      <c r="B3" s="45" t="s">
        <v>134</v>
      </c>
      <c r="C3" s="45" t="s">
        <v>135</v>
      </c>
      <c r="D3" s="45" t="s">
        <v>136</v>
      </c>
      <c r="E3" s="45" t="s">
        <v>137</v>
      </c>
      <c r="F3" s="45" t="s">
        <v>138</v>
      </c>
      <c r="G3" s="45" t="s">
        <v>139</v>
      </c>
      <c r="H3" s="45" t="s">
        <v>140</v>
      </c>
      <c r="I3" s="45" t="s">
        <v>141</v>
      </c>
      <c r="J3" s="45" t="s">
        <v>142</v>
      </c>
      <c r="K3" s="45" t="s">
        <v>143</v>
      </c>
      <c r="L3" s="45" t="s">
        <v>144</v>
      </c>
      <c r="M3" s="45" t="s">
        <v>145</v>
      </c>
      <c r="N3" s="45" t="s">
        <v>146</v>
      </c>
      <c r="O3" s="45" t="s">
        <v>147</v>
      </c>
      <c r="P3" s="45" t="s">
        <v>148</v>
      </c>
      <c r="Q3" s="45" t="s">
        <v>149</v>
      </c>
      <c r="R3" s="32" t="s">
        <v>82</v>
      </c>
      <c r="S3" s="33" t="s">
        <v>83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84</v>
      </c>
      <c r="B4" s="50" t="s">
        <v>85</v>
      </c>
      <c r="C4" s="51" t="s">
        <v>200</v>
      </c>
      <c r="D4" s="51" t="s">
        <v>150</v>
      </c>
      <c r="E4" s="51" t="s">
        <v>86</v>
      </c>
      <c r="F4" s="51" t="s">
        <v>87</v>
      </c>
      <c r="G4" s="50" t="s">
        <v>88</v>
      </c>
      <c r="H4" s="50" t="s">
        <v>151</v>
      </c>
      <c r="I4" s="50">
        <v>1533</v>
      </c>
      <c r="J4" s="52">
        <v>9</v>
      </c>
      <c r="K4" s="52">
        <v>3</v>
      </c>
      <c r="L4" s="52">
        <v>3</v>
      </c>
      <c r="M4" s="50" t="s">
        <v>85</v>
      </c>
      <c r="N4" s="51" t="s">
        <v>90</v>
      </c>
      <c r="O4" s="52" t="s">
        <v>91</v>
      </c>
      <c r="P4" s="53"/>
      <c r="Q4" s="51" t="s">
        <v>92</v>
      </c>
      <c r="R4" s="54" t="s">
        <v>126</v>
      </c>
      <c r="S4" s="55" t="s">
        <v>131</v>
      </c>
    </row>
    <row r="5" spans="1:42" x14ac:dyDescent="0.25">
      <c r="A5" s="49" t="s">
        <v>84</v>
      </c>
      <c r="B5" s="50" t="s">
        <v>85</v>
      </c>
      <c r="C5" s="51" t="s">
        <v>201</v>
      </c>
      <c r="D5" s="51" t="s">
        <v>94</v>
      </c>
      <c r="E5" s="51" t="s">
        <v>86</v>
      </c>
      <c r="F5" s="51" t="s">
        <v>95</v>
      </c>
      <c r="G5" s="50" t="s">
        <v>88</v>
      </c>
      <c r="H5" s="50" t="s">
        <v>89</v>
      </c>
      <c r="I5" s="50">
        <v>1533</v>
      </c>
      <c r="J5" s="52">
        <v>12</v>
      </c>
      <c r="K5" s="52">
        <v>3</v>
      </c>
      <c r="L5" s="52">
        <v>4</v>
      </c>
      <c r="M5" s="50" t="s">
        <v>85</v>
      </c>
      <c r="N5" s="51" t="s">
        <v>90</v>
      </c>
      <c r="O5" s="52" t="s">
        <v>91</v>
      </c>
      <c r="P5" s="53"/>
      <c r="Q5" s="51" t="s">
        <v>92</v>
      </c>
      <c r="R5" s="54" t="s">
        <v>126</v>
      </c>
      <c r="S5" s="55" t="s">
        <v>132</v>
      </c>
    </row>
    <row r="6" spans="1:42" x14ac:dyDescent="0.25">
      <c r="A6" s="49" t="s">
        <v>84</v>
      </c>
      <c r="B6" s="50" t="s">
        <v>85</v>
      </c>
      <c r="C6" s="51" t="s">
        <v>202</v>
      </c>
      <c r="D6" s="51" t="s">
        <v>97</v>
      </c>
      <c r="E6" s="51" t="s">
        <v>98</v>
      </c>
      <c r="F6" s="51" t="s">
        <v>99</v>
      </c>
      <c r="G6" s="50" t="s">
        <v>88</v>
      </c>
      <c r="H6" s="50" t="s">
        <v>89</v>
      </c>
      <c r="I6" s="50">
        <v>1533</v>
      </c>
      <c r="J6" s="52">
        <v>48</v>
      </c>
      <c r="K6" s="52">
        <v>48</v>
      </c>
      <c r="L6" s="52">
        <v>1</v>
      </c>
      <c r="M6" s="50" t="s">
        <v>85</v>
      </c>
      <c r="N6" s="51" t="s">
        <v>90</v>
      </c>
      <c r="O6" s="52" t="s">
        <v>91</v>
      </c>
      <c r="P6" s="53"/>
      <c r="Q6" s="51" t="s">
        <v>92</v>
      </c>
      <c r="R6" s="54" t="s">
        <v>127</v>
      </c>
      <c r="S6" s="55" t="s">
        <v>129</v>
      </c>
    </row>
    <row r="7" spans="1:42" x14ac:dyDescent="0.25">
      <c r="A7" s="49" t="s">
        <v>84</v>
      </c>
      <c r="B7" s="50" t="s">
        <v>85</v>
      </c>
      <c r="C7" s="51" t="s">
        <v>203</v>
      </c>
      <c r="D7" s="51" t="s">
        <v>101</v>
      </c>
      <c r="E7" s="51" t="s">
        <v>102</v>
      </c>
      <c r="F7" s="51" t="s">
        <v>103</v>
      </c>
      <c r="G7" s="50" t="s">
        <v>88</v>
      </c>
      <c r="H7" s="50" t="s">
        <v>89</v>
      </c>
      <c r="I7" s="50">
        <v>1533</v>
      </c>
      <c r="J7" s="52">
        <v>40</v>
      </c>
      <c r="K7" s="52">
        <v>40</v>
      </c>
      <c r="L7" s="52">
        <v>1</v>
      </c>
      <c r="M7" s="50" t="s">
        <v>85</v>
      </c>
      <c r="N7" s="51" t="s">
        <v>90</v>
      </c>
      <c r="O7" s="52" t="s">
        <v>91</v>
      </c>
      <c r="P7" s="53"/>
      <c r="Q7" s="51" t="s">
        <v>92</v>
      </c>
      <c r="R7" s="54" t="s">
        <v>127</v>
      </c>
      <c r="S7" s="55" t="s">
        <v>128</v>
      </c>
    </row>
    <row r="8" spans="1:42" x14ac:dyDescent="0.25">
      <c r="A8" s="49" t="s">
        <v>84</v>
      </c>
      <c r="B8" s="50" t="s">
        <v>85</v>
      </c>
      <c r="C8" s="51" t="s">
        <v>204</v>
      </c>
      <c r="D8" s="51" t="s">
        <v>105</v>
      </c>
      <c r="E8" s="51" t="s">
        <v>86</v>
      </c>
      <c r="F8" s="51" t="s">
        <v>106</v>
      </c>
      <c r="G8" s="50" t="s">
        <v>88</v>
      </c>
      <c r="H8" s="50" t="s">
        <v>89</v>
      </c>
      <c r="I8" s="50">
        <v>1534</v>
      </c>
      <c r="J8" s="52">
        <v>21</v>
      </c>
      <c r="K8" s="52">
        <v>3</v>
      </c>
      <c r="L8" s="52">
        <v>7</v>
      </c>
      <c r="M8" s="50" t="s">
        <v>85</v>
      </c>
      <c r="N8" s="51" t="s">
        <v>90</v>
      </c>
      <c r="O8" s="52" t="s">
        <v>91</v>
      </c>
      <c r="P8" s="53"/>
      <c r="Q8" s="51" t="s">
        <v>92</v>
      </c>
      <c r="R8" s="54" t="s">
        <v>126</v>
      </c>
      <c r="S8" s="55" t="s">
        <v>131</v>
      </c>
    </row>
    <row r="9" spans="1:42" x14ac:dyDescent="0.25">
      <c r="A9" s="49" t="s">
        <v>84</v>
      </c>
      <c r="B9" s="50" t="s">
        <v>85</v>
      </c>
      <c r="C9" s="51" t="s">
        <v>205</v>
      </c>
      <c r="D9" s="51" t="s">
        <v>107</v>
      </c>
      <c r="E9" s="51" t="s">
        <v>86</v>
      </c>
      <c r="F9" s="51" t="s">
        <v>108</v>
      </c>
      <c r="G9" s="50" t="s">
        <v>88</v>
      </c>
      <c r="H9" s="50" t="s">
        <v>89</v>
      </c>
      <c r="I9" s="50">
        <v>1534</v>
      </c>
      <c r="J9" s="52">
        <v>6</v>
      </c>
      <c r="K9" s="52">
        <v>3</v>
      </c>
      <c r="L9" s="52">
        <v>2</v>
      </c>
      <c r="M9" s="50" t="s">
        <v>85</v>
      </c>
      <c r="N9" s="51" t="s">
        <v>90</v>
      </c>
      <c r="O9" s="52" t="s">
        <v>91</v>
      </c>
      <c r="P9" s="53"/>
      <c r="Q9" s="51" t="s">
        <v>92</v>
      </c>
      <c r="R9" s="54" t="s">
        <v>126</v>
      </c>
      <c r="S9" s="55" t="s">
        <v>132</v>
      </c>
    </row>
    <row r="10" spans="1:42" x14ac:dyDescent="0.25">
      <c r="A10" s="49" t="s">
        <v>84</v>
      </c>
      <c r="B10" s="50" t="s">
        <v>85</v>
      </c>
      <c r="C10" s="51" t="s">
        <v>206</v>
      </c>
      <c r="D10" s="51" t="s">
        <v>109</v>
      </c>
      <c r="E10" s="51" t="s">
        <v>110</v>
      </c>
      <c r="F10" s="51" t="s">
        <v>111</v>
      </c>
      <c r="G10" s="50" t="s">
        <v>88</v>
      </c>
      <c r="H10" s="50" t="s">
        <v>89</v>
      </c>
      <c r="I10" s="50">
        <v>1534</v>
      </c>
      <c r="J10" s="52">
        <v>40</v>
      </c>
      <c r="K10" s="52">
        <v>40</v>
      </c>
      <c r="L10" s="52">
        <v>1</v>
      </c>
      <c r="M10" s="50" t="s">
        <v>85</v>
      </c>
      <c r="N10" s="51" t="s">
        <v>90</v>
      </c>
      <c r="O10" s="52" t="s">
        <v>91</v>
      </c>
      <c r="P10" s="53"/>
      <c r="Q10" s="51" t="s">
        <v>92</v>
      </c>
      <c r="R10" s="54" t="s">
        <v>127</v>
      </c>
      <c r="S10" s="55" t="s">
        <v>128</v>
      </c>
    </row>
    <row r="11" spans="1:42" x14ac:dyDescent="0.25">
      <c r="A11" s="49" t="s">
        <v>84</v>
      </c>
      <c r="B11" s="50" t="s">
        <v>85</v>
      </c>
      <c r="C11" s="51" t="s">
        <v>207</v>
      </c>
      <c r="D11" s="51" t="s">
        <v>113</v>
      </c>
      <c r="E11" s="51" t="s">
        <v>86</v>
      </c>
      <c r="F11" s="51" t="s">
        <v>114</v>
      </c>
      <c r="G11" s="50" t="s">
        <v>88</v>
      </c>
      <c r="H11" s="50" t="s">
        <v>89</v>
      </c>
      <c r="I11" s="50">
        <v>1534</v>
      </c>
      <c r="J11" s="52">
        <v>6</v>
      </c>
      <c r="K11" s="52">
        <v>3</v>
      </c>
      <c r="L11" s="52">
        <v>2</v>
      </c>
      <c r="M11" s="50" t="s">
        <v>85</v>
      </c>
      <c r="N11" s="51" t="s">
        <v>90</v>
      </c>
      <c r="O11" s="52" t="s">
        <v>91</v>
      </c>
      <c r="P11" s="53"/>
      <c r="Q11" s="51" t="s">
        <v>92</v>
      </c>
      <c r="R11" s="54" t="s">
        <v>126</v>
      </c>
      <c r="S11" s="55" t="s">
        <v>129</v>
      </c>
    </row>
    <row r="12" spans="1:42" x14ac:dyDescent="0.25">
      <c r="A12" s="49" t="s">
        <v>84</v>
      </c>
      <c r="B12" s="50" t="s">
        <v>85</v>
      </c>
      <c r="C12" s="51" t="s">
        <v>208</v>
      </c>
      <c r="D12" s="51" t="s">
        <v>115</v>
      </c>
      <c r="E12" s="51" t="s">
        <v>86</v>
      </c>
      <c r="F12" s="51" t="s">
        <v>116</v>
      </c>
      <c r="G12" s="50" t="s">
        <v>88</v>
      </c>
      <c r="H12" s="50" t="s">
        <v>89</v>
      </c>
      <c r="I12" s="50">
        <v>1534</v>
      </c>
      <c r="J12" s="52">
        <v>6</v>
      </c>
      <c r="K12" s="52">
        <v>3</v>
      </c>
      <c r="L12" s="52">
        <v>2</v>
      </c>
      <c r="M12" s="50" t="s">
        <v>85</v>
      </c>
      <c r="N12" s="51" t="s">
        <v>90</v>
      </c>
      <c r="O12" s="52" t="s">
        <v>91</v>
      </c>
      <c r="P12" s="53"/>
      <c r="Q12" s="51" t="s">
        <v>92</v>
      </c>
      <c r="R12" s="54" t="s">
        <v>126</v>
      </c>
      <c r="S12" s="55" t="s">
        <v>130</v>
      </c>
    </row>
    <row r="13" spans="1:42" x14ac:dyDescent="0.25">
      <c r="A13" s="49" t="s">
        <v>84</v>
      </c>
      <c r="B13" s="50" t="s">
        <v>85</v>
      </c>
      <c r="C13" s="51" t="s">
        <v>209</v>
      </c>
      <c r="D13" s="51" t="s">
        <v>120</v>
      </c>
      <c r="E13" s="51" t="s">
        <v>121</v>
      </c>
      <c r="F13" s="51" t="s">
        <v>122</v>
      </c>
      <c r="G13" s="50" t="s">
        <v>88</v>
      </c>
      <c r="H13" s="50" t="s">
        <v>89</v>
      </c>
      <c r="I13" s="50">
        <v>1534</v>
      </c>
      <c r="J13" s="52">
        <v>48</v>
      </c>
      <c r="K13" s="52">
        <v>48</v>
      </c>
      <c r="L13" s="52">
        <v>1</v>
      </c>
      <c r="M13" s="50" t="s">
        <v>85</v>
      </c>
      <c r="N13" s="51" t="s">
        <v>90</v>
      </c>
      <c r="O13" s="52" t="s">
        <v>91</v>
      </c>
      <c r="P13" s="53"/>
      <c r="Q13" s="51" t="s">
        <v>92</v>
      </c>
      <c r="R13" s="54" t="s">
        <v>127</v>
      </c>
      <c r="S13" s="55" t="s">
        <v>128</v>
      </c>
    </row>
    <row r="14" spans="1:42" x14ac:dyDescent="0.25">
      <c r="A14" s="49" t="s">
        <v>84</v>
      </c>
      <c r="B14" s="50" t="s">
        <v>85</v>
      </c>
      <c r="C14" s="51" t="s">
        <v>210</v>
      </c>
      <c r="D14" s="51" t="s">
        <v>123</v>
      </c>
      <c r="E14" s="51" t="s">
        <v>124</v>
      </c>
      <c r="F14" s="51" t="s">
        <v>125</v>
      </c>
      <c r="G14" s="50" t="s">
        <v>88</v>
      </c>
      <c r="H14" s="50" t="s">
        <v>89</v>
      </c>
      <c r="I14" s="50">
        <v>1534</v>
      </c>
      <c r="J14" s="52">
        <v>40</v>
      </c>
      <c r="K14" s="52">
        <v>40</v>
      </c>
      <c r="L14" s="52">
        <v>1</v>
      </c>
      <c r="M14" s="50" t="s">
        <v>85</v>
      </c>
      <c r="N14" s="51" t="s">
        <v>90</v>
      </c>
      <c r="O14" s="52" t="s">
        <v>91</v>
      </c>
      <c r="P14" s="53"/>
      <c r="Q14" s="51" t="s">
        <v>92</v>
      </c>
      <c r="R14" s="54" t="s">
        <v>127</v>
      </c>
      <c r="S14" s="55">
        <v>0</v>
      </c>
    </row>
    <row r="16" spans="1:42" x14ac:dyDescent="0.25">
      <c r="A16" s="49" t="s">
        <v>84</v>
      </c>
      <c r="B16" s="50" t="s">
        <v>85</v>
      </c>
      <c r="C16" s="51" t="s">
        <v>117</v>
      </c>
      <c r="D16" s="51" t="s">
        <v>118</v>
      </c>
      <c r="E16" s="51" t="s">
        <v>86</v>
      </c>
      <c r="F16" s="51" t="s">
        <v>119</v>
      </c>
      <c r="G16" s="50" t="s">
        <v>88</v>
      </c>
      <c r="H16" s="50" t="s">
        <v>89</v>
      </c>
      <c r="I16" s="50">
        <v>1534</v>
      </c>
      <c r="J16" s="52">
        <v>6</v>
      </c>
      <c r="K16" s="52">
        <v>3</v>
      </c>
      <c r="L16" s="52">
        <v>2</v>
      </c>
      <c r="M16" s="50" t="s">
        <v>85</v>
      </c>
      <c r="N16" s="51" t="s">
        <v>90</v>
      </c>
      <c r="O16" s="52" t="s">
        <v>91</v>
      </c>
      <c r="P16" s="53"/>
      <c r="Q16" s="51" t="s">
        <v>92</v>
      </c>
      <c r="R16" s="54" t="s">
        <v>126</v>
      </c>
      <c r="S16" s="55" t="s">
        <v>129</v>
      </c>
    </row>
    <row r="17" spans="1:15" x14ac:dyDescent="0.25">
      <c r="G17" s="54">
        <f>SEARCH("/",G4,1)</f>
        <v>2</v>
      </c>
      <c r="H17" s="54">
        <f>SEARCH("/",G4,3)</f>
        <v>4</v>
      </c>
    </row>
    <row r="18" spans="1:15" x14ac:dyDescent="0.25">
      <c r="A18" s="59" t="s">
        <v>84</v>
      </c>
      <c r="B18" s="60" t="s">
        <v>85</v>
      </c>
      <c r="C18" s="61" t="s">
        <v>93</v>
      </c>
      <c r="D18" s="61" t="s">
        <v>94</v>
      </c>
      <c r="E18" s="61" t="s">
        <v>86</v>
      </c>
      <c r="F18" s="61" t="s">
        <v>182</v>
      </c>
      <c r="G18" s="60" t="s">
        <v>183</v>
      </c>
      <c r="H18" s="60" t="s">
        <v>184</v>
      </c>
      <c r="I18" s="60">
        <v>1533</v>
      </c>
      <c r="J18" s="62">
        <v>27</v>
      </c>
      <c r="K18" s="62">
        <v>3</v>
      </c>
      <c r="L18" s="62">
        <v>9</v>
      </c>
      <c r="M18" s="60" t="s">
        <v>85</v>
      </c>
      <c r="N18" s="61" t="s">
        <v>90</v>
      </c>
      <c r="O18" s="62" t="s">
        <v>91</v>
      </c>
    </row>
    <row r="19" spans="1:15" x14ac:dyDescent="0.25">
      <c r="A19" s="59" t="s">
        <v>84</v>
      </c>
      <c r="B19" s="60" t="s">
        <v>85</v>
      </c>
      <c r="C19" s="61" t="s">
        <v>96</v>
      </c>
      <c r="D19" s="61" t="s">
        <v>97</v>
      </c>
      <c r="E19" s="61" t="s">
        <v>98</v>
      </c>
      <c r="F19" s="61" t="s">
        <v>185</v>
      </c>
      <c r="G19" s="60" t="s">
        <v>183</v>
      </c>
      <c r="H19" s="60" t="s">
        <v>184</v>
      </c>
      <c r="I19" s="60">
        <v>1533</v>
      </c>
      <c r="J19" s="62">
        <v>48</v>
      </c>
      <c r="K19" s="62">
        <v>48</v>
      </c>
      <c r="L19" s="62">
        <v>1</v>
      </c>
      <c r="M19" s="60" t="s">
        <v>85</v>
      </c>
      <c r="N19" s="61" t="s">
        <v>90</v>
      </c>
      <c r="O19" s="62" t="s">
        <v>91</v>
      </c>
    </row>
    <row r="20" spans="1:15" ht="28.5" x14ac:dyDescent="0.25">
      <c r="A20" s="59" t="s">
        <v>84</v>
      </c>
      <c r="B20" s="60" t="s">
        <v>85</v>
      </c>
      <c r="C20" s="61" t="s">
        <v>186</v>
      </c>
      <c r="D20" s="61" t="s">
        <v>187</v>
      </c>
      <c r="E20" s="61" t="s">
        <v>188</v>
      </c>
      <c r="F20" s="61" t="s">
        <v>189</v>
      </c>
      <c r="G20" s="60" t="s">
        <v>183</v>
      </c>
      <c r="H20" s="60" t="s">
        <v>184</v>
      </c>
      <c r="I20" s="60">
        <v>1533</v>
      </c>
      <c r="J20" s="62">
        <v>40</v>
      </c>
      <c r="K20" s="62">
        <v>40</v>
      </c>
      <c r="L20" s="62">
        <v>1</v>
      </c>
      <c r="M20" s="60" t="s">
        <v>85</v>
      </c>
      <c r="N20" s="61" t="s">
        <v>90</v>
      </c>
      <c r="O20" s="62" t="s">
        <v>91</v>
      </c>
    </row>
    <row r="21" spans="1:15" x14ac:dyDescent="0.25">
      <c r="A21" s="59" t="s">
        <v>84</v>
      </c>
      <c r="B21" s="60" t="s">
        <v>85</v>
      </c>
      <c r="C21" s="61" t="s">
        <v>104</v>
      </c>
      <c r="D21" s="61" t="s">
        <v>105</v>
      </c>
      <c r="E21" s="61" t="s">
        <v>86</v>
      </c>
      <c r="F21" s="61" t="s">
        <v>190</v>
      </c>
      <c r="G21" s="60" t="s">
        <v>183</v>
      </c>
      <c r="H21" s="60" t="s">
        <v>184</v>
      </c>
      <c r="I21" s="60">
        <v>1534</v>
      </c>
      <c r="J21" s="62">
        <v>48</v>
      </c>
      <c r="K21" s="62">
        <v>3</v>
      </c>
      <c r="L21" s="62">
        <v>16</v>
      </c>
      <c r="M21" s="60" t="s">
        <v>85</v>
      </c>
      <c r="N21" s="61" t="s">
        <v>90</v>
      </c>
      <c r="O21" s="62" t="s">
        <v>91</v>
      </c>
    </row>
    <row r="22" spans="1:15" x14ac:dyDescent="0.25">
      <c r="A22" s="63" t="s">
        <v>84</v>
      </c>
      <c r="B22" s="64" t="s">
        <v>85</v>
      </c>
      <c r="C22" s="65" t="s">
        <v>191</v>
      </c>
      <c r="D22" s="65" t="s">
        <v>192</v>
      </c>
      <c r="E22" s="65" t="s">
        <v>98</v>
      </c>
      <c r="F22" s="65" t="s">
        <v>193</v>
      </c>
      <c r="G22" s="64" t="s">
        <v>183</v>
      </c>
      <c r="H22" s="64" t="s">
        <v>184</v>
      </c>
      <c r="I22" s="64">
        <v>1534</v>
      </c>
      <c r="J22" s="66">
        <v>48</v>
      </c>
      <c r="K22" s="66">
        <v>48</v>
      </c>
      <c r="L22" s="66">
        <v>1</v>
      </c>
      <c r="M22" s="64" t="s">
        <v>85</v>
      </c>
      <c r="N22" s="65" t="s">
        <v>90</v>
      </c>
      <c r="O22" s="66" t="s">
        <v>91</v>
      </c>
    </row>
    <row r="23" spans="1:15" x14ac:dyDescent="0.25">
      <c r="A23" s="59" t="s">
        <v>84</v>
      </c>
      <c r="B23" s="60" t="s">
        <v>85</v>
      </c>
      <c r="C23" s="61" t="s">
        <v>100</v>
      </c>
      <c r="D23" s="61" t="s">
        <v>101</v>
      </c>
      <c r="E23" s="61" t="s">
        <v>102</v>
      </c>
      <c r="F23" s="61" t="s">
        <v>194</v>
      </c>
      <c r="G23" s="60" t="s">
        <v>183</v>
      </c>
      <c r="H23" s="60" t="s">
        <v>184</v>
      </c>
      <c r="I23" s="60">
        <v>1534</v>
      </c>
      <c r="J23" s="62">
        <v>40</v>
      </c>
      <c r="K23" s="62">
        <v>40</v>
      </c>
      <c r="L23" s="62">
        <v>1</v>
      </c>
      <c r="M23" s="60" t="s">
        <v>85</v>
      </c>
      <c r="N23" s="61" t="s">
        <v>90</v>
      </c>
      <c r="O23" s="62" t="s">
        <v>91</v>
      </c>
    </row>
    <row r="24" spans="1:15" x14ac:dyDescent="0.25">
      <c r="A24" s="59" t="s">
        <v>84</v>
      </c>
      <c r="B24" s="60" t="s">
        <v>85</v>
      </c>
      <c r="C24" s="61" t="s">
        <v>195</v>
      </c>
      <c r="D24" s="61" t="s">
        <v>196</v>
      </c>
      <c r="E24" s="61" t="s">
        <v>197</v>
      </c>
      <c r="F24" s="61" t="s">
        <v>198</v>
      </c>
      <c r="G24" s="60" t="s">
        <v>183</v>
      </c>
      <c r="H24" s="60" t="s">
        <v>184</v>
      </c>
      <c r="I24" s="60">
        <v>1534</v>
      </c>
      <c r="J24" s="62">
        <v>40</v>
      </c>
      <c r="K24" s="62">
        <v>40</v>
      </c>
      <c r="L24" s="62">
        <v>1</v>
      </c>
      <c r="M24" s="60" t="s">
        <v>85</v>
      </c>
      <c r="N24" s="61" t="s">
        <v>90</v>
      </c>
      <c r="O24" s="62" t="s">
        <v>91</v>
      </c>
    </row>
    <row r="25" spans="1:15" x14ac:dyDescent="0.25">
      <c r="A25" s="59" t="s">
        <v>84</v>
      </c>
      <c r="B25" s="60" t="s">
        <v>85</v>
      </c>
      <c r="C25" s="61" t="s">
        <v>112</v>
      </c>
      <c r="D25" s="61" t="s">
        <v>113</v>
      </c>
      <c r="E25" s="61" t="s">
        <v>86</v>
      </c>
      <c r="F25" s="61" t="s">
        <v>199</v>
      </c>
      <c r="G25" s="60" t="s">
        <v>183</v>
      </c>
      <c r="H25" s="60" t="s">
        <v>184</v>
      </c>
      <c r="I25" s="60">
        <v>1534</v>
      </c>
      <c r="J25" s="62">
        <v>12</v>
      </c>
      <c r="K25" s="62">
        <v>3</v>
      </c>
      <c r="L25" s="62">
        <v>4</v>
      </c>
      <c r="M25" s="60" t="s">
        <v>85</v>
      </c>
      <c r="N25" s="61" t="s">
        <v>90</v>
      </c>
      <c r="O25" s="62" t="s">
        <v>91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轉換成ERP訂單_裕器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規格-裕隆</vt:lpstr>
      <vt:lpstr>規格-裕器</vt:lpstr>
      <vt:lpstr>Data-裕隆</vt:lpstr>
      <vt:lpstr>Data-裕器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2015-02-10T04:52:24Z</dcterms:modified>
</cp:coreProperties>
</file>